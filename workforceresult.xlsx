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miintra/Downloads/"/>
    </mc:Choice>
  </mc:AlternateContent>
  <xr:revisionPtr revIDLastSave="0" documentId="13_ncr:1_{018C335E-8BBD-324E-B4C9-010CF6999CEA}" xr6:coauthVersionLast="47" xr6:coauthVersionMax="47" xr10:uidLastSave="{00000000-0000-0000-0000-000000000000}"/>
  <bookViews>
    <workbookView xWindow="0" yWindow="740" windowWidth="28800" windowHeight="15880" xr2:uid="{9B62DE01-5AE9-7A46-A5D4-95A9ED94E5A6}"/>
  </bookViews>
  <sheets>
    <sheet name="Summary" sheetId="17" r:id="rId1"/>
    <sheet name="ALL" sheetId="1" r:id="rId2"/>
    <sheet name="GraphAll" sheetId="3" r:id="rId3"/>
    <sheet name="DV" sheetId="15" r:id="rId4"/>
    <sheet name="GraphDV" sheetId="16" r:id="rId5"/>
    <sheet name="CPS" sheetId="2" r:id="rId6"/>
    <sheet name="GraphCPS" sheetId="4" r:id="rId7"/>
    <sheet name="PSE" sheetId="5" r:id="rId8"/>
    <sheet name="GraphPSE" sheetId="6" r:id="rId9"/>
    <sheet name="SD" sheetId="7" r:id="rId10"/>
    <sheet name="GraphSD" sheetId="8" r:id="rId11"/>
    <sheet name="AIC" sheetId="9" r:id="rId12"/>
    <sheet name="GraphAIC" sheetId="10" r:id="rId13"/>
    <sheet name="TDE" sheetId="11" r:id="rId14"/>
    <sheet name="GraphTDE" sheetId="12" r:id="rId15"/>
    <sheet name="Project" sheetId="13" r:id="rId16"/>
    <sheet name="GraphPJ" sheetId="14" r:id="rId17"/>
  </sheets>
  <definedNames>
    <definedName name="_xlnm._FilterDatabase" localSheetId="0" hidden="1">Summary!$A$1:$N$1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6" i="14" l="1"/>
  <c r="G21" i="14"/>
  <c r="G25" i="14"/>
  <c r="G23" i="14"/>
  <c r="G22" i="14"/>
  <c r="G1" i="14"/>
  <c r="F21" i="14"/>
  <c r="E164" i="16"/>
  <c r="D164" i="16"/>
  <c r="C164" i="16"/>
  <c r="B164" i="16"/>
  <c r="P161" i="16"/>
  <c r="O161" i="16"/>
  <c r="N161" i="16"/>
  <c r="M161" i="16"/>
  <c r="L161" i="16"/>
  <c r="K161" i="16"/>
  <c r="J161" i="16"/>
  <c r="I161" i="16"/>
  <c r="H161" i="16"/>
  <c r="G161" i="16"/>
  <c r="F161" i="16"/>
  <c r="E161" i="16"/>
  <c r="D161" i="16"/>
  <c r="C161" i="16"/>
  <c r="B161" i="16"/>
  <c r="F157" i="16"/>
  <c r="E157" i="16"/>
  <c r="D157" i="16"/>
  <c r="C157" i="16"/>
  <c r="B157" i="16"/>
  <c r="A157" i="16"/>
  <c r="F156" i="16"/>
  <c r="E156" i="16"/>
  <c r="D156" i="16"/>
  <c r="C156" i="16"/>
  <c r="B156" i="16"/>
  <c r="A156" i="16"/>
  <c r="F155" i="16"/>
  <c r="E155" i="16"/>
  <c r="D155" i="16"/>
  <c r="C155" i="16"/>
  <c r="B155" i="16"/>
  <c r="P153" i="16"/>
  <c r="O153" i="16"/>
  <c r="N153" i="16"/>
  <c r="M153" i="16"/>
  <c r="L153" i="16"/>
  <c r="K153" i="16"/>
  <c r="J153" i="16"/>
  <c r="I153" i="16"/>
  <c r="H153" i="16"/>
  <c r="G153" i="16"/>
  <c r="F153" i="16"/>
  <c r="E153" i="16"/>
  <c r="D153" i="16"/>
  <c r="C153" i="16"/>
  <c r="B153" i="16"/>
  <c r="A153" i="16"/>
  <c r="P152" i="16"/>
  <c r="O152" i="16"/>
  <c r="N152" i="16"/>
  <c r="M152" i="16"/>
  <c r="L152" i="16"/>
  <c r="K152" i="16"/>
  <c r="J152" i="16"/>
  <c r="I152" i="16"/>
  <c r="H152" i="16"/>
  <c r="G152" i="16"/>
  <c r="F152" i="16"/>
  <c r="E152" i="16"/>
  <c r="D152" i="16"/>
  <c r="C152" i="16"/>
  <c r="B152" i="16"/>
  <c r="A152" i="16"/>
  <c r="P151" i="16"/>
  <c r="O151" i="16"/>
  <c r="N151" i="16"/>
  <c r="M151" i="16"/>
  <c r="L151" i="16"/>
  <c r="K151" i="16"/>
  <c r="J151" i="16"/>
  <c r="I151" i="16"/>
  <c r="H151" i="16"/>
  <c r="G151" i="16"/>
  <c r="F151" i="16"/>
  <c r="E151" i="16"/>
  <c r="D151" i="16"/>
  <c r="C151" i="16"/>
  <c r="B151" i="16"/>
  <c r="F47" i="16"/>
  <c r="E47" i="16"/>
  <c r="D47" i="16"/>
  <c r="C47" i="16"/>
  <c r="B47" i="16"/>
  <c r="A47" i="16"/>
  <c r="F46" i="16"/>
  <c r="E46" i="16"/>
  <c r="D46" i="16"/>
  <c r="C46" i="16"/>
  <c r="B46" i="16"/>
  <c r="A46" i="16"/>
  <c r="F45" i="16"/>
  <c r="E45" i="16"/>
  <c r="D45" i="16"/>
  <c r="C45" i="16"/>
  <c r="B45" i="16"/>
  <c r="A45" i="16"/>
  <c r="F44" i="16"/>
  <c r="E44" i="16"/>
  <c r="D44" i="16"/>
  <c r="C44" i="16"/>
  <c r="B44" i="16"/>
  <c r="A44" i="16"/>
  <c r="F43" i="16"/>
  <c r="E43" i="16"/>
  <c r="D43" i="16"/>
  <c r="C43" i="16"/>
  <c r="B43" i="16"/>
  <c r="A43" i="16"/>
  <c r="F42" i="16"/>
  <c r="E42" i="16"/>
  <c r="D42" i="16"/>
  <c r="C42" i="16"/>
  <c r="B42" i="16"/>
  <c r="A42" i="16"/>
  <c r="F41" i="16"/>
  <c r="E41" i="16"/>
  <c r="D41" i="16"/>
  <c r="C41" i="16"/>
  <c r="B41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A34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A33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A32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C24" i="16"/>
  <c r="B24" i="16"/>
  <c r="A24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A23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A22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P14" i="16"/>
  <c r="O14" i="16"/>
  <c r="N14" i="16"/>
  <c r="M14" i="16"/>
  <c r="L14" i="16"/>
  <c r="K14" i="16"/>
  <c r="J14" i="16"/>
  <c r="I14" i="16"/>
  <c r="H14" i="16"/>
  <c r="G14" i="16"/>
  <c r="F14" i="16"/>
  <c r="E14" i="16"/>
  <c r="D14" i="16"/>
  <c r="C14" i="16"/>
  <c r="B14" i="16"/>
  <c r="A14" i="16"/>
  <c r="P13" i="16"/>
  <c r="O13" i="16"/>
  <c r="N13" i="16"/>
  <c r="M13" i="16"/>
  <c r="L13" i="16"/>
  <c r="K13" i="16"/>
  <c r="J13" i="16"/>
  <c r="I13" i="16"/>
  <c r="H13" i="16"/>
  <c r="G13" i="16"/>
  <c r="F13" i="16"/>
  <c r="E13" i="16"/>
  <c r="D13" i="16"/>
  <c r="C13" i="16"/>
  <c r="B13" i="16"/>
  <c r="A13" i="16"/>
  <c r="P12" i="16"/>
  <c r="O12" i="16"/>
  <c r="N12" i="16"/>
  <c r="M12" i="16"/>
  <c r="L12" i="16"/>
  <c r="K12" i="16"/>
  <c r="J12" i="16"/>
  <c r="I12" i="16"/>
  <c r="H12" i="16"/>
  <c r="G12" i="16"/>
  <c r="F12" i="16"/>
  <c r="E12" i="16"/>
  <c r="D12" i="16"/>
  <c r="C12" i="16"/>
  <c r="B12" i="16"/>
  <c r="A12" i="16"/>
  <c r="P11" i="16"/>
  <c r="O11" i="16"/>
  <c r="N11" i="16"/>
  <c r="M11" i="16"/>
  <c r="L11" i="16"/>
  <c r="K11" i="16"/>
  <c r="J11" i="16"/>
  <c r="I11" i="16"/>
  <c r="H11" i="16"/>
  <c r="G11" i="16"/>
  <c r="F11" i="16"/>
  <c r="E11" i="16"/>
  <c r="D11" i="16"/>
  <c r="C11" i="16"/>
  <c r="B11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7" i="16"/>
  <c r="P6" i="16"/>
  <c r="O6" i="16"/>
  <c r="N6" i="16"/>
  <c r="M6" i="16"/>
  <c r="L6" i="16"/>
  <c r="K6" i="16"/>
  <c r="J6" i="16"/>
  <c r="I6" i="16"/>
  <c r="H6" i="16"/>
  <c r="G6" i="16"/>
  <c r="F6" i="16"/>
  <c r="E6" i="16"/>
  <c r="D6" i="16"/>
  <c r="C6" i="16"/>
  <c r="B6" i="16"/>
  <c r="A6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5" i="16"/>
  <c r="P4" i="16"/>
  <c r="O4" i="16"/>
  <c r="O163" i="16" s="1"/>
  <c r="N4" i="16"/>
  <c r="M4" i="16"/>
  <c r="M163" i="16" s="1"/>
  <c r="L4" i="16"/>
  <c r="L163" i="16" s="1"/>
  <c r="K4" i="16"/>
  <c r="K163" i="16" s="1"/>
  <c r="J4" i="16"/>
  <c r="J163" i="16" s="1"/>
  <c r="I4" i="16"/>
  <c r="I163" i="16" s="1"/>
  <c r="H4" i="16"/>
  <c r="H163" i="16" s="1"/>
  <c r="G4" i="16"/>
  <c r="G163" i="16" s="1"/>
  <c r="F4" i="16"/>
  <c r="E4" i="16"/>
  <c r="E163" i="16" s="1"/>
  <c r="D4" i="16"/>
  <c r="C4" i="16"/>
  <c r="B4" i="16"/>
  <c r="A4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A3" i="16"/>
  <c r="P2" i="16"/>
  <c r="P162" i="16" s="1"/>
  <c r="O2" i="16"/>
  <c r="O162" i="16" s="1"/>
  <c r="N2" i="16"/>
  <c r="N162" i="16" s="1"/>
  <c r="M2" i="16"/>
  <c r="M162" i="16" s="1"/>
  <c r="L2" i="16"/>
  <c r="L162" i="16" s="1"/>
  <c r="K2" i="16"/>
  <c r="K162" i="16" s="1"/>
  <c r="J2" i="16"/>
  <c r="J162" i="16" s="1"/>
  <c r="I2" i="16"/>
  <c r="I162" i="16" s="1"/>
  <c r="H2" i="16"/>
  <c r="G2" i="16"/>
  <c r="G162" i="16" s="1"/>
  <c r="F2" i="16"/>
  <c r="F162" i="16" s="1"/>
  <c r="E2" i="16"/>
  <c r="E162" i="16" s="1"/>
  <c r="D2" i="16"/>
  <c r="D162" i="16" s="1"/>
  <c r="C2" i="16"/>
  <c r="C162" i="16" s="1"/>
  <c r="B2" i="16"/>
  <c r="B162" i="16" s="1"/>
  <c r="A2" i="16"/>
  <c r="A162" i="16" s="1"/>
  <c r="P1" i="16"/>
  <c r="O1" i="16"/>
  <c r="N1" i="16"/>
  <c r="M1" i="16"/>
  <c r="L1" i="16"/>
  <c r="K1" i="16"/>
  <c r="J1" i="16"/>
  <c r="I1" i="16"/>
  <c r="H1" i="16"/>
  <c r="G1" i="16"/>
  <c r="F1" i="16"/>
  <c r="E1" i="16"/>
  <c r="D1" i="16"/>
  <c r="C1" i="16"/>
  <c r="B1" i="16"/>
  <c r="P163" i="16"/>
  <c r="N163" i="16"/>
  <c r="F163" i="16"/>
  <c r="A163" i="16"/>
  <c r="H162" i="16"/>
  <c r="A2" i="14"/>
  <c r="A46" i="14"/>
  <c r="B46" i="14"/>
  <c r="C46" i="14"/>
  <c r="D46" i="14"/>
  <c r="E46" i="14"/>
  <c r="F46" i="14"/>
  <c r="G46" i="14"/>
  <c r="H46" i="14"/>
  <c r="I46" i="14"/>
  <c r="J46" i="14"/>
  <c r="K46" i="14"/>
  <c r="L46" i="14"/>
  <c r="M46" i="14"/>
  <c r="N46" i="14"/>
  <c r="O46" i="14"/>
  <c r="P46" i="14"/>
  <c r="N41" i="14"/>
  <c r="O41" i="14"/>
  <c r="P41" i="14"/>
  <c r="N42" i="14"/>
  <c r="O42" i="14"/>
  <c r="P42" i="14"/>
  <c r="N43" i="14"/>
  <c r="O43" i="14"/>
  <c r="P43" i="14"/>
  <c r="N44" i="14"/>
  <c r="O44" i="14"/>
  <c r="P44" i="14"/>
  <c r="N45" i="14"/>
  <c r="O45" i="14"/>
  <c r="P45" i="14"/>
  <c r="C41" i="14"/>
  <c r="D41" i="14"/>
  <c r="E41" i="14"/>
  <c r="F41" i="14"/>
  <c r="G41" i="14"/>
  <c r="H41" i="14"/>
  <c r="I41" i="14"/>
  <c r="J41" i="14"/>
  <c r="K41" i="14"/>
  <c r="L41" i="14"/>
  <c r="M41" i="14"/>
  <c r="B42" i="14"/>
  <c r="C42" i="14"/>
  <c r="D42" i="14"/>
  <c r="E42" i="14"/>
  <c r="F42" i="14"/>
  <c r="G42" i="14"/>
  <c r="H42" i="14"/>
  <c r="I42" i="14"/>
  <c r="J42" i="14"/>
  <c r="K42" i="14"/>
  <c r="L42" i="14"/>
  <c r="M42" i="14"/>
  <c r="B43" i="14"/>
  <c r="C43" i="14"/>
  <c r="D43" i="14"/>
  <c r="E43" i="14"/>
  <c r="F43" i="14"/>
  <c r="G43" i="14"/>
  <c r="H43" i="14"/>
  <c r="I43" i="14"/>
  <c r="J43" i="14"/>
  <c r="K43" i="14"/>
  <c r="L43" i="14"/>
  <c r="M43" i="14"/>
  <c r="B44" i="14"/>
  <c r="C44" i="14"/>
  <c r="D44" i="14"/>
  <c r="E44" i="14"/>
  <c r="F44" i="14"/>
  <c r="G44" i="14"/>
  <c r="H44" i="14"/>
  <c r="I44" i="14"/>
  <c r="J44" i="14"/>
  <c r="K44" i="14"/>
  <c r="L44" i="14"/>
  <c r="M44" i="14"/>
  <c r="B45" i="14"/>
  <c r="C45" i="14"/>
  <c r="D45" i="14"/>
  <c r="E45" i="14"/>
  <c r="F45" i="14"/>
  <c r="G45" i="14"/>
  <c r="H45" i="14"/>
  <c r="I45" i="14"/>
  <c r="J45" i="14"/>
  <c r="K45" i="14"/>
  <c r="L45" i="14"/>
  <c r="M45" i="14"/>
  <c r="A45" i="14"/>
  <c r="A44" i="14"/>
  <c r="A43" i="14"/>
  <c r="A42" i="14"/>
  <c r="B41" i="14"/>
  <c r="B32" i="14"/>
  <c r="C32" i="14"/>
  <c r="D32" i="14"/>
  <c r="E32" i="14"/>
  <c r="F32" i="14"/>
  <c r="G32" i="14"/>
  <c r="H32" i="14"/>
  <c r="I32" i="14"/>
  <c r="J32" i="14"/>
  <c r="K32" i="14"/>
  <c r="L32" i="14"/>
  <c r="M32" i="14"/>
  <c r="B33" i="14"/>
  <c r="C33" i="14"/>
  <c r="D33" i="14"/>
  <c r="E33" i="14"/>
  <c r="B34" i="14"/>
  <c r="C34" i="14"/>
  <c r="D34" i="14"/>
  <c r="E34" i="14"/>
  <c r="F34" i="14"/>
  <c r="G34" i="14"/>
  <c r="H34" i="14"/>
  <c r="I34" i="14"/>
  <c r="J34" i="14"/>
  <c r="K34" i="14"/>
  <c r="L34" i="14"/>
  <c r="M34" i="14"/>
  <c r="B35" i="14"/>
  <c r="C35" i="14"/>
  <c r="D35" i="14"/>
  <c r="E35" i="14"/>
  <c r="B36" i="14"/>
  <c r="C36" i="14"/>
  <c r="D36" i="14"/>
  <c r="E36" i="14"/>
  <c r="F36" i="14"/>
  <c r="G36" i="14"/>
  <c r="H36" i="14"/>
  <c r="I36" i="14"/>
  <c r="J36" i="14"/>
  <c r="K36" i="14"/>
  <c r="L36" i="14"/>
  <c r="M36" i="14"/>
  <c r="B37" i="14"/>
  <c r="C37" i="14"/>
  <c r="D37" i="14"/>
  <c r="E37" i="14"/>
  <c r="A33" i="14"/>
  <c r="A34" i="14"/>
  <c r="A35" i="14"/>
  <c r="A36" i="14"/>
  <c r="A37" i="14"/>
  <c r="A32" i="14"/>
  <c r="C31" i="14"/>
  <c r="D31" i="14"/>
  <c r="E31" i="14"/>
  <c r="F31" i="14"/>
  <c r="G31" i="14"/>
  <c r="H31" i="14"/>
  <c r="I31" i="14"/>
  <c r="J31" i="14"/>
  <c r="K31" i="14"/>
  <c r="L31" i="14"/>
  <c r="M31" i="14"/>
  <c r="B31" i="14"/>
  <c r="A53" i="13"/>
  <c r="A54" i="13"/>
  <c r="A55" i="13"/>
  <c r="A56" i="13"/>
  <c r="A57" i="13"/>
  <c r="A52" i="13"/>
  <c r="G51" i="13"/>
  <c r="H51" i="13"/>
  <c r="D41" i="13"/>
  <c r="G41" i="13"/>
  <c r="J41" i="13"/>
  <c r="C42" i="13"/>
  <c r="C43" i="13"/>
  <c r="D43" i="13"/>
  <c r="E43" i="13"/>
  <c r="F43" i="13"/>
  <c r="G43" i="13"/>
  <c r="H43" i="13"/>
  <c r="I43" i="13"/>
  <c r="J43" i="13"/>
  <c r="K43" i="13"/>
  <c r="L43" i="13"/>
  <c r="M43" i="13"/>
  <c r="C44" i="13"/>
  <c r="D44" i="13"/>
  <c r="E44" i="13"/>
  <c r="C45" i="13"/>
  <c r="D45" i="13"/>
  <c r="E45" i="13"/>
  <c r="F45" i="13"/>
  <c r="G45" i="13"/>
  <c r="H45" i="13"/>
  <c r="I45" i="13"/>
  <c r="J45" i="13"/>
  <c r="K45" i="13"/>
  <c r="L45" i="13"/>
  <c r="M45" i="13"/>
  <c r="C46" i="13"/>
  <c r="D46" i="13"/>
  <c r="E46" i="13"/>
  <c r="B46" i="13"/>
  <c r="B45" i="13"/>
  <c r="B44" i="13"/>
  <c r="B43" i="13"/>
  <c r="B42" i="13"/>
  <c r="B41" i="13"/>
  <c r="C40" i="13"/>
  <c r="C51" i="13" s="1"/>
  <c r="D40" i="13"/>
  <c r="D51" i="13" s="1"/>
  <c r="E40" i="13"/>
  <c r="E51" i="13" s="1"/>
  <c r="F40" i="13"/>
  <c r="G40" i="13"/>
  <c r="H40" i="13"/>
  <c r="I40" i="13"/>
  <c r="J40" i="13"/>
  <c r="J51" i="13" s="1"/>
  <c r="K40" i="13"/>
  <c r="L40" i="13"/>
  <c r="M40" i="13"/>
  <c r="M51" i="13" s="1"/>
  <c r="B40" i="13"/>
  <c r="B51" i="13" s="1"/>
  <c r="A46" i="13"/>
  <c r="A45" i="13"/>
  <c r="A44" i="13"/>
  <c r="A43" i="13"/>
  <c r="A42" i="13"/>
  <c r="A41" i="13"/>
  <c r="C34" i="13"/>
  <c r="D34" i="13"/>
  <c r="D42" i="13" s="1"/>
  <c r="E34" i="13"/>
  <c r="E42" i="13" s="1"/>
  <c r="B34" i="13"/>
  <c r="B31" i="13"/>
  <c r="C31" i="13"/>
  <c r="C41" i="13" s="1"/>
  <c r="D31" i="13"/>
  <c r="E31" i="13"/>
  <c r="E41" i="13" s="1"/>
  <c r="F31" i="13"/>
  <c r="F41" i="13" s="1"/>
  <c r="G31" i="13"/>
  <c r="H31" i="13"/>
  <c r="H41" i="13" s="1"/>
  <c r="I31" i="13"/>
  <c r="I41" i="13" s="1"/>
  <c r="J31" i="13"/>
  <c r="K31" i="13"/>
  <c r="K41" i="13" s="1"/>
  <c r="L31" i="13"/>
  <c r="L41" i="13" s="1"/>
  <c r="M31" i="13"/>
  <c r="M41" i="13" s="1"/>
  <c r="C164" i="3"/>
  <c r="D164" i="3"/>
  <c r="E164" i="3"/>
  <c r="B164" i="3"/>
  <c r="C161" i="3"/>
  <c r="D161" i="3"/>
  <c r="E161" i="3"/>
  <c r="F161" i="3"/>
  <c r="G161" i="3"/>
  <c r="H161" i="3"/>
  <c r="I161" i="3"/>
  <c r="J161" i="3"/>
  <c r="K161" i="3"/>
  <c r="L161" i="3"/>
  <c r="M161" i="3"/>
  <c r="N161" i="3"/>
  <c r="O161" i="3"/>
  <c r="P161" i="3"/>
  <c r="B161" i="3"/>
  <c r="B156" i="3"/>
  <c r="A21" i="14"/>
  <c r="A22" i="14"/>
  <c r="A23" i="14"/>
  <c r="A24" i="14"/>
  <c r="A25" i="14"/>
  <c r="A26" i="14"/>
  <c r="B21" i="14"/>
  <c r="B22" i="14"/>
  <c r="B23" i="14"/>
  <c r="B24" i="14"/>
  <c r="B25" i="14"/>
  <c r="B26" i="14"/>
  <c r="C21" i="14"/>
  <c r="C22" i="14"/>
  <c r="C23" i="14"/>
  <c r="C24" i="14"/>
  <c r="C25" i="14"/>
  <c r="C26" i="14"/>
  <c r="D21" i="14"/>
  <c r="D22" i="14"/>
  <c r="D23" i="14"/>
  <c r="D24" i="14"/>
  <c r="D25" i="14"/>
  <c r="D26" i="14"/>
  <c r="E21" i="14"/>
  <c r="E22" i="14"/>
  <c r="E23" i="14"/>
  <c r="E24" i="14"/>
  <c r="E25" i="14"/>
  <c r="E26" i="14"/>
  <c r="F23" i="14"/>
  <c r="F24" i="14"/>
  <c r="F25" i="14"/>
  <c r="A86" i="12"/>
  <c r="F85" i="12"/>
  <c r="D85" i="12"/>
  <c r="A76" i="12"/>
  <c r="E75" i="12"/>
  <c r="D75" i="12"/>
  <c r="B75" i="12"/>
  <c r="A66" i="12"/>
  <c r="E65" i="12"/>
  <c r="D65" i="12"/>
  <c r="A56" i="12"/>
  <c r="E55" i="12"/>
  <c r="D55" i="12"/>
  <c r="A96" i="10"/>
  <c r="A86" i="10"/>
  <c r="F85" i="10"/>
  <c r="E85" i="10"/>
  <c r="D85" i="10"/>
  <c r="A76" i="10"/>
  <c r="E75" i="10"/>
  <c r="B75" i="10"/>
  <c r="A66" i="10"/>
  <c r="F65" i="10"/>
  <c r="E65" i="10"/>
  <c r="A56" i="10"/>
  <c r="D55" i="10"/>
  <c r="A136" i="8"/>
  <c r="F135" i="8"/>
  <c r="B135" i="8"/>
  <c r="A126" i="8"/>
  <c r="F125" i="8"/>
  <c r="D125" i="8"/>
  <c r="C125" i="8"/>
  <c r="B125" i="8"/>
  <c r="A116" i="8"/>
  <c r="D115" i="8"/>
  <c r="C115" i="8"/>
  <c r="B115" i="8"/>
  <c r="A106" i="8"/>
  <c r="F105" i="8"/>
  <c r="D105" i="8"/>
  <c r="A96" i="8"/>
  <c r="F95" i="8"/>
  <c r="E95" i="8"/>
  <c r="D95" i="8"/>
  <c r="C95" i="8"/>
  <c r="B95" i="8"/>
  <c r="A86" i="8"/>
  <c r="F85" i="8"/>
  <c r="B85" i="8"/>
  <c r="A76" i="8"/>
  <c r="F75" i="8"/>
  <c r="D75" i="8"/>
  <c r="C75" i="8"/>
  <c r="B75" i="8"/>
  <c r="A66" i="8"/>
  <c r="D65" i="8"/>
  <c r="C65" i="8"/>
  <c r="B65" i="8"/>
  <c r="A56" i="8"/>
  <c r="F55" i="8"/>
  <c r="D55" i="8"/>
  <c r="A66" i="6"/>
  <c r="F65" i="6"/>
  <c r="E65" i="6"/>
  <c r="D65" i="6"/>
  <c r="A56" i="6"/>
  <c r="F55" i="6"/>
  <c r="A66" i="4"/>
  <c r="D55" i="4"/>
  <c r="E55" i="4"/>
  <c r="A56" i="4"/>
  <c r="F157" i="12"/>
  <c r="E157" i="12"/>
  <c r="D157" i="12"/>
  <c r="C157" i="12"/>
  <c r="B157" i="12"/>
  <c r="A157" i="12"/>
  <c r="F156" i="12"/>
  <c r="E156" i="12"/>
  <c r="D156" i="12"/>
  <c r="C156" i="12"/>
  <c r="B156" i="12"/>
  <c r="A156" i="12"/>
  <c r="F155" i="12"/>
  <c r="F75" i="12" s="1"/>
  <c r="E155" i="12"/>
  <c r="E85" i="12" s="1"/>
  <c r="D155" i="12"/>
  <c r="C155" i="12"/>
  <c r="C65" i="12" s="1"/>
  <c r="B155" i="12"/>
  <c r="B65" i="12" s="1"/>
  <c r="F157" i="10"/>
  <c r="E157" i="10"/>
  <c r="D157" i="10"/>
  <c r="C157" i="10"/>
  <c r="B157" i="10"/>
  <c r="A157" i="10"/>
  <c r="F156" i="10"/>
  <c r="E156" i="10"/>
  <c r="D156" i="10"/>
  <c r="C156" i="10"/>
  <c r="B156" i="10"/>
  <c r="A156" i="10"/>
  <c r="F155" i="10"/>
  <c r="F75" i="10" s="1"/>
  <c r="E155" i="10"/>
  <c r="E95" i="10" s="1"/>
  <c r="D155" i="10"/>
  <c r="D95" i="10" s="1"/>
  <c r="C155" i="10"/>
  <c r="C65" i="10" s="1"/>
  <c r="B155" i="10"/>
  <c r="B65" i="10" s="1"/>
  <c r="F157" i="8"/>
  <c r="E157" i="8"/>
  <c r="D157" i="8"/>
  <c r="C157" i="8"/>
  <c r="B157" i="8"/>
  <c r="A157" i="8"/>
  <c r="F156" i="8"/>
  <c r="E156" i="8"/>
  <c r="D156" i="8"/>
  <c r="C156" i="8"/>
  <c r="B156" i="8"/>
  <c r="A156" i="8"/>
  <c r="F155" i="8"/>
  <c r="F115" i="8" s="1"/>
  <c r="E155" i="8"/>
  <c r="E135" i="8" s="1"/>
  <c r="D155" i="8"/>
  <c r="D135" i="8" s="1"/>
  <c r="C155" i="8"/>
  <c r="C105" i="8" s="1"/>
  <c r="B155" i="8"/>
  <c r="B105" i="8" s="1"/>
  <c r="F157" i="6"/>
  <c r="E157" i="6"/>
  <c r="D157" i="6"/>
  <c r="C157" i="6"/>
  <c r="B157" i="6"/>
  <c r="A157" i="6"/>
  <c r="F156" i="6"/>
  <c r="E156" i="6"/>
  <c r="D156" i="6"/>
  <c r="C156" i="6"/>
  <c r="B156" i="6"/>
  <c r="A156" i="6"/>
  <c r="F155" i="6"/>
  <c r="E155" i="6"/>
  <c r="E55" i="6" s="1"/>
  <c r="D155" i="6"/>
  <c r="D55" i="6" s="1"/>
  <c r="C155" i="6"/>
  <c r="C55" i="6" s="1"/>
  <c r="B155" i="6"/>
  <c r="B55" i="6" s="1"/>
  <c r="F157" i="4"/>
  <c r="E157" i="4"/>
  <c r="D157" i="4"/>
  <c r="C157" i="4"/>
  <c r="B157" i="4"/>
  <c r="A157" i="4"/>
  <c r="F156" i="4"/>
  <c r="E156" i="4"/>
  <c r="D156" i="4"/>
  <c r="C156" i="4"/>
  <c r="B156" i="4"/>
  <c r="A156" i="4"/>
  <c r="F155" i="4"/>
  <c r="F55" i="4" s="1"/>
  <c r="E155" i="4"/>
  <c r="E65" i="4" s="1"/>
  <c r="D155" i="4"/>
  <c r="D65" i="4" s="1"/>
  <c r="C155" i="4"/>
  <c r="C55" i="4" s="1"/>
  <c r="B155" i="4"/>
  <c r="B55" i="4" s="1"/>
  <c r="C156" i="3"/>
  <c r="D156" i="3"/>
  <c r="E156" i="3"/>
  <c r="F156" i="3"/>
  <c r="B157" i="3"/>
  <c r="C157" i="3"/>
  <c r="D157" i="3"/>
  <c r="E157" i="3"/>
  <c r="F157" i="3"/>
  <c r="C155" i="3"/>
  <c r="D155" i="3"/>
  <c r="E155" i="3"/>
  <c r="F155" i="3"/>
  <c r="B155" i="3"/>
  <c r="A157" i="3"/>
  <c r="A156" i="3"/>
  <c r="C152" i="12"/>
  <c r="D152" i="12"/>
  <c r="E152" i="12"/>
  <c r="F152" i="12"/>
  <c r="G152" i="12"/>
  <c r="H152" i="12"/>
  <c r="I152" i="12"/>
  <c r="J152" i="12"/>
  <c r="K152" i="12"/>
  <c r="L152" i="12"/>
  <c r="M152" i="12"/>
  <c r="N152" i="12"/>
  <c r="O152" i="12"/>
  <c r="P152" i="12"/>
  <c r="B152" i="12"/>
  <c r="C152" i="10"/>
  <c r="D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B152" i="10"/>
  <c r="C152" i="8"/>
  <c r="D152" i="8"/>
  <c r="E152" i="8"/>
  <c r="F152" i="8"/>
  <c r="G152" i="8"/>
  <c r="H152" i="8"/>
  <c r="I152" i="8"/>
  <c r="J152" i="8"/>
  <c r="K152" i="8"/>
  <c r="L152" i="8"/>
  <c r="M152" i="8"/>
  <c r="N152" i="8"/>
  <c r="O152" i="8"/>
  <c r="P152" i="8"/>
  <c r="B152" i="8"/>
  <c r="C152" i="6"/>
  <c r="D152" i="6"/>
  <c r="E152" i="6"/>
  <c r="F152" i="6"/>
  <c r="G152" i="6"/>
  <c r="H152" i="6"/>
  <c r="I152" i="6"/>
  <c r="J152" i="6"/>
  <c r="K152" i="6"/>
  <c r="L152" i="6"/>
  <c r="M152" i="6"/>
  <c r="N152" i="6"/>
  <c r="O152" i="6"/>
  <c r="P152" i="6"/>
  <c r="B152" i="6"/>
  <c r="C152" i="4"/>
  <c r="D152" i="4"/>
  <c r="E152" i="4"/>
  <c r="F152" i="4"/>
  <c r="G152" i="4"/>
  <c r="H152" i="4"/>
  <c r="I152" i="4"/>
  <c r="J152" i="4"/>
  <c r="K152" i="4"/>
  <c r="L152" i="4"/>
  <c r="M152" i="4"/>
  <c r="N152" i="4"/>
  <c r="O152" i="4"/>
  <c r="P152" i="4"/>
  <c r="B152" i="4"/>
  <c r="C152" i="3"/>
  <c r="D152" i="3"/>
  <c r="E152" i="3"/>
  <c r="F152" i="3"/>
  <c r="G152" i="3"/>
  <c r="H152" i="3"/>
  <c r="I152" i="3"/>
  <c r="J152" i="3"/>
  <c r="K152" i="3"/>
  <c r="L152" i="3"/>
  <c r="M152" i="3"/>
  <c r="N152" i="3"/>
  <c r="O152" i="3"/>
  <c r="P152" i="3"/>
  <c r="B152" i="3"/>
  <c r="P153" i="12"/>
  <c r="O153" i="12"/>
  <c r="N153" i="12"/>
  <c r="M153" i="12"/>
  <c r="L153" i="12"/>
  <c r="K153" i="12"/>
  <c r="J153" i="12"/>
  <c r="I153" i="12"/>
  <c r="H153" i="12"/>
  <c r="G153" i="12"/>
  <c r="F153" i="12"/>
  <c r="E153" i="12"/>
  <c r="D153" i="12"/>
  <c r="C153" i="12"/>
  <c r="B153" i="12"/>
  <c r="A153" i="12"/>
  <c r="A152" i="12"/>
  <c r="P151" i="12"/>
  <c r="O151" i="12"/>
  <c r="N151" i="12"/>
  <c r="M151" i="12"/>
  <c r="L151" i="12"/>
  <c r="K151" i="12"/>
  <c r="J151" i="12"/>
  <c r="I151" i="12"/>
  <c r="H151" i="12"/>
  <c r="G151" i="12"/>
  <c r="F151" i="12"/>
  <c r="E151" i="12"/>
  <c r="D151" i="12"/>
  <c r="C151" i="12"/>
  <c r="B151" i="12"/>
  <c r="P153" i="10"/>
  <c r="O153" i="10"/>
  <c r="N153" i="10"/>
  <c r="M153" i="10"/>
  <c r="L153" i="10"/>
  <c r="K153" i="10"/>
  <c r="J153" i="10"/>
  <c r="I153" i="10"/>
  <c r="H153" i="10"/>
  <c r="G153" i="10"/>
  <c r="F153" i="10"/>
  <c r="E153" i="10"/>
  <c r="D153" i="10"/>
  <c r="C153" i="10"/>
  <c r="B153" i="10"/>
  <c r="A153" i="10"/>
  <c r="A152" i="10"/>
  <c r="P151" i="10"/>
  <c r="O151" i="10"/>
  <c r="N151" i="10"/>
  <c r="M151" i="10"/>
  <c r="L151" i="10"/>
  <c r="K151" i="10"/>
  <c r="J151" i="10"/>
  <c r="I151" i="10"/>
  <c r="H151" i="10"/>
  <c r="G151" i="10"/>
  <c r="F151" i="10"/>
  <c r="E151" i="10"/>
  <c r="D151" i="10"/>
  <c r="C151" i="10"/>
  <c r="B151" i="10"/>
  <c r="B151" i="6"/>
  <c r="C151" i="6"/>
  <c r="D151" i="6"/>
  <c r="E151" i="6"/>
  <c r="F151" i="6"/>
  <c r="G151" i="6"/>
  <c r="H151" i="6"/>
  <c r="I151" i="6"/>
  <c r="J151" i="6"/>
  <c r="K151" i="6"/>
  <c r="L151" i="6"/>
  <c r="M151" i="6"/>
  <c r="N151" i="6"/>
  <c r="O151" i="6"/>
  <c r="P151" i="6"/>
  <c r="A152" i="6"/>
  <c r="A153" i="6"/>
  <c r="B153" i="6"/>
  <c r="C153" i="6"/>
  <c r="D153" i="6"/>
  <c r="E153" i="6"/>
  <c r="F153" i="6"/>
  <c r="G153" i="6"/>
  <c r="H153" i="6"/>
  <c r="I153" i="6"/>
  <c r="J153" i="6"/>
  <c r="K153" i="6"/>
  <c r="L153" i="6"/>
  <c r="M153" i="6"/>
  <c r="N153" i="6"/>
  <c r="O153" i="6"/>
  <c r="P153" i="6"/>
  <c r="P153" i="4"/>
  <c r="O153" i="4"/>
  <c r="N153" i="4"/>
  <c r="M153" i="4"/>
  <c r="L153" i="4"/>
  <c r="K153" i="4"/>
  <c r="J153" i="4"/>
  <c r="I153" i="4"/>
  <c r="H153" i="4"/>
  <c r="G153" i="4"/>
  <c r="F153" i="4"/>
  <c r="E153" i="4"/>
  <c r="D153" i="4"/>
  <c r="C153" i="4"/>
  <c r="B153" i="4"/>
  <c r="A153" i="4"/>
  <c r="A152" i="4"/>
  <c r="P151" i="4"/>
  <c r="O151" i="4"/>
  <c r="N151" i="4"/>
  <c r="M151" i="4"/>
  <c r="L151" i="4"/>
  <c r="K151" i="4"/>
  <c r="J151" i="4"/>
  <c r="I151" i="4"/>
  <c r="H151" i="4"/>
  <c r="G151" i="4"/>
  <c r="F151" i="4"/>
  <c r="E151" i="4"/>
  <c r="D151" i="4"/>
  <c r="C151" i="4"/>
  <c r="B151" i="4"/>
  <c r="P153" i="3"/>
  <c r="O153" i="3"/>
  <c r="N153" i="3"/>
  <c r="M153" i="3"/>
  <c r="L153" i="3"/>
  <c r="K153" i="3"/>
  <c r="J153" i="3"/>
  <c r="I153" i="3"/>
  <c r="H153" i="3"/>
  <c r="G153" i="3"/>
  <c r="F153" i="3"/>
  <c r="E153" i="3"/>
  <c r="D153" i="3"/>
  <c r="C153" i="3"/>
  <c r="B153" i="3"/>
  <c r="A153" i="3"/>
  <c r="A152" i="3"/>
  <c r="P151" i="3"/>
  <c r="O151" i="3"/>
  <c r="N151" i="3"/>
  <c r="M151" i="3"/>
  <c r="L151" i="3"/>
  <c r="K151" i="3"/>
  <c r="J151" i="3"/>
  <c r="I151" i="3"/>
  <c r="H151" i="3"/>
  <c r="G151" i="3"/>
  <c r="F151" i="3"/>
  <c r="E151" i="3"/>
  <c r="D151" i="3"/>
  <c r="C151" i="3"/>
  <c r="B151" i="3"/>
  <c r="C151" i="8"/>
  <c r="D151" i="8"/>
  <c r="E151" i="8"/>
  <c r="F151" i="8"/>
  <c r="G151" i="8"/>
  <c r="H151" i="8"/>
  <c r="I151" i="8"/>
  <c r="J151" i="8"/>
  <c r="K151" i="8"/>
  <c r="L151" i="8"/>
  <c r="M151" i="8"/>
  <c r="N151" i="8"/>
  <c r="O151" i="8"/>
  <c r="P151" i="8"/>
  <c r="B151" i="8"/>
  <c r="B153" i="8"/>
  <c r="C153" i="8"/>
  <c r="D153" i="8"/>
  <c r="E153" i="8"/>
  <c r="F153" i="8"/>
  <c r="G153" i="8"/>
  <c r="H153" i="8"/>
  <c r="I153" i="8"/>
  <c r="J153" i="8"/>
  <c r="K153" i="8"/>
  <c r="L153" i="8"/>
  <c r="M153" i="8"/>
  <c r="N153" i="8"/>
  <c r="O153" i="8"/>
  <c r="P153" i="8"/>
  <c r="A153" i="8"/>
  <c r="A152" i="8"/>
  <c r="B1" i="14"/>
  <c r="C1" i="14"/>
  <c r="D1" i="14"/>
  <c r="E1" i="14"/>
  <c r="F1" i="14"/>
  <c r="H1" i="14"/>
  <c r="I1" i="14"/>
  <c r="J1" i="14"/>
  <c r="K1" i="14"/>
  <c r="L1" i="14"/>
  <c r="M1" i="14"/>
  <c r="N1" i="14"/>
  <c r="O1" i="14"/>
  <c r="P1" i="14"/>
  <c r="Q1" i="14"/>
  <c r="R1" i="14"/>
  <c r="S1" i="14"/>
  <c r="T1" i="14"/>
  <c r="B2" i="14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B3" i="14"/>
  <c r="C3" i="14"/>
  <c r="D3" i="14"/>
  <c r="E3" i="14"/>
  <c r="F3" i="14"/>
  <c r="G3" i="14"/>
  <c r="H3" i="14"/>
  <c r="I3" i="14"/>
  <c r="J3" i="14"/>
  <c r="K3" i="14"/>
  <c r="L3" i="14"/>
  <c r="M3" i="14"/>
  <c r="N3" i="14"/>
  <c r="O3" i="14"/>
  <c r="P3" i="14"/>
  <c r="Q3" i="14"/>
  <c r="R3" i="14"/>
  <c r="S3" i="14"/>
  <c r="T3" i="14"/>
  <c r="B4" i="14"/>
  <c r="C4" i="14"/>
  <c r="D4" i="14"/>
  <c r="E4" i="14"/>
  <c r="F4" i="14"/>
  <c r="G4" i="14"/>
  <c r="H4" i="14"/>
  <c r="I4" i="14"/>
  <c r="J4" i="14"/>
  <c r="K4" i="14"/>
  <c r="L4" i="14"/>
  <c r="M4" i="14"/>
  <c r="N4" i="14"/>
  <c r="O4" i="14"/>
  <c r="P4" i="14"/>
  <c r="Q4" i="14"/>
  <c r="R4" i="14"/>
  <c r="S4" i="14"/>
  <c r="T4" i="14"/>
  <c r="B5" i="14"/>
  <c r="C5" i="14"/>
  <c r="D5" i="14"/>
  <c r="E5" i="14"/>
  <c r="F5" i="14"/>
  <c r="G5" i="14"/>
  <c r="H5" i="14"/>
  <c r="I5" i="14"/>
  <c r="J5" i="14"/>
  <c r="K5" i="14"/>
  <c r="L5" i="14"/>
  <c r="M5" i="14"/>
  <c r="N5" i="14"/>
  <c r="O5" i="14"/>
  <c r="P5" i="14"/>
  <c r="Q5" i="14"/>
  <c r="R5" i="14"/>
  <c r="S5" i="14"/>
  <c r="T5" i="14"/>
  <c r="B6" i="14"/>
  <c r="C6" i="14"/>
  <c r="D6" i="14"/>
  <c r="E6" i="14"/>
  <c r="F6" i="14"/>
  <c r="G6" i="14"/>
  <c r="H6" i="14"/>
  <c r="I6" i="14"/>
  <c r="J6" i="14"/>
  <c r="K6" i="14"/>
  <c r="L6" i="14"/>
  <c r="M6" i="14"/>
  <c r="N6" i="14"/>
  <c r="O6" i="14"/>
  <c r="P6" i="14"/>
  <c r="Q6" i="14"/>
  <c r="R6" i="14"/>
  <c r="S6" i="14"/>
  <c r="T6" i="14"/>
  <c r="B7" i="14"/>
  <c r="C7" i="14"/>
  <c r="D7" i="14"/>
  <c r="E7" i="14"/>
  <c r="F7" i="14"/>
  <c r="G7" i="14"/>
  <c r="H7" i="14"/>
  <c r="I7" i="14"/>
  <c r="J7" i="14"/>
  <c r="K7" i="14"/>
  <c r="L7" i="14"/>
  <c r="M7" i="14"/>
  <c r="N7" i="14"/>
  <c r="O7" i="14"/>
  <c r="P7" i="14"/>
  <c r="Q7" i="14"/>
  <c r="R7" i="14"/>
  <c r="S7" i="14"/>
  <c r="T7" i="14"/>
  <c r="B8" i="14"/>
  <c r="C8" i="14"/>
  <c r="D8" i="14"/>
  <c r="E8" i="14"/>
  <c r="F8" i="14"/>
  <c r="G8" i="14"/>
  <c r="H8" i="14"/>
  <c r="I8" i="14"/>
  <c r="J8" i="14"/>
  <c r="K8" i="14"/>
  <c r="L8" i="14"/>
  <c r="M8" i="14"/>
  <c r="N8" i="14"/>
  <c r="O8" i="14"/>
  <c r="P8" i="14"/>
  <c r="Q8" i="14"/>
  <c r="R8" i="14"/>
  <c r="S8" i="14"/>
  <c r="T8" i="14"/>
  <c r="B9" i="14"/>
  <c r="C9" i="14"/>
  <c r="D9" i="14"/>
  <c r="E9" i="14"/>
  <c r="F9" i="14"/>
  <c r="G9" i="14"/>
  <c r="H9" i="14"/>
  <c r="I9" i="14"/>
  <c r="J9" i="14"/>
  <c r="K9" i="14"/>
  <c r="L9" i="14"/>
  <c r="M9" i="14"/>
  <c r="N9" i="14"/>
  <c r="O9" i="14"/>
  <c r="P9" i="14"/>
  <c r="Q9" i="14"/>
  <c r="R9" i="14"/>
  <c r="S9" i="14"/>
  <c r="T9" i="14"/>
  <c r="B10" i="14"/>
  <c r="C10" i="14"/>
  <c r="D10" i="14"/>
  <c r="E10" i="14"/>
  <c r="F10" i="14"/>
  <c r="G10" i="14"/>
  <c r="H10" i="14"/>
  <c r="I10" i="14"/>
  <c r="J10" i="14"/>
  <c r="K10" i="14"/>
  <c r="L10" i="14"/>
  <c r="M10" i="14"/>
  <c r="N10" i="14"/>
  <c r="O10" i="14"/>
  <c r="P10" i="14"/>
  <c r="Q10" i="14"/>
  <c r="R10" i="14"/>
  <c r="S10" i="14"/>
  <c r="T10" i="14"/>
  <c r="B11" i="14"/>
  <c r="C11" i="14"/>
  <c r="D11" i="14"/>
  <c r="E11" i="14"/>
  <c r="F11" i="14"/>
  <c r="G11" i="14"/>
  <c r="H11" i="14"/>
  <c r="I11" i="14"/>
  <c r="J11" i="14"/>
  <c r="K11" i="14"/>
  <c r="L11" i="14"/>
  <c r="M11" i="14"/>
  <c r="N11" i="14"/>
  <c r="O11" i="14"/>
  <c r="P11" i="14"/>
  <c r="Q11" i="14"/>
  <c r="R11" i="14"/>
  <c r="S11" i="14"/>
  <c r="T11" i="14"/>
  <c r="B12" i="14"/>
  <c r="C12" i="14"/>
  <c r="D12" i="14"/>
  <c r="E12" i="14"/>
  <c r="F12" i="14"/>
  <c r="G12" i="14"/>
  <c r="H12" i="14"/>
  <c r="I12" i="14"/>
  <c r="J12" i="14"/>
  <c r="K12" i="14"/>
  <c r="L12" i="14"/>
  <c r="M12" i="14"/>
  <c r="N12" i="14"/>
  <c r="O12" i="14"/>
  <c r="P12" i="14"/>
  <c r="Q12" i="14"/>
  <c r="R12" i="14"/>
  <c r="S12" i="14"/>
  <c r="T12" i="14"/>
  <c r="B13" i="14"/>
  <c r="C13" i="14"/>
  <c r="D13" i="14"/>
  <c r="E13" i="14"/>
  <c r="F13" i="14"/>
  <c r="G13" i="14"/>
  <c r="H13" i="14"/>
  <c r="I13" i="14"/>
  <c r="J13" i="14"/>
  <c r="K13" i="14"/>
  <c r="L13" i="14"/>
  <c r="M13" i="14"/>
  <c r="N13" i="14"/>
  <c r="O13" i="14"/>
  <c r="P13" i="14"/>
  <c r="Q13" i="14"/>
  <c r="R13" i="14"/>
  <c r="S13" i="14"/>
  <c r="T13" i="14"/>
  <c r="B14" i="14"/>
  <c r="C14" i="14"/>
  <c r="D14" i="14"/>
  <c r="E14" i="14"/>
  <c r="F14" i="14"/>
  <c r="G14" i="14"/>
  <c r="H14" i="14"/>
  <c r="I14" i="14"/>
  <c r="J14" i="14"/>
  <c r="K14" i="14"/>
  <c r="L14" i="14"/>
  <c r="M14" i="14"/>
  <c r="N14" i="14"/>
  <c r="O14" i="14"/>
  <c r="P14" i="14"/>
  <c r="Q14" i="14"/>
  <c r="R14" i="14"/>
  <c r="S14" i="14"/>
  <c r="T14" i="14"/>
  <c r="B15" i="14"/>
  <c r="C15" i="14"/>
  <c r="D15" i="14"/>
  <c r="E15" i="14"/>
  <c r="F15" i="14"/>
  <c r="G15" i="14"/>
  <c r="H15" i="14"/>
  <c r="I15" i="14"/>
  <c r="J15" i="14"/>
  <c r="K15" i="14"/>
  <c r="L15" i="14"/>
  <c r="M15" i="14"/>
  <c r="N15" i="14"/>
  <c r="O15" i="14"/>
  <c r="P15" i="14"/>
  <c r="Q15" i="14"/>
  <c r="R15" i="14"/>
  <c r="S15" i="14"/>
  <c r="T15" i="14"/>
  <c r="B16" i="14"/>
  <c r="C16" i="14"/>
  <c r="D16" i="14"/>
  <c r="E16" i="14"/>
  <c r="F16" i="14"/>
  <c r="G16" i="14"/>
  <c r="H16" i="14"/>
  <c r="I16" i="14"/>
  <c r="J16" i="14"/>
  <c r="K16" i="14"/>
  <c r="L16" i="14"/>
  <c r="M16" i="14"/>
  <c r="N16" i="14"/>
  <c r="O16" i="14"/>
  <c r="P16" i="14"/>
  <c r="Q16" i="14"/>
  <c r="R16" i="14"/>
  <c r="S16" i="14"/>
  <c r="T16" i="14"/>
  <c r="B17" i="14"/>
  <c r="C17" i="14"/>
  <c r="D17" i="14"/>
  <c r="E17" i="14"/>
  <c r="F17" i="14"/>
  <c r="G17" i="14"/>
  <c r="H17" i="14"/>
  <c r="I17" i="14"/>
  <c r="J17" i="14"/>
  <c r="K17" i="14"/>
  <c r="L17" i="14"/>
  <c r="M17" i="14"/>
  <c r="N17" i="14"/>
  <c r="O17" i="14"/>
  <c r="P17" i="14"/>
  <c r="Q17" i="14"/>
  <c r="R17" i="14"/>
  <c r="S17" i="14"/>
  <c r="T17" i="14"/>
  <c r="B18" i="14"/>
  <c r="C18" i="14"/>
  <c r="D18" i="14"/>
  <c r="E18" i="14"/>
  <c r="F18" i="14"/>
  <c r="G18" i="14"/>
  <c r="H18" i="14"/>
  <c r="I18" i="14"/>
  <c r="J18" i="14"/>
  <c r="K18" i="14"/>
  <c r="L18" i="14"/>
  <c r="M18" i="14"/>
  <c r="N18" i="14"/>
  <c r="O18" i="14"/>
  <c r="P18" i="14"/>
  <c r="Q18" i="14"/>
  <c r="R18" i="14"/>
  <c r="S18" i="14"/>
  <c r="T18" i="14"/>
  <c r="B19" i="14"/>
  <c r="C19" i="14"/>
  <c r="D19" i="14"/>
  <c r="E19" i="14"/>
  <c r="F19" i="14"/>
  <c r="G19" i="14"/>
  <c r="H19" i="14"/>
  <c r="I19" i="14"/>
  <c r="J19" i="14"/>
  <c r="K19" i="14"/>
  <c r="L19" i="14"/>
  <c r="M19" i="14"/>
  <c r="N19" i="14"/>
  <c r="O19" i="14"/>
  <c r="P19" i="14"/>
  <c r="Q19" i="14"/>
  <c r="R19" i="14"/>
  <c r="S19" i="14"/>
  <c r="T19" i="14"/>
  <c r="B20" i="14"/>
  <c r="C20" i="14"/>
  <c r="D20" i="14"/>
  <c r="E20" i="14"/>
  <c r="F20" i="14"/>
  <c r="G20" i="14"/>
  <c r="H20" i="14"/>
  <c r="I20" i="14"/>
  <c r="J20" i="14"/>
  <c r="K20" i="14"/>
  <c r="L20" i="14"/>
  <c r="M20" i="14"/>
  <c r="N20" i="14"/>
  <c r="O20" i="14"/>
  <c r="P20" i="14"/>
  <c r="Q20" i="14"/>
  <c r="R20" i="14"/>
  <c r="S20" i="14"/>
  <c r="T20" i="14"/>
  <c r="A3" i="14"/>
  <c r="A4" i="14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1" i="14"/>
  <c r="A71" i="12"/>
  <c r="A81" i="12"/>
  <c r="B82" i="12"/>
  <c r="C82" i="12"/>
  <c r="D82" i="12"/>
  <c r="D84" i="12" s="1"/>
  <c r="E82" i="12"/>
  <c r="E84" i="12" s="1"/>
  <c r="F82" i="12"/>
  <c r="F84" i="12" s="1"/>
  <c r="G82" i="12"/>
  <c r="G84" i="12" s="1"/>
  <c r="H82" i="12"/>
  <c r="H84" i="12" s="1"/>
  <c r="I82" i="12"/>
  <c r="J82" i="12"/>
  <c r="K82" i="12"/>
  <c r="L82" i="12"/>
  <c r="M82" i="12"/>
  <c r="N82" i="12"/>
  <c r="N84" i="12" s="1"/>
  <c r="O82" i="12"/>
  <c r="O84" i="12" s="1"/>
  <c r="P82" i="12"/>
  <c r="P84" i="12" s="1"/>
  <c r="B83" i="12"/>
  <c r="B86" i="12" s="1"/>
  <c r="C83" i="12"/>
  <c r="D83" i="12"/>
  <c r="E83" i="12"/>
  <c r="C86" i="12" s="1"/>
  <c r="F83" i="12"/>
  <c r="G83" i="12"/>
  <c r="H83" i="12"/>
  <c r="I83" i="12"/>
  <c r="J83" i="12"/>
  <c r="K83" i="12"/>
  <c r="L83" i="12"/>
  <c r="M83" i="12"/>
  <c r="N83" i="12"/>
  <c r="O83" i="12"/>
  <c r="P83" i="12"/>
  <c r="A83" i="12"/>
  <c r="A82" i="12"/>
  <c r="B72" i="12"/>
  <c r="B74" i="12" s="1"/>
  <c r="C72" i="12"/>
  <c r="C74" i="12" s="1"/>
  <c r="D72" i="12"/>
  <c r="D74" i="12" s="1"/>
  <c r="E72" i="12"/>
  <c r="E74" i="12" s="1"/>
  <c r="F72" i="12"/>
  <c r="F74" i="12" s="1"/>
  <c r="G72" i="12"/>
  <c r="H72" i="12"/>
  <c r="I72" i="12"/>
  <c r="J72" i="12"/>
  <c r="K72" i="12"/>
  <c r="L72" i="12"/>
  <c r="L74" i="12" s="1"/>
  <c r="M72" i="12"/>
  <c r="M74" i="12" s="1"/>
  <c r="N72" i="12"/>
  <c r="N74" i="12" s="1"/>
  <c r="O72" i="12"/>
  <c r="O74" i="12" s="1"/>
  <c r="P72" i="12"/>
  <c r="P74" i="12" s="1"/>
  <c r="B73" i="12"/>
  <c r="C73" i="12"/>
  <c r="D73" i="12"/>
  <c r="E73" i="12"/>
  <c r="F73" i="12"/>
  <c r="G73" i="12"/>
  <c r="H73" i="12"/>
  <c r="D76" i="12" s="1"/>
  <c r="I73" i="12"/>
  <c r="J73" i="12"/>
  <c r="K73" i="12"/>
  <c r="L73" i="12"/>
  <c r="M73" i="12"/>
  <c r="N73" i="12"/>
  <c r="O73" i="12"/>
  <c r="P73" i="12"/>
  <c r="A73" i="12"/>
  <c r="A72" i="12"/>
  <c r="P81" i="12"/>
  <c r="O81" i="12"/>
  <c r="N81" i="12"/>
  <c r="M81" i="12"/>
  <c r="L81" i="12"/>
  <c r="K81" i="12"/>
  <c r="J81" i="12"/>
  <c r="I81" i="12"/>
  <c r="H81" i="12"/>
  <c r="G81" i="12"/>
  <c r="F81" i="12"/>
  <c r="E81" i="12"/>
  <c r="D81" i="12"/>
  <c r="C81" i="12"/>
  <c r="B81" i="12"/>
  <c r="P71" i="12"/>
  <c r="O71" i="12"/>
  <c r="N71" i="12"/>
  <c r="M71" i="12"/>
  <c r="L71" i="12"/>
  <c r="K71" i="12"/>
  <c r="J71" i="12"/>
  <c r="I71" i="12"/>
  <c r="H71" i="12"/>
  <c r="G71" i="12"/>
  <c r="F71" i="12"/>
  <c r="E71" i="12"/>
  <c r="D71" i="12"/>
  <c r="C71" i="12"/>
  <c r="B71" i="12"/>
  <c r="P63" i="12"/>
  <c r="O63" i="12"/>
  <c r="N63" i="12"/>
  <c r="M63" i="12"/>
  <c r="L63" i="12"/>
  <c r="K63" i="12"/>
  <c r="J63" i="12"/>
  <c r="I63" i="12"/>
  <c r="H63" i="12"/>
  <c r="G63" i="12"/>
  <c r="F63" i="12"/>
  <c r="E63" i="12"/>
  <c r="C66" i="12" s="1"/>
  <c r="D63" i="12"/>
  <c r="C63" i="12"/>
  <c r="B63" i="12"/>
  <c r="A63" i="12"/>
  <c r="P62" i="12"/>
  <c r="O62" i="12"/>
  <c r="N62" i="12"/>
  <c r="N64" i="12" s="1"/>
  <c r="M62" i="12"/>
  <c r="M64" i="12" s="1"/>
  <c r="L62" i="12"/>
  <c r="L64" i="12" s="1"/>
  <c r="K62" i="12"/>
  <c r="K64" i="12" s="1"/>
  <c r="J62" i="12"/>
  <c r="J64" i="12" s="1"/>
  <c r="I62" i="12"/>
  <c r="I64" i="12" s="1"/>
  <c r="H62" i="12"/>
  <c r="H64" i="12" s="1"/>
  <c r="G62" i="12"/>
  <c r="F62" i="12"/>
  <c r="E62" i="12"/>
  <c r="D62" i="12"/>
  <c r="D64" i="12" s="1"/>
  <c r="C62" i="12"/>
  <c r="C64" i="12" s="1"/>
  <c r="B62" i="12"/>
  <c r="A62" i="12"/>
  <c r="P61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P53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B56" i="12" s="1"/>
  <c r="A53" i="12"/>
  <c r="P52" i="12"/>
  <c r="P54" i="12" s="1"/>
  <c r="O52" i="12"/>
  <c r="N52" i="12"/>
  <c r="M52" i="12"/>
  <c r="L52" i="12"/>
  <c r="L54" i="12" s="1"/>
  <c r="K52" i="12"/>
  <c r="K54" i="12" s="1"/>
  <c r="J52" i="12"/>
  <c r="I52" i="12"/>
  <c r="I54" i="12" s="1"/>
  <c r="H52" i="12"/>
  <c r="H54" i="12" s="1"/>
  <c r="G52" i="12"/>
  <c r="G54" i="12" s="1"/>
  <c r="F52" i="12"/>
  <c r="F54" i="12" s="1"/>
  <c r="E52" i="12"/>
  <c r="D52" i="12"/>
  <c r="C52" i="12"/>
  <c r="B52" i="12"/>
  <c r="B54" i="12" s="1"/>
  <c r="A52" i="12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F47" i="12"/>
  <c r="E47" i="12"/>
  <c r="D47" i="12"/>
  <c r="C47" i="12"/>
  <c r="B47" i="12"/>
  <c r="A47" i="12"/>
  <c r="F46" i="12"/>
  <c r="E46" i="12"/>
  <c r="D46" i="12"/>
  <c r="C46" i="12"/>
  <c r="B46" i="12"/>
  <c r="A46" i="12"/>
  <c r="F45" i="12"/>
  <c r="E45" i="12"/>
  <c r="D45" i="12"/>
  <c r="C45" i="12"/>
  <c r="B45" i="12"/>
  <c r="A45" i="12"/>
  <c r="F44" i="12"/>
  <c r="E44" i="12"/>
  <c r="D44" i="12"/>
  <c r="C44" i="12"/>
  <c r="B44" i="12"/>
  <c r="A44" i="12"/>
  <c r="F43" i="12"/>
  <c r="E43" i="12"/>
  <c r="D43" i="12"/>
  <c r="C43" i="12"/>
  <c r="B43" i="12"/>
  <c r="A43" i="12"/>
  <c r="F42" i="12"/>
  <c r="E42" i="12"/>
  <c r="D42" i="12"/>
  <c r="C42" i="12"/>
  <c r="B42" i="12"/>
  <c r="A42" i="12"/>
  <c r="F41" i="12"/>
  <c r="E41" i="12"/>
  <c r="D41" i="12"/>
  <c r="C41" i="12"/>
  <c r="B41" i="12"/>
  <c r="P34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P32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P31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C22" i="12"/>
  <c r="B22" i="12"/>
  <c r="A22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C21" i="12"/>
  <c r="B21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P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P12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P11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P7" i="12"/>
  <c r="O7" i="12"/>
  <c r="N7" i="12"/>
  <c r="M7" i="12"/>
  <c r="L7" i="12"/>
  <c r="K7" i="12"/>
  <c r="J7" i="12"/>
  <c r="I7" i="12"/>
  <c r="H7" i="12"/>
  <c r="G7" i="12"/>
  <c r="F7" i="12"/>
  <c r="E7" i="12"/>
  <c r="D7" i="12"/>
  <c r="C7" i="12"/>
  <c r="B7" i="12"/>
  <c r="A7" i="12"/>
  <c r="P6" i="12"/>
  <c r="O6" i="12"/>
  <c r="N6" i="12"/>
  <c r="M6" i="12"/>
  <c r="L6" i="12"/>
  <c r="K6" i="12"/>
  <c r="J6" i="12"/>
  <c r="I6" i="12"/>
  <c r="H6" i="12"/>
  <c r="G6" i="12"/>
  <c r="F6" i="12"/>
  <c r="E6" i="12"/>
  <c r="D6" i="12"/>
  <c r="C6" i="12"/>
  <c r="B6" i="12"/>
  <c r="A6" i="12"/>
  <c r="P5" i="12"/>
  <c r="O5" i="12"/>
  <c r="N5" i="12"/>
  <c r="M5" i="12"/>
  <c r="L5" i="12"/>
  <c r="K5" i="12"/>
  <c r="J5" i="12"/>
  <c r="I5" i="12"/>
  <c r="H5" i="12"/>
  <c r="G5" i="12"/>
  <c r="F5" i="12"/>
  <c r="E5" i="12"/>
  <c r="D5" i="12"/>
  <c r="C5" i="12"/>
  <c r="B5" i="12"/>
  <c r="A5" i="12"/>
  <c r="P4" i="12"/>
  <c r="O4" i="12"/>
  <c r="N4" i="12"/>
  <c r="M4" i="12"/>
  <c r="L4" i="12"/>
  <c r="K4" i="12"/>
  <c r="J4" i="12"/>
  <c r="I4" i="12"/>
  <c r="H4" i="12"/>
  <c r="G4" i="12"/>
  <c r="F4" i="12"/>
  <c r="E4" i="12"/>
  <c r="D4" i="12"/>
  <c r="C4" i="12"/>
  <c r="B4" i="12"/>
  <c r="A4" i="12"/>
  <c r="P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P2" i="12"/>
  <c r="O2" i="12"/>
  <c r="N2" i="12"/>
  <c r="M2" i="12"/>
  <c r="L2" i="12"/>
  <c r="K2" i="12"/>
  <c r="J2" i="12"/>
  <c r="I2" i="12"/>
  <c r="H2" i="12"/>
  <c r="G2" i="12"/>
  <c r="F2" i="12"/>
  <c r="E2" i="12"/>
  <c r="D2" i="12"/>
  <c r="C2" i="12"/>
  <c r="B2" i="12"/>
  <c r="A2" i="12"/>
  <c r="P1" i="12"/>
  <c r="O1" i="12"/>
  <c r="N1" i="12"/>
  <c r="M1" i="12"/>
  <c r="L1" i="12"/>
  <c r="K1" i="12"/>
  <c r="J1" i="12"/>
  <c r="I1" i="12"/>
  <c r="H1" i="12"/>
  <c r="G1" i="12"/>
  <c r="F1" i="12"/>
  <c r="E1" i="12"/>
  <c r="D1" i="12"/>
  <c r="C1" i="12"/>
  <c r="B1" i="12"/>
  <c r="C32" i="10"/>
  <c r="D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C33" i="10"/>
  <c r="D33" i="10"/>
  <c r="E33" i="10"/>
  <c r="F33" i="10"/>
  <c r="G33" i="10"/>
  <c r="H33" i="10"/>
  <c r="I33" i="10"/>
  <c r="J33" i="10"/>
  <c r="K33" i="10"/>
  <c r="L33" i="10"/>
  <c r="M33" i="10"/>
  <c r="N33" i="10"/>
  <c r="O33" i="10"/>
  <c r="P33" i="10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B33" i="10"/>
  <c r="B34" i="10"/>
  <c r="B32" i="10"/>
  <c r="C22" i="10"/>
  <c r="D22" i="10"/>
  <c r="E22" i="10"/>
  <c r="F22" i="10"/>
  <c r="G22" i="10"/>
  <c r="H22" i="10"/>
  <c r="I22" i="10"/>
  <c r="J22" i="10"/>
  <c r="K22" i="10"/>
  <c r="L22" i="10"/>
  <c r="M22" i="10"/>
  <c r="N22" i="10"/>
  <c r="O22" i="10"/>
  <c r="P22" i="10"/>
  <c r="C23" i="10"/>
  <c r="D23" i="10"/>
  <c r="E23" i="10"/>
  <c r="F23" i="10"/>
  <c r="G23" i="10"/>
  <c r="H23" i="10"/>
  <c r="I23" i="10"/>
  <c r="J23" i="10"/>
  <c r="K23" i="10"/>
  <c r="L23" i="10"/>
  <c r="M23" i="10"/>
  <c r="N23" i="10"/>
  <c r="O23" i="10"/>
  <c r="P23" i="10"/>
  <c r="C24" i="10"/>
  <c r="D24" i="10"/>
  <c r="E24" i="10"/>
  <c r="F24" i="10"/>
  <c r="G24" i="10"/>
  <c r="H24" i="10"/>
  <c r="I24" i="10"/>
  <c r="J24" i="10"/>
  <c r="K24" i="10"/>
  <c r="L24" i="10"/>
  <c r="M24" i="10"/>
  <c r="N24" i="10"/>
  <c r="O24" i="10"/>
  <c r="P24" i="10"/>
  <c r="B23" i="10"/>
  <c r="B24" i="10"/>
  <c r="B22" i="10"/>
  <c r="C22" i="6"/>
  <c r="D22" i="6"/>
  <c r="E22" i="6"/>
  <c r="F22" i="6"/>
  <c r="G22" i="6"/>
  <c r="H22" i="6"/>
  <c r="I22" i="6"/>
  <c r="J22" i="6"/>
  <c r="K22" i="6"/>
  <c r="L22" i="6"/>
  <c r="M22" i="6"/>
  <c r="N22" i="6"/>
  <c r="O22" i="6"/>
  <c r="P22" i="6"/>
  <c r="C23" i="6"/>
  <c r="D23" i="6"/>
  <c r="E23" i="6"/>
  <c r="F23" i="6"/>
  <c r="G23" i="6"/>
  <c r="H23" i="6"/>
  <c r="I23" i="6"/>
  <c r="J23" i="6"/>
  <c r="K23" i="6"/>
  <c r="L23" i="6"/>
  <c r="M23" i="6"/>
  <c r="N23" i="6"/>
  <c r="O23" i="6"/>
  <c r="P23" i="6"/>
  <c r="C24" i="6"/>
  <c r="D24" i="6"/>
  <c r="E24" i="6"/>
  <c r="F24" i="6"/>
  <c r="G24" i="6"/>
  <c r="H24" i="6"/>
  <c r="I24" i="6"/>
  <c r="J24" i="6"/>
  <c r="K24" i="6"/>
  <c r="L24" i="6"/>
  <c r="M24" i="6"/>
  <c r="N24" i="6"/>
  <c r="O24" i="6"/>
  <c r="P24" i="6"/>
  <c r="B23" i="6"/>
  <c r="B24" i="6"/>
  <c r="B22" i="6"/>
  <c r="C32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C33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C34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B33" i="6"/>
  <c r="B34" i="6"/>
  <c r="B32" i="6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B33" i="4"/>
  <c r="B34" i="4"/>
  <c r="B3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B23" i="4"/>
  <c r="B24" i="4"/>
  <c r="B22" i="4"/>
  <c r="A23" i="4"/>
  <c r="A24" i="4"/>
  <c r="A22" i="4"/>
  <c r="B92" i="10"/>
  <c r="B94" i="10" s="1"/>
  <c r="C92" i="10"/>
  <c r="D92" i="10"/>
  <c r="E92" i="10"/>
  <c r="F92" i="10"/>
  <c r="G92" i="10"/>
  <c r="H92" i="10"/>
  <c r="I92" i="10"/>
  <c r="J92" i="10"/>
  <c r="K92" i="10"/>
  <c r="L92" i="10"/>
  <c r="L94" i="10" s="1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J84" i="10" s="1"/>
  <c r="K82" i="10"/>
  <c r="L82" i="10"/>
  <c r="M82" i="10"/>
  <c r="N82" i="10"/>
  <c r="O82" i="10"/>
  <c r="P82" i="10"/>
  <c r="B83" i="10"/>
  <c r="C83" i="10"/>
  <c r="D83" i="10"/>
  <c r="E83" i="10"/>
  <c r="C86" i="10" s="1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H74" i="10" s="1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F64" i="10" s="1"/>
  <c r="G62" i="10"/>
  <c r="H62" i="10"/>
  <c r="I62" i="10"/>
  <c r="J62" i="10"/>
  <c r="K62" i="10"/>
  <c r="L62" i="10"/>
  <c r="M62" i="10"/>
  <c r="N62" i="10"/>
  <c r="O62" i="10"/>
  <c r="P62" i="10"/>
  <c r="P64" i="10" s="1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B54" i="10" s="1"/>
  <c r="C52" i="10"/>
  <c r="D52" i="10"/>
  <c r="D54" i="10" s="1"/>
  <c r="E52" i="10"/>
  <c r="F52" i="10"/>
  <c r="G52" i="10"/>
  <c r="H52" i="10"/>
  <c r="I52" i="10"/>
  <c r="J52" i="10"/>
  <c r="K52" i="10"/>
  <c r="L52" i="10"/>
  <c r="L54" i="10" s="1"/>
  <c r="M52" i="10"/>
  <c r="N52" i="10"/>
  <c r="N54" i="10" s="1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B64" i="8" s="1"/>
  <c r="C62" i="8"/>
  <c r="D62" i="8"/>
  <c r="E62" i="8"/>
  <c r="F62" i="8"/>
  <c r="G62" i="8"/>
  <c r="H62" i="8"/>
  <c r="I62" i="8"/>
  <c r="J62" i="8"/>
  <c r="K62" i="8"/>
  <c r="L62" i="8"/>
  <c r="L64" i="8" s="1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K74" i="8" s="1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J84" i="8" s="1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I94" i="8" s="1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H104" i="8" s="1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G114" i="8" s="1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F124" i="8" s="1"/>
  <c r="G122" i="8"/>
  <c r="H122" i="8"/>
  <c r="I122" i="8"/>
  <c r="J122" i="8"/>
  <c r="K122" i="8"/>
  <c r="L122" i="8"/>
  <c r="M122" i="8"/>
  <c r="N122" i="8"/>
  <c r="O122" i="8"/>
  <c r="P122" i="8"/>
  <c r="P124" i="8" s="1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E134" i="8" s="1"/>
  <c r="F132" i="8"/>
  <c r="G132" i="8"/>
  <c r="H132" i="8"/>
  <c r="I132" i="8"/>
  <c r="J132" i="8"/>
  <c r="K132" i="8"/>
  <c r="L132" i="8"/>
  <c r="M132" i="8"/>
  <c r="N132" i="8"/>
  <c r="O132" i="8"/>
  <c r="O134" i="8" s="1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G54" i="8" s="1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C64" i="6" s="1"/>
  <c r="D62" i="6"/>
  <c r="E62" i="6"/>
  <c r="F62" i="6"/>
  <c r="G62" i="6"/>
  <c r="H62" i="6"/>
  <c r="I62" i="6"/>
  <c r="J62" i="6"/>
  <c r="K62" i="6"/>
  <c r="L62" i="6"/>
  <c r="M62" i="6"/>
  <c r="M64" i="6" s="1"/>
  <c r="N62" i="6"/>
  <c r="O62" i="6"/>
  <c r="P62" i="6"/>
  <c r="A62" i="6"/>
  <c r="A61" i="6"/>
  <c r="B52" i="6"/>
  <c r="C52" i="6"/>
  <c r="D52" i="6"/>
  <c r="E52" i="6"/>
  <c r="F52" i="6"/>
  <c r="F54" i="6" s="1"/>
  <c r="G52" i="6"/>
  <c r="H52" i="6"/>
  <c r="I52" i="6"/>
  <c r="J52" i="6"/>
  <c r="K52" i="6"/>
  <c r="L52" i="6"/>
  <c r="M52" i="6"/>
  <c r="N52" i="6"/>
  <c r="O52" i="6"/>
  <c r="P52" i="6"/>
  <c r="P54" i="6" s="1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J64" i="4" s="1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B162" i="3" s="1"/>
  <c r="C2" i="3"/>
  <c r="C162" i="3" s="1"/>
  <c r="D2" i="3"/>
  <c r="D162" i="3" s="1"/>
  <c r="E2" i="3"/>
  <c r="E162" i="3" s="1"/>
  <c r="F2" i="3"/>
  <c r="F162" i="3" s="1"/>
  <c r="G2" i="3"/>
  <c r="G162" i="3" s="1"/>
  <c r="H2" i="3"/>
  <c r="H162" i="3" s="1"/>
  <c r="I2" i="3"/>
  <c r="I162" i="3" s="1"/>
  <c r="J2" i="3"/>
  <c r="J162" i="3" s="1"/>
  <c r="K2" i="3"/>
  <c r="K162" i="3" s="1"/>
  <c r="L2" i="3"/>
  <c r="L162" i="3" s="1"/>
  <c r="M2" i="3"/>
  <c r="M162" i="3" s="1"/>
  <c r="N2" i="3"/>
  <c r="N162" i="3" s="1"/>
  <c r="O2" i="3"/>
  <c r="O162" i="3" s="1"/>
  <c r="P2" i="3"/>
  <c r="P162" i="3" s="1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E163" i="3" s="1"/>
  <c r="F4" i="3"/>
  <c r="F163" i="3" s="1"/>
  <c r="G4" i="3"/>
  <c r="G163" i="3" s="1"/>
  <c r="H4" i="3"/>
  <c r="H163" i="3" s="1"/>
  <c r="I4" i="3"/>
  <c r="I163" i="3" s="1"/>
  <c r="J4" i="3"/>
  <c r="J163" i="3" s="1"/>
  <c r="K4" i="3"/>
  <c r="K163" i="3" s="1"/>
  <c r="L4" i="3"/>
  <c r="L163" i="3" s="1"/>
  <c r="M4" i="3"/>
  <c r="M163" i="3" s="1"/>
  <c r="N4" i="3"/>
  <c r="N163" i="3" s="1"/>
  <c r="O4" i="3"/>
  <c r="O163" i="3" s="1"/>
  <c r="P4" i="3"/>
  <c r="P163" i="3" s="1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163" i="3" s="1"/>
  <c r="A2" i="3"/>
  <c r="A162" i="3" s="1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  <c r="E54" i="12" l="1"/>
  <c r="O54" i="12"/>
  <c r="G64" i="12"/>
  <c r="F76" i="12"/>
  <c r="I74" i="12"/>
  <c r="K84" i="12"/>
  <c r="B66" i="12"/>
  <c r="E66" i="12"/>
  <c r="H74" i="12"/>
  <c r="J84" i="12"/>
  <c r="E56" i="12"/>
  <c r="B76" i="12"/>
  <c r="G74" i="12"/>
  <c r="F86" i="12"/>
  <c r="I84" i="12"/>
  <c r="F66" i="12"/>
  <c r="E76" i="12"/>
  <c r="J54" i="12"/>
  <c r="F56" i="12"/>
  <c r="B64" i="12"/>
  <c r="E86" i="12"/>
  <c r="C56" i="12"/>
  <c r="D66" i="12"/>
  <c r="C54" i="12"/>
  <c r="M54" i="12"/>
  <c r="E64" i="12"/>
  <c r="O64" i="12"/>
  <c r="K74" i="12"/>
  <c r="D86" i="12"/>
  <c r="M84" i="12"/>
  <c r="C84" i="12"/>
  <c r="D54" i="12"/>
  <c r="N54" i="12"/>
  <c r="D56" i="12"/>
  <c r="F64" i="12"/>
  <c r="P64" i="12"/>
  <c r="C76" i="12"/>
  <c r="J74" i="12"/>
  <c r="L84" i="12"/>
  <c r="B84" i="12"/>
  <c r="B85" i="12"/>
  <c r="C85" i="12"/>
  <c r="B55" i="12"/>
  <c r="F65" i="12"/>
  <c r="C55" i="12"/>
  <c r="C75" i="12"/>
  <c r="F55" i="12"/>
  <c r="K54" i="10"/>
  <c r="M64" i="10"/>
  <c r="C64" i="10"/>
  <c r="O74" i="10"/>
  <c r="E74" i="10"/>
  <c r="I94" i="10"/>
  <c r="G84" i="10"/>
  <c r="D65" i="10"/>
  <c r="B85" i="10"/>
  <c r="F95" i="10"/>
  <c r="C85" i="10"/>
  <c r="B55" i="10"/>
  <c r="C55" i="10"/>
  <c r="E55" i="10"/>
  <c r="C75" i="10"/>
  <c r="F55" i="10"/>
  <c r="D75" i="10"/>
  <c r="B95" i="10"/>
  <c r="C95" i="10"/>
  <c r="B74" i="8"/>
  <c r="M64" i="8"/>
  <c r="C64" i="8"/>
  <c r="E55" i="8"/>
  <c r="E105" i="8"/>
  <c r="E75" i="8"/>
  <c r="E125" i="8"/>
  <c r="E65" i="8"/>
  <c r="C85" i="8"/>
  <c r="E115" i="8"/>
  <c r="C135" i="8"/>
  <c r="B55" i="8"/>
  <c r="F65" i="8"/>
  <c r="D85" i="8"/>
  <c r="C55" i="8"/>
  <c r="E85" i="8"/>
  <c r="B65" i="6"/>
  <c r="C65" i="6"/>
  <c r="O54" i="4"/>
  <c r="J54" i="4"/>
  <c r="M64" i="4"/>
  <c r="C64" i="4"/>
  <c r="C65" i="4"/>
  <c r="F65" i="4"/>
  <c r="B65" i="4"/>
  <c r="K74" i="10"/>
  <c r="M84" i="10"/>
  <c r="C84" i="10"/>
  <c r="O94" i="10"/>
  <c r="M54" i="10"/>
  <c r="C54" i="10"/>
  <c r="O64" i="10"/>
  <c r="E64" i="10"/>
  <c r="G74" i="10"/>
  <c r="I84" i="10"/>
  <c r="K94" i="10"/>
  <c r="D66" i="10"/>
  <c r="B86" i="10"/>
  <c r="C124" i="8"/>
  <c r="D114" i="8"/>
  <c r="E104" i="8"/>
  <c r="F94" i="8"/>
  <c r="G84" i="8"/>
  <c r="H74" i="8"/>
  <c r="I64" i="8"/>
  <c r="N54" i="8"/>
  <c r="N114" i="8"/>
  <c r="P94" i="8"/>
  <c r="D54" i="8"/>
  <c r="L134" i="8"/>
  <c r="M124" i="8"/>
  <c r="O104" i="8"/>
  <c r="K54" i="8"/>
  <c r="N84" i="8"/>
  <c r="D84" i="8"/>
  <c r="O74" i="8"/>
  <c r="E74" i="8"/>
  <c r="O54" i="8"/>
  <c r="C134" i="8"/>
  <c r="N124" i="8"/>
  <c r="D124" i="8"/>
  <c r="O114" i="8"/>
  <c r="E114" i="8"/>
  <c r="P104" i="8"/>
  <c r="F104" i="8"/>
  <c r="G94" i="8"/>
  <c r="H84" i="8"/>
  <c r="J64" i="8"/>
  <c r="E54" i="8"/>
  <c r="B134" i="8"/>
  <c r="I74" i="8"/>
  <c r="M134" i="8"/>
  <c r="E66" i="8"/>
  <c r="P54" i="8"/>
  <c r="F54" i="8"/>
  <c r="O124" i="8"/>
  <c r="E124" i="8"/>
  <c r="F76" i="8"/>
  <c r="C66" i="8"/>
  <c r="B96" i="8"/>
  <c r="D126" i="8"/>
  <c r="E96" i="8"/>
  <c r="B86" i="8"/>
  <c r="M54" i="8"/>
  <c r="C54" i="8"/>
  <c r="K134" i="8"/>
  <c r="L124" i="8"/>
  <c r="B124" i="8"/>
  <c r="D116" i="8"/>
  <c r="M114" i="8"/>
  <c r="C114" i="8"/>
  <c r="N104" i="8"/>
  <c r="D104" i="8"/>
  <c r="O94" i="8"/>
  <c r="E94" i="8"/>
  <c r="E86" i="8"/>
  <c r="P84" i="8"/>
  <c r="F84" i="8"/>
  <c r="B76" i="8"/>
  <c r="D136" i="8"/>
  <c r="F66" i="8"/>
  <c r="G54" i="6"/>
  <c r="N64" i="6"/>
  <c r="M54" i="4"/>
  <c r="C54" i="4"/>
  <c r="H54" i="4"/>
  <c r="K64" i="4"/>
  <c r="K54" i="4"/>
  <c r="I64" i="4"/>
  <c r="N64" i="4"/>
  <c r="D64" i="4"/>
  <c r="F136" i="8"/>
  <c r="I134" i="8"/>
  <c r="C126" i="8"/>
  <c r="J124" i="8"/>
  <c r="K114" i="8"/>
  <c r="L104" i="8"/>
  <c r="B104" i="8"/>
  <c r="D96" i="8"/>
  <c r="M94" i="8"/>
  <c r="C94" i="8"/>
  <c r="P64" i="8"/>
  <c r="F64" i="8"/>
  <c r="J54" i="8"/>
  <c r="C56" i="8"/>
  <c r="H134" i="8"/>
  <c r="F126" i="8"/>
  <c r="I124" i="8"/>
  <c r="C116" i="8"/>
  <c r="J114" i="8"/>
  <c r="K104" i="8"/>
  <c r="L94" i="8"/>
  <c r="B94" i="8"/>
  <c r="D86" i="8"/>
  <c r="M84" i="8"/>
  <c r="C84" i="8"/>
  <c r="N74" i="8"/>
  <c r="D74" i="8"/>
  <c r="O64" i="8"/>
  <c r="E64" i="8"/>
  <c r="I54" i="8"/>
  <c r="F56" i="8"/>
  <c r="B136" i="8"/>
  <c r="G134" i="8"/>
  <c r="H124" i="8"/>
  <c r="F116" i="8"/>
  <c r="I114" i="8"/>
  <c r="C106" i="8"/>
  <c r="J104" i="8"/>
  <c r="K94" i="8"/>
  <c r="L84" i="8"/>
  <c r="B84" i="8"/>
  <c r="D76" i="8"/>
  <c r="M74" i="8"/>
  <c r="C74" i="8"/>
  <c r="N64" i="8"/>
  <c r="D64" i="8"/>
  <c r="H54" i="8"/>
  <c r="E136" i="8"/>
  <c r="P134" i="8"/>
  <c r="F134" i="8"/>
  <c r="B126" i="8"/>
  <c r="G124" i="8"/>
  <c r="H114" i="8"/>
  <c r="F106" i="8"/>
  <c r="I104" i="8"/>
  <c r="C96" i="8"/>
  <c r="J94" i="8"/>
  <c r="K84" i="8"/>
  <c r="L74" i="8"/>
  <c r="D66" i="8"/>
  <c r="B56" i="8"/>
  <c r="E126" i="8"/>
  <c r="B116" i="8"/>
  <c r="F96" i="8"/>
  <c r="C86" i="8"/>
  <c r="E56" i="8"/>
  <c r="N134" i="8"/>
  <c r="D134" i="8"/>
  <c r="E116" i="8"/>
  <c r="P114" i="8"/>
  <c r="F114" i="8"/>
  <c r="B106" i="8"/>
  <c r="G104" i="8"/>
  <c r="H94" i="8"/>
  <c r="F86" i="8"/>
  <c r="I84" i="8"/>
  <c r="C76" i="8"/>
  <c r="J74" i="8"/>
  <c r="K64" i="8"/>
  <c r="E106" i="8"/>
  <c r="G74" i="8"/>
  <c r="H64" i="8"/>
  <c r="D56" i="8"/>
  <c r="L54" i="8"/>
  <c r="B54" i="8"/>
  <c r="C136" i="8"/>
  <c r="J134" i="8"/>
  <c r="K124" i="8"/>
  <c r="L114" i="8"/>
  <c r="B114" i="8"/>
  <c r="D106" i="8"/>
  <c r="M104" i="8"/>
  <c r="C104" i="8"/>
  <c r="N94" i="8"/>
  <c r="D94" i="8"/>
  <c r="O84" i="8"/>
  <c r="E84" i="8"/>
  <c r="E76" i="8"/>
  <c r="P74" i="8"/>
  <c r="F74" i="8"/>
  <c r="B66" i="8"/>
  <c r="G64" i="8"/>
  <c r="O54" i="10"/>
  <c r="E54" i="10"/>
  <c r="G64" i="10"/>
  <c r="I74" i="10"/>
  <c r="K84" i="10"/>
  <c r="M94" i="10"/>
  <c r="C94" i="10"/>
  <c r="E66" i="10"/>
  <c r="F56" i="10"/>
  <c r="D76" i="10"/>
  <c r="B56" i="10"/>
  <c r="G54" i="10"/>
  <c r="F66" i="10"/>
  <c r="I64" i="10"/>
  <c r="D86" i="10"/>
  <c r="E94" i="10"/>
  <c r="E56" i="10"/>
  <c r="P54" i="10"/>
  <c r="F54" i="10"/>
  <c r="H64" i="10"/>
  <c r="C76" i="10"/>
  <c r="J74" i="10"/>
  <c r="L84" i="10"/>
  <c r="B84" i="10"/>
  <c r="N94" i="10"/>
  <c r="D94" i="10"/>
  <c r="B96" i="10"/>
  <c r="B66" i="10"/>
  <c r="F76" i="10"/>
  <c r="D56" i="10"/>
  <c r="B76" i="10"/>
  <c r="F86" i="10"/>
  <c r="N64" i="10"/>
  <c r="D64" i="10"/>
  <c r="E76" i="10"/>
  <c r="P74" i="10"/>
  <c r="F74" i="10"/>
  <c r="H84" i="10"/>
  <c r="J94" i="10"/>
  <c r="C56" i="10"/>
  <c r="J54" i="10"/>
  <c r="L64" i="10"/>
  <c r="B64" i="10"/>
  <c r="N74" i="10"/>
  <c r="D74" i="10"/>
  <c r="E86" i="10"/>
  <c r="P84" i="10"/>
  <c r="F84" i="10"/>
  <c r="H94" i="10"/>
  <c r="I54" i="10"/>
  <c r="K64" i="10"/>
  <c r="M74" i="10"/>
  <c r="C74" i="10"/>
  <c r="O84" i="10"/>
  <c r="E84" i="10"/>
  <c r="G94" i="10"/>
  <c r="H54" i="10"/>
  <c r="C66" i="10"/>
  <c r="J64" i="10"/>
  <c r="L74" i="10"/>
  <c r="B74" i="10"/>
  <c r="N84" i="10"/>
  <c r="D84" i="10"/>
  <c r="P94" i="10"/>
  <c r="F94" i="10"/>
  <c r="H54" i="6"/>
  <c r="O64" i="6"/>
  <c r="E64" i="6"/>
  <c r="D64" i="6"/>
  <c r="D66" i="6"/>
  <c r="C66" i="6"/>
  <c r="E56" i="6"/>
  <c r="O54" i="6"/>
  <c r="D54" i="6"/>
  <c r="L64" i="6"/>
  <c r="N54" i="6"/>
  <c r="B56" i="6"/>
  <c r="K64" i="6"/>
  <c r="C56" i="6"/>
  <c r="J54" i="6"/>
  <c r="G64" i="6"/>
  <c r="F56" i="6"/>
  <c r="I54" i="6"/>
  <c r="P64" i="6"/>
  <c r="F64" i="6"/>
  <c r="E66" i="6"/>
  <c r="B66" i="6"/>
  <c r="M54" i="6"/>
  <c r="C54" i="6"/>
  <c r="J64" i="6"/>
  <c r="D56" i="6"/>
  <c r="L54" i="6"/>
  <c r="B54" i="6"/>
  <c r="I64" i="6"/>
  <c r="F66" i="6"/>
  <c r="K54" i="6"/>
  <c r="H64" i="6"/>
  <c r="L54" i="4"/>
  <c r="B54" i="4"/>
  <c r="O64" i="4"/>
  <c r="E64" i="4"/>
  <c r="B64" i="4"/>
  <c r="L64" i="4"/>
  <c r="I54" i="4"/>
  <c r="E54" i="6"/>
  <c r="B64" i="6"/>
  <c r="F56" i="4"/>
  <c r="G54" i="4"/>
  <c r="N54" i="4"/>
  <c r="D54" i="4"/>
  <c r="E66" i="4"/>
  <c r="B66" i="4"/>
  <c r="G64" i="4"/>
  <c r="D56" i="4"/>
  <c r="P64" i="4"/>
  <c r="F64" i="4"/>
  <c r="D66" i="4"/>
  <c r="C66" i="4"/>
  <c r="P54" i="4"/>
  <c r="F54" i="4"/>
  <c r="F66" i="4"/>
  <c r="C56" i="4"/>
  <c r="B56" i="4"/>
  <c r="H64" i="4"/>
  <c r="E56" i="4"/>
  <c r="E54" i="4"/>
  <c r="L51" i="13"/>
  <c r="K51" i="13"/>
  <c r="I51" i="13"/>
  <c r="F51" i="13"/>
</calcChain>
</file>

<file path=xl/sharedStrings.xml><?xml version="1.0" encoding="utf-8"?>
<sst xmlns="http://schemas.openxmlformats.org/spreadsheetml/2006/main" count="1844" uniqueCount="364">
  <si>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</si>
  <si>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</si>
  <si>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</si>
  <si>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</si>
  <si>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</si>
  <si>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</si>
  <si>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</si>
  <si>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</si>
  <si>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</si>
  <si>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</si>
  <si>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</si>
  <si>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</si>
  <si>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</si>
  <si>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</si>
  <si>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</si>
  <si>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</si>
  <si>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</si>
  <si>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</si>
  <si>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</si>
  <si>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</si>
  <si>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</si>
  <si>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</si>
  <si>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</si>
  <si>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</si>
  <si>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</si>
  <si>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</si>
  <si>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</si>
  <si>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</si>
  <si>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</si>
  <si>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</si>
  <si>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</si>
  <si>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</si>
  <si>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</si>
  <si>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</si>
  <si>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</si>
  <si>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</si>
  <si>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</si>
  <si>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</si>
  <si>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</si>
  <si>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</si>
  <si>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</si>
  <si>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</si>
  <si>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</si>
  <si>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</si>
  <si>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</si>
  <si>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</si>
  <si>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</si>
  <si>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</si>
  <si>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</si>
  <si>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</si>
  <si>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</si>
  <si>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</si>
  <si>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</si>
  <si>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</si>
  <si>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</si>
  <si>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</si>
  <si>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</si>
  <si>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</si>
  <si>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</si>
  <si>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</si>
  <si>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</si>
  <si>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</si>
  <si>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</si>
  <si>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</si>
  <si>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</si>
  <si>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</si>
  <si>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</si>
  <si>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</si>
  <si>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</si>
  <si>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</si>
  <si>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</si>
  <si>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</si>
  <si>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</si>
  <si>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</si>
  <si>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</si>
  <si>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</si>
  <si>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</si>
  <si>
    <t>TDE</t>
  </si>
  <si>
    <t>Talent &amp; Digital Enablement</t>
  </si>
  <si>
    <t>Financial Management</t>
  </si>
  <si>
    <t>Resource Management</t>
  </si>
  <si>
    <r>
      <t>Resource Management:</t>
    </r>
    <r>
      <rPr>
        <b/>
        <i/>
        <sz val="11"/>
        <color rgb="FF7B7B7B"/>
        <rFont val="Calibri"/>
        <family val="2"/>
      </rPr>
      <t>TH</t>
    </r>
  </si>
  <si>
    <t>Resource Management:TH</t>
  </si>
  <si>
    <r>
      <t>Resource Management:</t>
    </r>
    <r>
      <rPr>
        <b/>
        <i/>
        <sz val="11"/>
        <color rgb="FF7B7B7B"/>
        <rFont val="Calibri"/>
        <family val="2"/>
      </rPr>
      <t>CT</t>
    </r>
  </si>
  <si>
    <t>Resource Management:CT</t>
  </si>
  <si>
    <t>Talent Experience &amp; Development</t>
  </si>
  <si>
    <r>
      <t>Talent Experience &amp; Development:</t>
    </r>
    <r>
      <rPr>
        <b/>
        <i/>
        <sz val="11"/>
        <color rgb="FF7B7B7B"/>
        <rFont val="Calibri"/>
        <family val="2"/>
      </rPr>
      <t>TH</t>
    </r>
  </si>
  <si>
    <t>Talent Experience &amp; Development:TH</t>
  </si>
  <si>
    <r>
      <t>Talent Experience &amp; Development:</t>
    </r>
    <r>
      <rPr>
        <b/>
        <i/>
        <sz val="11"/>
        <color rgb="FF7B7B7B"/>
        <rFont val="Calibri"/>
        <family val="2"/>
      </rPr>
      <t>CT</t>
    </r>
  </si>
  <si>
    <t>Talent Experience &amp; Development:CT</t>
  </si>
  <si>
    <t>Center of Excellences</t>
  </si>
  <si>
    <t>Group Name</t>
  </si>
  <si>
    <t>IT Dist</t>
  </si>
  <si>
    <t>SCGP e-Ordering</t>
  </si>
  <si>
    <t>PromptPlus</t>
  </si>
  <si>
    <t>Presale</t>
  </si>
  <si>
    <t>Project</t>
  </si>
  <si>
    <t>TM</t>
  </si>
  <si>
    <t>Infra</t>
  </si>
  <si>
    <t>Warmbody</t>
  </si>
  <si>
    <t>Project by Team</t>
  </si>
  <si>
    <t>Project by Type</t>
  </si>
  <si>
    <t>Total</t>
  </si>
  <si>
    <t>PSE-PE</t>
  </si>
  <si>
    <t>PSE-SE</t>
  </si>
  <si>
    <t>SD-Design</t>
  </si>
  <si>
    <t>SD-Data</t>
  </si>
  <si>
    <t>SD-SA</t>
  </si>
  <si>
    <t>SD-SRE</t>
  </si>
  <si>
    <t>SD-CyberSec</t>
  </si>
  <si>
    <t>SD-PM</t>
  </si>
  <si>
    <t>SD-BA</t>
  </si>
  <si>
    <t>SD-QA</t>
  </si>
  <si>
    <t>SD-TM</t>
  </si>
  <si>
    <t>AIC-AI</t>
  </si>
  <si>
    <t>AIC-AIE</t>
  </si>
  <si>
    <t>AIC-IoT</t>
  </si>
  <si>
    <t>AIC-SAI</t>
  </si>
  <si>
    <t>AIC-PSI</t>
  </si>
  <si>
    <t>Group</t>
  </si>
  <si>
    <t>Industrial Solutions</t>
  </si>
  <si>
    <t>WeShape</t>
  </si>
  <si>
    <t>Actual</t>
  </si>
  <si>
    <t>Mgmt</t>
  </si>
  <si>
    <t>Logged</t>
  </si>
  <si>
    <t>Plan-PS</t>
  </si>
  <si>
    <t>Plan-PD</t>
  </si>
  <si>
    <t>Actual-PS</t>
  </si>
  <si>
    <t>Actual-PD</t>
  </si>
  <si>
    <t>CAP</t>
  </si>
  <si>
    <t>SCG Home</t>
  </si>
  <si>
    <t>1.1 PS</t>
  </si>
  <si>
    <t>1.2 Product</t>
  </si>
  <si>
    <t>2 R&amp;D</t>
  </si>
  <si>
    <t>3 Policy</t>
  </si>
  <si>
    <t>7 DO Tools</t>
  </si>
  <si>
    <t>KM</t>
  </si>
  <si>
    <t>R-Guard</t>
  </si>
  <si>
    <t>SA-RA</t>
  </si>
  <si>
    <t>page</t>
  </si>
  <si>
    <t>summary_title</t>
  </si>
  <si>
    <t>group_order</t>
  </si>
  <si>
    <t>item_order</t>
  </si>
  <si>
    <t>level</t>
  </si>
  <si>
    <t>type</t>
  </si>
  <si>
    <t>label</t>
  </si>
  <si>
    <t>data</t>
  </si>
  <si>
    <t>highlight</t>
  </si>
  <si>
    <t>highlight_style</t>
  </si>
  <si>
    <t>href</t>
  </si>
  <si>
    <t>link_target</t>
  </si>
  <si>
    <t>enabled</t>
  </si>
  <si>
    <t>note</t>
  </si>
  <si>
    <t>label-data</t>
  </si>
  <si>
    <t>plan</t>
  </si>
  <si>
    <t>none</t>
  </si>
  <si>
    <t>text</t>
  </si>
  <si>
    <t>cps#cps-sect-bd</t>
  </si>
  <si>
    <t>cps#cps-sect-po</t>
  </si>
  <si>
    <t>available</t>
  </si>
  <si>
    <t>shortage</t>
  </si>
  <si>
    <t>sd#sd-sect-design</t>
  </si>
  <si>
    <t>sd#sd-sect-data</t>
  </si>
  <si>
    <t>sd#sd-sect-tm</t>
  </si>
  <si>
    <t>index</t>
  </si>
  <si>
    <t>cps</t>
  </si>
  <si>
    <t>aic#aic-sect-aie</t>
  </si>
  <si>
    <t>pse#pse-sect-se</t>
  </si>
  <si>
    <t>CPS-BD</t>
  </si>
  <si>
    <t>sd#sd-sect-ba</t>
  </si>
  <si>
    <t>Q1 2027</t>
  </si>
  <si>
    <t>sd#sd-sect-pm</t>
  </si>
  <si>
    <t>tde</t>
  </si>
  <si>
    <t>sd</t>
  </si>
  <si>
    <t>pse</t>
  </si>
  <si>
    <t>[Plan 100%]</t>
  </si>
  <si>
    <t>pse#pse-sect-pe</t>
  </si>
  <si>
    <t>delivery</t>
  </si>
  <si>
    <t>aic</t>
  </si>
  <si>
    <t>text-inline</t>
  </si>
  <si>
    <t>APR'27</t>
  </si>
  <si>
    <t>MAY'27</t>
  </si>
  <si>
    <t>JUN'27</t>
  </si>
  <si>
    <t>Q2'27</t>
  </si>
  <si>
    <t>Q3 2026 – Q2 2027</t>
  </si>
  <si>
    <t>Q3 2026</t>
  </si>
  <si>
    <t>Q4 2026</t>
  </si>
  <si>
    <t>Q2 2027</t>
  </si>
  <si>
    <t>[Plan 72.97%]</t>
  </si>
  <si>
    <t>[Plan 78.82%]</t>
  </si>
  <si>
    <t>CPS-PO</t>
  </si>
  <si>
    <t>[Plan 67.71%]</t>
  </si>
  <si>
    <t>[Plan 75.85%]</t>
  </si>
  <si>
    <t>sd#sd-sect-sa</t>
  </si>
  <si>
    <t>Q2 Plan</t>
  </si>
  <si>
    <t>[Plan 91.56%]</t>
  </si>
  <si>
    <t>Top Available</t>
  </si>
  <si>
    <t>SD-SEC</t>
  </si>
  <si>
    <t>sd#sd-sect-sec</t>
  </si>
  <si>
    <t>AIC-Spatial</t>
  </si>
  <si>
    <t>aic#aic-sect-sai</t>
  </si>
  <si>
    <t>Top Shortage</t>
  </si>
  <si>
    <t>sd#sd-sect-qa</t>
  </si>
  <si>
    <t>[Plan 87.86%]</t>
  </si>
  <si>
    <t>[Plan 68.43%]</t>
  </si>
  <si>
    <t>sd#sd-sect-sre</t>
  </si>
  <si>
    <t>[Plan 54.94%]</t>
  </si>
  <si>
    <t>Top %Available</t>
  </si>
  <si>
    <t>[Plan 69%]</t>
  </si>
  <si>
    <t>CPS-BD เป็นสัญญาณเตือนร่วมของ commercial pipeline; ควรทบทวน pipeline และ win-rate assumption ก่อนปรับกำลังคน</t>
  </si>
  <si>
    <t>Average Plan</t>
  </si>
  <si>
    <t>Top %Allocation</t>
  </si>
  <si>
    <t>109%</t>
  </si>
  <si>
    <t>108%</t>
  </si>
  <si>
    <t>106%</t>
  </si>
  <si>
    <t>27%</t>
  </si>
  <si>
    <t>23%</t>
  </si>
  <si>
    <t>21%</t>
  </si>
  <si>
    <t>+5.85 FTE</t>
  </si>
  <si>
    <t>+2.03 FTE</t>
  </si>
  <si>
    <t>+1.88 FTE</t>
  </si>
  <si>
    <t>-1.09 FTE</t>
  </si>
  <si>
    <t>-0.45 FTE</t>
  </si>
  <si>
    <t>-0.3 FTE</t>
  </si>
  <si>
    <t>120%</t>
  </si>
  <si>
    <t>112%</t>
  </si>
  <si>
    <t>104%</t>
  </si>
  <si>
    <t>31%</t>
  </si>
  <si>
    <t>29%</t>
  </si>
  <si>
    <t>+10.08 FTE</t>
  </si>
  <si>
    <t>+3.14 FTE</t>
  </si>
  <si>
    <t>+1.89 FTE</t>
  </si>
  <si>
    <t>-0.81 FTE</t>
  </si>
  <si>
    <t>-0.75 FTE</t>
  </si>
  <si>
    <t>-0.49 FTE</t>
  </si>
  <si>
    <t>100%</t>
  </si>
  <si>
    <t>TDE-FI</t>
  </si>
  <si>
    <t>tde#tde-sect-fi</t>
  </si>
  <si>
    <t>70%</t>
  </si>
  <si>
    <t>55%</t>
  </si>
  <si>
    <t>52%</t>
  </si>
  <si>
    <t>+21.36 FTE</t>
  </si>
  <si>
    <t>+5.18 FTE</t>
  </si>
  <si>
    <t>+4.18 FTE</t>
  </si>
  <si>
    <t>122%</t>
  </si>
  <si>
    <t>93%</t>
  </si>
  <si>
    <t>87%</t>
  </si>
  <si>
    <t>82%</t>
  </si>
  <si>
    <t>+24.4 FTE</t>
  </si>
  <si>
    <t>+15.68 FTE</t>
  </si>
  <si>
    <t>+5.2 FTE</t>
  </si>
  <si>
    <t>-0.89 FTE</t>
  </si>
  <si>
    <t>%Plan ลดจาก 91.88% ใน Q3/2026 เหลือ 48.22% ใน Q2/2027</t>
  </si>
  <si>
    <t>PSE-SE เป็นแหล่ง Available FTE หลัก ขณะที่แรงกดดันช่วงต้นรอบกระจุกในหลาย Section ของ SD</t>
  </si>
  <si>
    <t>CPS-BD ควรทบทวน pipeline และ win-rate assumption ร่วมกับ commercial demand</t>
  </si>
  <si>
    <t>ภาพรวม 12 เดือนอยู่ที่ 78.82% และ Available เฉลี่ย +3.6 FTE</t>
  </si>
  <si>
    <t>BD มี capacity เพิ่มต่อเนื่อง ส่วน Product Commercialization ทรงตัวที่ 100%</t>
  </si>
  <si>
    <t>ภาพรวม 12 เดือนอยู่ที่ 67.71% และ Available เฉลี่ย +15.5 FTE</t>
  </si>
  <si>
    <t>Gap กระจุกใน Software Engineering ขณะที่ Platform Engineering ทรงตัวใกล้ 100%</t>
  </si>
  <si>
    <t>ภาพรวม 12 เดือนอยู่ที่ 75.85% และ Available เฉลี่ย +12.8 FTE</t>
  </si>
  <si>
    <t>แรงกดดันช่วงต้นรอบคลี่คลายเป็น capacity ส่วนเกินในหลาย Section ช่วงปี 2027</t>
  </si>
  <si>
    <t>%Plan ลดจาก 88.04% เหลือ 69.41% แต่ยังลดช้ากว่ากลุ่ม Delivery อื่น</t>
  </si>
  <si>
    <t>[Plan 67%]</t>
  </si>
  <si>
    <t>%Plan ลดจาก 87.28% เหลือ 49.17%</t>
  </si>
  <si>
    <t>[Plan 62%]</t>
  </si>
  <si>
    <t>[Plan 99%]</t>
  </si>
  <si>
    <t>[Plan 53%]</t>
  </si>
  <si>
    <t>[Plan 51%]</t>
  </si>
  <si>
    <t>[Plan 75%]</t>
  </si>
  <si>
    <t>[Plan 74%]</t>
  </si>
  <si>
    <t>[Plan 97%]</t>
  </si>
  <si>
    <t>Executive Summary Q3/2026</t>
  </si>
  <si>
    <t>[Plan 73%]</t>
  </si>
  <si>
    <t>[Plan 77%]</t>
  </si>
  <si>
    <t>[Plan 79%]</t>
  </si>
  <si>
    <t>[Plan 71%]</t>
  </si>
  <si>
    <t>[Plan 30%]</t>
  </si>
  <si>
    <t>[Plan 45%]</t>
  </si>
  <si>
    <t>[Plan 48%]</t>
  </si>
  <si>
    <t>[Plan 7%]</t>
  </si>
  <si>
    <t>[Plan 13%]</t>
  </si>
  <si>
    <t>[Plan 18%]</t>
  </si>
  <si>
    <t>Delivery Workforce Summary Q3/2026</t>
  </si>
  <si>
    <t>CPS Workforce Summary Q3/2026</t>
  </si>
  <si>
    <t>PSE Workforce Summary Q3/2026</t>
  </si>
  <si>
    <t>SD Workforce Summary Q3/2026</t>
  </si>
  <si>
    <t>AIC Workforce Summary Q3/2026</t>
  </si>
  <si>
    <t>TDE Workforce Summary Q3/2026</t>
  </si>
  <si>
    <t>91.56 % (Available ~ [+13.08 FTE]{available} per month)</t>
  </si>
  <si>
    <t>87.86 % (Available ~ [+18.7 FTE]{available} per month)</t>
  </si>
  <si>
    <t>68.43 % (Available ~ [+49.46 FTE]{available} per month)</t>
  </si>
  <si>
    <t>54.94 % (Available ~ [+70.74 FTE]{available} per month)</t>
  </si>
  <si>
    <t>72.97 % (Available ~ [+31.9 FTE]{available} per month)</t>
  </si>
  <si>
    <t>CDAS</t>
  </si>
  <si>
    <t>Credit &amp; Collateral Management for CBM</t>
  </si>
  <si>
    <t>Credit &amp; Collateral Management</t>
  </si>
  <si>
    <t>%Plan ลดลงต่อเนื่อง 92% → 55% (-37 pp) เนื่องจากงานในปีหน้ายังไม่แน่นอน และ Plan FTE apply ตาม % win rate</t>
  </si>
  <si>
    <t>68% ของ FTE (SD + PSE) เข้า Critical zone ใน Q2'27 — โดยเฉพาะ PSE-SE (Available [+24 FTE]{available} = impact สูงสุดต่อ cost)</t>
  </si>
  <si>
    <t>[Plan 75.59%]</t>
  </si>
  <si>
    <t>75.59 % (Available ~ [+38 FTE]{available} per month)</t>
  </si>
  <si>
    <t>✅ Overall healthy</t>
  </si>
  <si>
    <t>Early signal</t>
  </si>
  <si>
    <t>PSE-SE มี slack +5.85 FTE — เป็นสัญญาณแรกของ trend ที่จะขยายตัวใน Q4/2026</t>
  </si>
  <si>
    <t>SD peak workload 97%, มี 5 sections ที่ over-allocated (Design, SA, PM, BA, QA)</t>
  </si>
  <si>
    <t>ช่วงที่ BD ควรเร่งปิด pipeline ปี 2027 ก่อนเข้า Q4/2026</t>
  </si>
  <si>
    <t>Buffer period</t>
  </si>
  <si>
    <t>⚠️ Last Warning Window</t>
  </si>
  <si>
    <t>ต้อง action ก่อนเข้า Critical zone ใน Q1/2027 (SD ลดจาก 97% → 96%, PSE-SE เข้า 🟠 Under-planned ที่ 75%)</t>
  </si>
  <si>
    <t>SD-Design Plan 120%</t>
  </si>
  <si>
    <t>มี workload หนักที่สุด ในขณะที่ทีมอื่นเริ่มมี slack</t>
  </si>
  <si>
    <t>CPS-BD มี slack +3.14 FTE</t>
  </si>
  <si>
    <t>BD มี cap เหลือ สามารถไป focus prospecting + pipeline building สำหรับปี 2027</t>
  </si>
  <si>
    <t>🟠 Under-planned</t>
  </si>
  <si>
    <t>SD Plan ลดสูงสุด จาก 96% → 69% (-27 pp ใน 3 เดือน)</t>
  </si>
  <si>
    <t>PSE-SE Plan 48% เริ่ม Critical (Available [+21.4 FTE]{available} ) ~ ครึ่งทีม)</t>
  </si>
  <si>
    <t>ไม่พบ Section ที่มี Plan มากกว่าจำนวน Staff</t>
  </si>
  <si>
    <t>🔴 Critical</t>
  </si>
  <si>
    <t>SD-TM เป็นหน่วยงานเดียวที่ Over allocate [(Plan 122%)]{plan}</t>
  </si>
  <si>
    <t>Section อื่นมี capacity เหลือ เนื่องจากความไม่แน่นอนของโปรเจคในอนาคต</t>
  </si>
  <si>
    <t>[Plan 78.59%]</t>
  </si>
  <si>
    <t>BD มี slack เพิ่มขึ้น = สัญญาณสำหรับทั้งองค์กร (BD ปิดไม่ได้ = ทีมอื่นตาม)</t>
  </si>
  <si>
    <t>78.59 % (Available ~ [+3.6 FTE]{available} per month)</t>
  </si>
  <si>
    <t>%Plan ลดจาก 82% เหลือ 53% (-29 pp)</t>
  </si>
  <si>
    <t>Available 5.2 FTE = 47% ของทีมใน Q2/2027 เป็นโอกาสให้ prospecting + market research + pipeline building สำหรับปี 2027</t>
  </si>
  <si>
    <t>เนื่องจาก PO แต่ละคนดูแล Product ของตัวเอง</t>
  </si>
  <si>
    <t xml:space="preserve">%Plan เท่ากันที่ 100% ทุก Quarter </t>
  </si>
  <si>
    <t>[Plan 67.69%]</t>
  </si>
  <si>
    <t>Gap เกือบทั้งหมดอยู่ที่ SE — ในขณะที่ PE ยัง Fully Plan ตลอด</t>
  </si>
  <si>
    <t>67.69 % (Available ~ [+15.5 FTE]{available} per month)</t>
  </si>
  <si>
    <t>กราฟตกมากสุดในช่วง Q2/2027 โดย Plan อยู่ที่ 40.5% [Available +24.4 FTE]</t>
  </si>
  <si>
    <t>บางโปรเจคจบภายในปี 2026 และยังไม่มีการยืนยันต่อสัญญาถึงปีหน้า เช่น Warmbody prob 50% ในปี 2027</t>
  </si>
  <si>
    <t>Fully Plan เนื่องจากดูแล AF Platform เต็มตัว</t>
  </si>
  <si>
    <t>[Plan 75.84%]</t>
  </si>
  <si>
    <t>%Plan ลดจาก [97.27%]{plan} ใน Q3 2026 เหลือ [40.57%]{plan} ใน Q2 2026</t>
  </si>
  <si>
    <t>8/10 sections เข้า Critical zone ใน Q2/2027</t>
  </si>
  <si>
    <t>ยกเว้น Technology Management มี Plan FTE สูงกว่า Staff ใน Q2/2027</t>
  </si>
  <si>
    <t>75.84 % (Available ~ [+12.8 FTE]{available} per month)</t>
  </si>
  <si>
    <t>[Plan 96.63%]</t>
  </si>
  <si>
    <t>งาน design ยัง healthy ตลอด quarter เนื่องจาก mix ระหว่าง project + งาน brand/UX ต่อเนื่อง</t>
  </si>
  <si>
    <t>Plan Q4/2026 สูงถึง 120% (Burnout risk) — ควร monitor workload</t>
  </si>
  <si>
    <t>[Plan 71.20%]</t>
  </si>
  <si>
    <t>Trend ค่อยๆ ลดลง 82% → 64%</t>
  </si>
  <si>
    <t>งานฝั่ง data มี recurring nature (dashboard, reports) = resilient กว่า pure project work</t>
  </si>
  <si>
    <t>กราฟตกมากสุดในช่วง Q2/2027 โดย Plan อยู่ที่ 7% [Available +3.7 FTE]</t>
  </si>
  <si>
    <t>Plan อาจเปลี่ยนอีกครั้ง หากได้รับการคอนเฟิร์ม project ใหม่จาก BD / สามารถโยกไปช่วย BD ทำ pre-sales support ได้</t>
  </si>
  <si>
    <t>Plan drop มากที่สุด 82% → 21% (-61 pp ตลอด 12 เดือน)</t>
  </si>
  <si>
    <t>แต่เนื่องจาก Staff ในทีมปริมาณน้อย ~3 FTE ทำให้ %Plan sensitive ต่อการเปลี่ยนแปลงงาน</t>
  </si>
  <si>
    <t>Plan drop ต่อเนื่อง 73% → 18%</t>
  </si>
  <si>
    <t>ทีมเล็ก 3 FTE — ควร maintain skill ผ่าน internal security assessment</t>
  </si>
  <si>
    <t>Q3-Q4/2026 Over-allocated 103-112% แล้วลดลงที่ Q2/2027 เหลือ 28%</t>
  </si>
  <si>
    <t>เนื่องจากงาน CDAS, Collateral and Sale, Roof เป็นโปรเจคใหญ่ที่เข้ามาทำในปีนี้</t>
  </si>
  <si>
    <t>เป็น outsource capacity (MD basket) — ไม่มี idle cost จริง เพราะตัดตามการใช้งาน</t>
  </si>
  <si>
    <t>ควรพิจารณา rebalance MD basket ปี 2027 ให้เหมาะสมกับ demand ที่เพิ่มขึ้นหรือลดลง</t>
  </si>
  <si>
    <t>Fully Plan และมีแนวโน้มเพิ่มขึ้น 80% → 122% ใน Q2/2027</t>
  </si>
  <si>
    <t>Q2/2027 อาจต้องเพิ่ม capacity รับงาน หรือ cross-deploy จากทีมที่ Available</t>
  </si>
  <si>
    <t>[Plan 71.58%]</t>
  </si>
  <si>
    <t>ภาพรวม กราฟ Plan ลงเป็นระนาบเดียวกัน เนื่องจากความไม่แน่นอนในอนาคต</t>
  </si>
  <si>
    <t>งานที่จะรับจากทาง AE/BD ยังมีความไม่แน่นอน และไม่แน่ใจจะเริ่มเมื่อไหร่</t>
  </si>
  <si>
    <t>จำนวนพนักงานในปัจจุบัน ยังสามารถรองรับงานที่จะเข้ามาในอนาคตได้</t>
  </si>
  <si>
    <t>Note: ไม่มีพนักงานภายใต้ Product Innovation แล้ว นับตั้งแต่ Q2/2026 เป็นต้นมา</t>
  </si>
  <si>
    <t>Note: เฟรช R&amp;A ลาคลอดในช่วงเดือน Jul-Dec 2026</t>
  </si>
  <si>
    <t>Fully Plan เนื่องจากเป็น Support Function</t>
  </si>
  <si>
    <t>ควร monitor burnout risk เพราะ 100% ตลอดไม่มี buffer และเสี่ยง bus factor (ถ้าคนลาออก 1 คน = 25-33% capacity หาย)</t>
  </si>
  <si>
    <t>Note: ไปป์ CoE ลาคลอดในช่วงเดือน Oct 2026 - Jan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</si>
</sst>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8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  <font>
      <sz val="11"/>
      <color rgb="FF7B7B7B"/>
      <name val="Calibri"/>
      <family val="2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C00000"/>
      <name val="Aptos Narrow"/>
      <family val="2"/>
      <scheme val="minor"/>
    </font>
    <font>
      <sz val="12"/>
      <color theme="7"/>
      <name val="Aptos Narrow"/>
      <family val="2"/>
      <scheme val="minor"/>
    </font>
    <font>
      <sz val="11"/>
      <color rgb="FF548235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2"/>
      <color theme="6"/>
      <name val="Aptos Narrow"/>
      <family val="2"/>
      <scheme val="minor"/>
    </font>
    <font>
      <sz val="11"/>
      <color rgb="FFFFFFFF"/>
      <name val="Calibri"/>
      <family val="2"/>
    </font>
    <font>
      <sz val="8"/>
      <name val="Aptos Narrow"/>
      <family val="2"/>
      <scheme val="minor"/>
    </font>
    <font>
      <b/>
      <sz val="10"/>
      <color rgb="FFFFFFFF"/>
      <name val="Aptos"/>
    </font>
    <font>
      <sz val="11"/>
      <color rgb="FF000000"/>
      <name val="Aptos Narrow"/>
      <family val="2"/>
      <scheme val="minor"/>
    </font>
    <font>
      <sz val="10"/>
      <color rgb="FF1F2937"/>
      <name val="Calibri"/>
      <family val="2"/>
    </font>
  </fonts>
  <fills count="42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BDBDB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theme="5"/>
        <bgColor rgb="FF4472C4"/>
      </patternFill>
    </fill>
    <fill>
      <patternFill patternType="solid">
        <fgColor rgb="FFED7D31"/>
        <bgColor rgb="FF000000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DEDED"/>
        <bgColor rgb="FFEDEDED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9FBAD0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9FBAD0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9FBAD0"/>
      </top>
      <bottom style="thin">
        <color rgb="FFD9E2F3"/>
      </bottom>
      <diagonal/>
    </border>
    <border>
      <left style="thin">
        <color rgb="FF9FBAD0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9FBAD0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0" borderId="0" xfId="0" applyFont="1"/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  <xf numFmtId="0" fontId="14" fillId="2" borderId="0" xfId="0" applyFont="1" applyFill="1"/>
    <xf numFmtId="0" fontId="14" fillId="0" borderId="0" xfId="0" applyFont="1"/>
    <xf numFmtId="0" fontId="8" fillId="16" borderId="0" xfId="0" applyFont="1" applyFill="1"/>
    <xf numFmtId="0" fontId="8" fillId="0" borderId="0" xfId="0" applyFont="1"/>
    <xf numFmtId="0" fontId="1" fillId="17" borderId="0" xfId="0" applyFont="1" applyFill="1"/>
    <xf numFmtId="4" fontId="4" fillId="0" borderId="0" xfId="0" applyNumberFormat="1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18" borderId="0" xfId="0" applyFont="1" applyFill="1"/>
    <xf numFmtId="0" fontId="0" fillId="19" borderId="0" xfId="0" applyFill="1"/>
    <xf numFmtId="0" fontId="0" fillId="18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18" fillId="0" borderId="0" xfId="0" applyFont="1"/>
    <xf numFmtId="164" fontId="18" fillId="0" borderId="0" xfId="0" applyNumberFormat="1" applyFont="1"/>
    <xf numFmtId="0" fontId="1" fillId="23" borderId="0" xfId="0" applyFont="1" applyFill="1"/>
    <xf numFmtId="0" fontId="3" fillId="23" borderId="0" xfId="0" applyFont="1" applyFill="1"/>
    <xf numFmtId="0" fontId="19" fillId="0" borderId="0" xfId="0" applyFont="1"/>
    <xf numFmtId="0" fontId="20" fillId="0" borderId="0" xfId="0" applyFont="1"/>
    <xf numFmtId="0" fontId="21" fillId="0" borderId="0" xfId="0" applyFont="1"/>
    <xf numFmtId="3" fontId="21" fillId="0" borderId="0" xfId="0" applyNumberFormat="1" applyFont="1"/>
    <xf numFmtId="3" fontId="4" fillId="0" borderId="0" xfId="0" applyNumberFormat="1" applyFont="1"/>
    <xf numFmtId="0" fontId="4" fillId="24" borderId="0" xfId="0" applyFont="1" applyFill="1"/>
    <xf numFmtId="0" fontId="20" fillId="21" borderId="0" xfId="0" applyFont="1" applyFill="1"/>
    <xf numFmtId="0" fontId="21" fillId="26" borderId="0" xfId="0" applyFont="1" applyFill="1"/>
    <xf numFmtId="0" fontId="21" fillId="25" borderId="0" xfId="0" applyFont="1" applyFill="1"/>
    <xf numFmtId="0" fontId="22" fillId="0" borderId="0" xfId="0" applyFont="1"/>
    <xf numFmtId="2" fontId="22" fillId="0" borderId="0" xfId="0" applyNumberFormat="1" applyFont="1"/>
    <xf numFmtId="0" fontId="23" fillId="0" borderId="0" xfId="0" applyFont="1"/>
    <xf numFmtId="0" fontId="0" fillId="27" borderId="0" xfId="0" applyFill="1"/>
    <xf numFmtId="0" fontId="1" fillId="28" borderId="0" xfId="0" applyFont="1" applyFill="1" applyAlignment="1">
      <alignment horizontal="left"/>
    </xf>
    <xf numFmtId="0" fontId="1" fillId="29" borderId="0" xfId="0" applyFont="1" applyFill="1" applyAlignment="1">
      <alignment horizontal="left"/>
    </xf>
    <xf numFmtId="0" fontId="3" fillId="0" borderId="0" xfId="0" applyFont="1"/>
    <xf numFmtId="0" fontId="8" fillId="30" borderId="0" xfId="0" applyFont="1" applyFill="1"/>
    <xf numFmtId="0" fontId="8" fillId="31" borderId="0" xfId="0" applyFont="1" applyFill="1"/>
    <xf numFmtId="0" fontId="4" fillId="6" borderId="0" xfId="0" applyFont="1" applyFill="1"/>
    <xf numFmtId="0" fontId="26" fillId="0" borderId="0" xfId="0" applyFont="1"/>
    <xf numFmtId="0" fontId="0" fillId="32" borderId="0" xfId="0" applyFill="1"/>
    <xf numFmtId="0" fontId="25" fillId="0" borderId="3" xfId="0" applyFont="1" applyFill="1" applyBorder="1" applyAlignment="1">
      <alignment horizontal="center" vertical="center" wrapText="1"/>
    </xf>
    <xf numFmtId="0" fontId="25" fillId="0" borderId="4" xfId="0" applyFont="1" applyFill="1" applyBorder="1" applyAlignment="1">
      <alignment horizontal="center" vertical="center" wrapText="1"/>
    </xf>
    <xf numFmtId="0" fontId="25" fillId="0" borderId="5" xfId="0" applyFont="1" applyFill="1" applyBorder="1" applyAlignment="1">
      <alignment horizontal="center" vertical="center" wrapText="1"/>
    </xf>
    <xf numFmtId="0" fontId="27" fillId="0" borderId="6" xfId="0" applyFont="1" applyFill="1" applyBorder="1" applyAlignment="1">
      <alignment vertical="center" wrapText="1"/>
    </xf>
    <xf numFmtId="0" fontId="27" fillId="0" borderId="7" xfId="0" applyFont="1" applyFill="1" applyBorder="1" applyAlignment="1">
      <alignment vertical="center" wrapText="1"/>
    </xf>
    <xf numFmtId="1" fontId="27" fillId="0" borderId="7" xfId="0" applyNumberFormat="1" applyFont="1" applyFill="1" applyBorder="1" applyAlignment="1">
      <alignment horizontal="center" vertical="center" wrapText="1"/>
    </xf>
    <xf numFmtId="0" fontId="27" fillId="0" borderId="7" xfId="0" applyFont="1" applyFill="1" applyBorder="1" applyAlignment="1">
      <alignment horizontal="center" vertical="center" wrapText="1"/>
    </xf>
    <xf numFmtId="0" fontId="27" fillId="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7" fillId="0" borderId="8" xfId="0" applyFont="1" applyFill="1" applyBorder="1" applyAlignment="1">
      <alignment vertical="center" wrapText="1"/>
    </xf>
    <xf numFmtId="0" fontId="27" fillId="33" borderId="6" xfId="0" applyFont="1" applyFill="1" applyBorder="1" applyAlignment="1">
      <alignment vertical="center" wrapText="1"/>
    </xf>
    <xf numFmtId="1" fontId="27" fillId="20" borderId="7" xfId="0" applyNumberFormat="1" applyFont="1" applyFill="1" applyBorder="1" applyAlignment="1">
      <alignment horizontal="center" vertical="center" wrapText="1"/>
    </xf>
    <xf numFmtId="1" fontId="27" fillId="34" borderId="7" xfId="0" applyNumberFormat="1" applyFont="1" applyFill="1" applyBorder="1" applyAlignment="1">
      <alignment horizontal="center" vertical="center" wrapText="1"/>
    </xf>
    <xf numFmtId="0" fontId="27" fillId="35" borderId="7" xfId="0" applyFont="1" applyFill="1" applyBorder="1" applyAlignment="1">
      <alignment vertical="center" wrapText="1"/>
    </xf>
    <xf numFmtId="0" fontId="27" fillId="36" borderId="6" xfId="0" applyFont="1" applyFill="1" applyBorder="1" applyAlignment="1">
      <alignment vertical="center" wrapText="1"/>
    </xf>
    <xf numFmtId="0" fontId="27" fillId="37" borderId="6" xfId="0" applyFont="1" applyFill="1" applyBorder="1" applyAlignment="1">
      <alignment vertical="center" wrapText="1"/>
    </xf>
    <xf numFmtId="0" fontId="27" fillId="38" borderId="6" xfId="0" applyFont="1" applyFill="1" applyBorder="1" applyAlignment="1">
      <alignment vertical="center" wrapText="1"/>
    </xf>
    <xf numFmtId="0" fontId="27" fillId="39" borderId="6" xfId="0" applyFont="1" applyFill="1" applyBorder="1" applyAlignment="1">
      <alignment vertical="center" wrapText="1"/>
    </xf>
    <xf numFmtId="0" fontId="27" fillId="40" borderId="6" xfId="0" applyFont="1" applyFill="1" applyBorder="1" applyAlignment="1">
      <alignment vertical="center" wrapText="1"/>
    </xf>
    <xf numFmtId="0" fontId="27" fillId="41" borderId="6" xfId="0" applyFont="1" applyFill="1" applyBorder="1" applyAlignment="1">
      <alignment vertical="center" wrapText="1"/>
    </xf>
  </cellXfs>
  <cellStyles count="1">
    <cellStyle name="Normal" xfId="0" builtinId="0"/>
  </cellStyles>
  <dxfs count="19">
    <dxf>
      <font>
        <b/>
        <color rgb="FFB71C1C"/>
      </font>
    </dxf>
    <dxf>
      <font>
        <b/>
        <color rgb="FFC00000"/>
      </font>
    </dxf>
    <dxf>
      <font>
        <b/>
        <color rgb="FFED7D32"/>
      </font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u val="none"/>
        <vertAlign val="baseline"/>
        <sz val="10"/>
        <color rgb="FF1F2937"/>
        <name val="Calibri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colors>
    <mruColors>
      <color rgb="FF007D39"/>
      <color rgb="FF009744"/>
      <color rgb="FF006930"/>
      <color rgb="FF008C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D7986BE-DF1F-C240-8C1A-92B2DFB1286F}" name="SummaryTable3" displayName="SummaryTable3" ref="A1:N156" totalsRowShown="0" headerRowDxfId="4" dataDxfId="3">
  <autoFilter ref="A1:N156" xr:uid="{7D7986BE-DF1F-C240-8C1A-92B2DFB1286F}"/>
  <tableColumns count="14">
    <tableColumn id="1" xr3:uid="{609B7D6E-4593-AF4B-BF05-9032DB4B16A2}" name="page" dataDxfId="18"/>
    <tableColumn id="2" xr3:uid="{9AAE2F06-0933-884E-B27D-6AE75FD515F5}" name="summary_title" dataDxfId="17"/>
    <tableColumn id="3" xr3:uid="{824AE97D-F9C0-0A4E-A848-A76510AA6E98}" name="group_order" dataDxfId="16"/>
    <tableColumn id="4" xr3:uid="{0AEC7C90-07BE-1F46-A658-016D744C08E1}" name="item_order" dataDxfId="15"/>
    <tableColumn id="5" xr3:uid="{425992C8-3C13-F748-BF61-0DE02888C068}" name="level" dataDxfId="14"/>
    <tableColumn id="6" xr3:uid="{2A879494-AFC8-D645-9EC3-ACDBD2426247}" name="type" dataDxfId="13"/>
    <tableColumn id="7" xr3:uid="{07659DF8-1234-2E48-B94C-A6CB9FD12BBE}" name="label" dataDxfId="12"/>
    <tableColumn id="8" xr3:uid="{263A8175-19B9-3F46-A835-3CD53D51A7D1}" name="data" dataDxfId="11"/>
    <tableColumn id="9" xr3:uid="{F5AEAF16-C489-E341-8DC1-F51F24F56FDD}" name="highlight" dataDxfId="10"/>
    <tableColumn id="10" xr3:uid="{9A9F189F-261F-F54B-8433-03233841537F}" name="highlight_style" dataDxfId="9"/>
    <tableColumn id="11" xr3:uid="{95E6A6F2-8272-344B-8505-6DF99D2B83CD}" name="href" dataDxfId="8"/>
    <tableColumn id="12" xr3:uid="{08FBBD9A-5D05-AF4F-B505-F03CF0753758}" name="link_target" dataDxfId="7"/>
    <tableColumn id="13" xr3:uid="{58BA3807-F0BC-544D-ADA8-5994F38DD232}" name="enabled" dataDxfId="6"/>
    <tableColumn id="14" xr3:uid="{3C62FB51-7C02-394F-A202-FA275B129FDF}" name="note" dataDxfId="5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3C8C2-3F5C-0C4F-89AF-D594D4425BE6}">
  <sheetPr>
    <tabColor theme="3"/>
  </sheetPr>
  <dimension ref="A1:N156"/>
  <sheetViews>
    <sheetView tabSelected="1" workbookViewId="0">
      <pane ySplit="1" topLeftCell="A148" activePane="bottomLeft" state="frozen"/>
      <selection pane="bottomLeft" activeCell="G161" sqref="G161"/>
    </sheetView>
  </sheetViews>
  <sheetFormatPr baseColWidth="10" defaultRowHeight="16" x14ac:dyDescent="0.2"/>
  <cols>
    <col min="1" max="1" width="12" customWidth="1"/>
    <col min="2" max="2" width="26.33203125" customWidth="1"/>
    <col min="3" max="4" width="12" customWidth="1"/>
    <col min="5" max="5" width="8" customWidth="1"/>
    <col min="6" max="6" width="14" customWidth="1"/>
    <col min="7" max="7" width="52" customWidth="1"/>
    <col min="8" max="8" width="32" customWidth="1"/>
    <col min="9" max="9" width="42" customWidth="1"/>
    <col min="10" max="10" width="17" customWidth="1"/>
    <col min="11" max="11" width="34" customWidth="1"/>
    <col min="12" max="12" width="14" customWidth="1"/>
    <col min="13" max="13" width="10" customWidth="1"/>
    <col min="14" max="14" width="48" customWidth="1"/>
  </cols>
  <sheetData>
    <row r="1" spans="1:14" ht="34.75" customHeight="1" x14ac:dyDescent="0.2">
      <c r="A1" s="88" t="s">
        <v>139</v>
      </c>
      <c r="B1" s="89" t="s">
        <v>140</v>
      </c>
      <c r="C1" s="89" t="s">
        <v>141</v>
      </c>
      <c r="D1" s="89" t="s">
        <v>142</v>
      </c>
      <c r="E1" s="89" t="s">
        <v>143</v>
      </c>
      <c r="F1" s="89" t="s">
        <v>144</v>
      </c>
      <c r="G1" s="89" t="s">
        <v>145</v>
      </c>
      <c r="H1" s="89" t="s">
        <v>146</v>
      </c>
      <c r="I1" s="89" t="s">
        <v>147</v>
      </c>
      <c r="J1" s="89" t="s">
        <v>148</v>
      </c>
      <c r="K1" s="89" t="s">
        <v>149</v>
      </c>
      <c r="L1" s="89" t="s">
        <v>150</v>
      </c>
      <c r="M1" s="89" t="s">
        <v>151</v>
      </c>
      <c r="N1" s="90" t="s">
        <v>152</v>
      </c>
    </row>
    <row r="2" spans="1:14" ht="40" customHeight="1" x14ac:dyDescent="0.2">
      <c r="A2" s="97" t="s">
        <v>164</v>
      </c>
      <c r="B2" s="92" t="s">
        <v>271</v>
      </c>
      <c r="C2" s="98">
        <v>1</v>
      </c>
      <c r="D2" s="93">
        <v>1</v>
      </c>
      <c r="E2" s="93">
        <v>1</v>
      </c>
      <c r="F2" s="92" t="s">
        <v>156</v>
      </c>
      <c r="G2" s="92" t="s">
        <v>184</v>
      </c>
      <c r="H2" s="92"/>
      <c r="I2" s="92" t="s">
        <v>298</v>
      </c>
      <c r="J2" s="94" t="s">
        <v>154</v>
      </c>
      <c r="K2" s="92"/>
      <c r="L2" s="94" t="s">
        <v>155</v>
      </c>
      <c r="M2" s="95" t="b">
        <v>1</v>
      </c>
      <c r="N2" s="96"/>
    </row>
    <row r="3" spans="1:14" ht="40" customHeight="1" x14ac:dyDescent="0.2">
      <c r="A3" s="97" t="s">
        <v>164</v>
      </c>
      <c r="B3" s="92"/>
      <c r="C3" s="98">
        <v>1</v>
      </c>
      <c r="D3" s="93">
        <v>2</v>
      </c>
      <c r="E3" s="93">
        <v>2</v>
      </c>
      <c r="F3" s="92" t="s">
        <v>156</v>
      </c>
      <c r="G3" s="92" t="s">
        <v>296</v>
      </c>
      <c r="H3" s="92"/>
      <c r="I3" s="92"/>
      <c r="J3" s="94" t="s">
        <v>155</v>
      </c>
      <c r="K3" s="92"/>
      <c r="L3" s="94" t="s">
        <v>155</v>
      </c>
      <c r="M3" s="95" t="b">
        <v>1</v>
      </c>
      <c r="N3" s="96"/>
    </row>
    <row r="4" spans="1:14" ht="40" customHeight="1" x14ac:dyDescent="0.2">
      <c r="A4" s="97" t="s">
        <v>164</v>
      </c>
      <c r="B4" s="92"/>
      <c r="C4" s="98">
        <v>1</v>
      </c>
      <c r="D4" s="93">
        <v>3</v>
      </c>
      <c r="E4" s="93">
        <v>2</v>
      </c>
      <c r="F4" s="92" t="s">
        <v>156</v>
      </c>
      <c r="G4" s="92" t="s">
        <v>297</v>
      </c>
      <c r="H4" s="92"/>
      <c r="I4" s="92"/>
      <c r="J4" s="94" t="s">
        <v>155</v>
      </c>
      <c r="K4" s="92"/>
      <c r="L4" s="94" t="s">
        <v>155</v>
      </c>
      <c r="M4" s="95" t="b">
        <v>1</v>
      </c>
      <c r="N4" s="96"/>
    </row>
    <row r="5" spans="1:14" ht="40" customHeight="1" x14ac:dyDescent="0.2">
      <c r="A5" s="97" t="s">
        <v>164</v>
      </c>
      <c r="B5" s="92"/>
      <c r="C5" s="98">
        <v>1</v>
      </c>
      <c r="D5" s="93">
        <v>4</v>
      </c>
      <c r="E5" s="93">
        <v>2</v>
      </c>
      <c r="F5" s="92" t="s">
        <v>156</v>
      </c>
      <c r="G5" s="92" t="s">
        <v>209</v>
      </c>
      <c r="H5" s="92"/>
      <c r="I5" s="92"/>
      <c r="J5" s="94" t="s">
        <v>155</v>
      </c>
      <c r="K5" s="92"/>
      <c r="L5" s="94" t="s">
        <v>155</v>
      </c>
      <c r="M5" s="95" t="b">
        <v>1</v>
      </c>
      <c r="N5" s="96"/>
    </row>
    <row r="6" spans="1:14" ht="40" customHeight="1" x14ac:dyDescent="0.2">
      <c r="A6" s="97" t="s">
        <v>164</v>
      </c>
      <c r="B6" s="92"/>
      <c r="C6" s="98">
        <v>1</v>
      </c>
      <c r="D6" s="93">
        <v>5</v>
      </c>
      <c r="E6" s="93">
        <v>2</v>
      </c>
      <c r="F6" s="92" t="s">
        <v>179</v>
      </c>
      <c r="G6" s="92" t="s">
        <v>210</v>
      </c>
      <c r="H6" s="92" t="s">
        <v>299</v>
      </c>
      <c r="I6" s="92"/>
      <c r="J6" s="94" t="s">
        <v>155</v>
      </c>
      <c r="K6" s="92"/>
      <c r="L6" s="94" t="s">
        <v>155</v>
      </c>
      <c r="M6" s="95" t="b">
        <v>1</v>
      </c>
      <c r="N6" s="96"/>
    </row>
    <row r="7" spans="1:14" ht="40" customHeight="1" x14ac:dyDescent="0.2">
      <c r="A7" s="97" t="s">
        <v>164</v>
      </c>
      <c r="B7" s="92"/>
      <c r="C7" s="99">
        <v>2</v>
      </c>
      <c r="D7" s="93">
        <v>1</v>
      </c>
      <c r="E7" s="93">
        <v>1</v>
      </c>
      <c r="F7" s="92" t="s">
        <v>156</v>
      </c>
      <c r="G7" s="92" t="s">
        <v>185</v>
      </c>
      <c r="H7" s="92"/>
      <c r="I7" s="92" t="s">
        <v>195</v>
      </c>
      <c r="J7" s="94" t="s">
        <v>154</v>
      </c>
      <c r="K7" s="92"/>
      <c r="L7" s="94" t="s">
        <v>155</v>
      </c>
      <c r="M7" s="95" t="b">
        <v>1</v>
      </c>
      <c r="N7" s="96"/>
    </row>
    <row r="8" spans="1:14" ht="40" customHeight="1" x14ac:dyDescent="0.2">
      <c r="A8" s="97" t="s">
        <v>164</v>
      </c>
      <c r="B8" s="92"/>
      <c r="C8" s="99">
        <v>2</v>
      </c>
      <c r="D8" s="93">
        <v>2</v>
      </c>
      <c r="E8" s="93">
        <v>2</v>
      </c>
      <c r="F8" s="92" t="s">
        <v>156</v>
      </c>
      <c r="G8" s="92" t="s">
        <v>300</v>
      </c>
      <c r="H8" s="92" t="s">
        <v>303</v>
      </c>
      <c r="I8" s="92"/>
      <c r="J8" s="94" t="s">
        <v>155</v>
      </c>
      <c r="K8" s="92"/>
      <c r="L8" s="94" t="s">
        <v>155</v>
      </c>
      <c r="M8" s="95" t="b">
        <v>1</v>
      </c>
      <c r="N8" s="96"/>
    </row>
    <row r="9" spans="1:14" ht="40" customHeight="1" x14ac:dyDescent="0.2">
      <c r="A9" s="97" t="s">
        <v>164</v>
      </c>
      <c r="B9" s="92"/>
      <c r="C9" s="99">
        <v>2</v>
      </c>
      <c r="D9" s="93">
        <v>3</v>
      </c>
      <c r="E9" s="93">
        <v>2</v>
      </c>
      <c r="F9" s="92" t="s">
        <v>156</v>
      </c>
      <c r="G9" s="92" t="s">
        <v>301</v>
      </c>
      <c r="H9" s="92" t="s">
        <v>302</v>
      </c>
      <c r="I9" s="92"/>
      <c r="J9" s="94" t="s">
        <v>155</v>
      </c>
      <c r="K9" s="92"/>
      <c r="L9" s="94" t="s">
        <v>155</v>
      </c>
      <c r="M9" s="95" t="b">
        <v>1</v>
      </c>
      <c r="N9" s="96"/>
    </row>
    <row r="10" spans="1:14" ht="40" customHeight="1" x14ac:dyDescent="0.2">
      <c r="A10" s="97" t="s">
        <v>164</v>
      </c>
      <c r="B10" s="92"/>
      <c r="C10" s="99">
        <v>2</v>
      </c>
      <c r="D10" s="93">
        <v>4</v>
      </c>
      <c r="E10" s="93">
        <v>2</v>
      </c>
      <c r="F10" s="92" t="s">
        <v>156</v>
      </c>
      <c r="G10" s="92" t="s">
        <v>305</v>
      </c>
      <c r="H10" s="92" t="s">
        <v>304</v>
      </c>
      <c r="I10" s="92"/>
      <c r="J10" s="94" t="s">
        <v>155</v>
      </c>
      <c r="K10" s="92"/>
      <c r="L10" s="94" t="s">
        <v>155</v>
      </c>
      <c r="M10" s="95" t="b">
        <v>1</v>
      </c>
      <c r="N10" s="96"/>
    </row>
    <row r="11" spans="1:14" ht="40" customHeight="1" x14ac:dyDescent="0.2">
      <c r="A11" s="97" t="s">
        <v>164</v>
      </c>
      <c r="B11" s="92"/>
      <c r="C11" s="99">
        <v>2</v>
      </c>
      <c r="D11" s="93">
        <v>5</v>
      </c>
      <c r="E11" s="93">
        <v>2</v>
      </c>
      <c r="F11" s="92" t="s">
        <v>179</v>
      </c>
      <c r="G11" s="92" t="s">
        <v>210</v>
      </c>
      <c r="H11" s="92" t="s">
        <v>288</v>
      </c>
      <c r="I11" s="92"/>
      <c r="J11" s="94" t="s">
        <v>155</v>
      </c>
      <c r="K11" s="92"/>
      <c r="L11" s="94" t="s">
        <v>155</v>
      </c>
      <c r="M11" s="95" t="b">
        <v>1</v>
      </c>
      <c r="N11" s="96"/>
    </row>
    <row r="12" spans="1:14" ht="40" customHeight="1" x14ac:dyDescent="0.2">
      <c r="A12" s="97" t="s">
        <v>164</v>
      </c>
      <c r="B12" s="92"/>
      <c r="C12" s="99">
        <v>2</v>
      </c>
      <c r="D12" s="93">
        <v>6</v>
      </c>
      <c r="E12" s="93">
        <v>2</v>
      </c>
      <c r="F12" s="92" t="s">
        <v>156</v>
      </c>
      <c r="G12" s="92" t="s">
        <v>211</v>
      </c>
      <c r="H12" s="92"/>
      <c r="I12" s="92"/>
      <c r="J12" s="94" t="s">
        <v>155</v>
      </c>
      <c r="K12" s="92"/>
      <c r="L12" s="94" t="s">
        <v>155</v>
      </c>
      <c r="M12" s="95" t="b">
        <v>1</v>
      </c>
      <c r="N12" s="96"/>
    </row>
    <row r="13" spans="1:14" ht="40" customHeight="1" x14ac:dyDescent="0.2">
      <c r="A13" s="97" t="s">
        <v>164</v>
      </c>
      <c r="B13" s="92"/>
      <c r="C13" s="99">
        <v>2</v>
      </c>
      <c r="D13" s="93">
        <v>7</v>
      </c>
      <c r="E13" s="93">
        <v>2</v>
      </c>
      <c r="F13" s="92" t="s">
        <v>153</v>
      </c>
      <c r="G13" s="92" t="s">
        <v>111</v>
      </c>
      <c r="H13" s="92" t="s">
        <v>212</v>
      </c>
      <c r="I13" s="92"/>
      <c r="J13" s="94" t="s">
        <v>155</v>
      </c>
      <c r="K13" s="92" t="s">
        <v>169</v>
      </c>
      <c r="L13" s="94" t="s">
        <v>145</v>
      </c>
      <c r="M13" s="95" t="b">
        <v>1</v>
      </c>
      <c r="N13" s="96"/>
    </row>
    <row r="14" spans="1:14" ht="40" customHeight="1" x14ac:dyDescent="0.2">
      <c r="A14" s="97" t="s">
        <v>164</v>
      </c>
      <c r="B14" s="92"/>
      <c r="C14" s="99">
        <v>2</v>
      </c>
      <c r="D14" s="93">
        <v>8</v>
      </c>
      <c r="E14" s="93">
        <v>2</v>
      </c>
      <c r="F14" s="92" t="s">
        <v>153</v>
      </c>
      <c r="G14" s="92" t="s">
        <v>105</v>
      </c>
      <c r="H14" s="92" t="s">
        <v>213</v>
      </c>
      <c r="I14" s="92"/>
      <c r="J14" s="94" t="s">
        <v>155</v>
      </c>
      <c r="K14" s="92" t="s">
        <v>161</v>
      </c>
      <c r="L14" s="94" t="s">
        <v>145</v>
      </c>
      <c r="M14" s="95" t="b">
        <v>1</v>
      </c>
      <c r="N14" s="96"/>
    </row>
    <row r="15" spans="1:14" ht="40" customHeight="1" x14ac:dyDescent="0.2">
      <c r="A15" s="97" t="s">
        <v>164</v>
      </c>
      <c r="B15" s="92"/>
      <c r="C15" s="99">
        <v>2</v>
      </c>
      <c r="D15" s="93">
        <v>9</v>
      </c>
      <c r="E15" s="93">
        <v>2</v>
      </c>
      <c r="F15" s="92" t="s">
        <v>153</v>
      </c>
      <c r="G15" s="92" t="s">
        <v>112</v>
      </c>
      <c r="H15" s="92" t="s">
        <v>214</v>
      </c>
      <c r="I15" s="92"/>
      <c r="J15" s="94" t="s">
        <v>155</v>
      </c>
      <c r="K15" s="92" t="s">
        <v>202</v>
      </c>
      <c r="L15" s="94" t="s">
        <v>145</v>
      </c>
      <c r="M15" s="95" t="b">
        <v>1</v>
      </c>
      <c r="N15" s="96"/>
    </row>
    <row r="16" spans="1:14" ht="40" customHeight="1" x14ac:dyDescent="0.2">
      <c r="A16" s="97" t="s">
        <v>164</v>
      </c>
      <c r="B16" s="92"/>
      <c r="C16" s="99">
        <v>2</v>
      </c>
      <c r="D16" s="93">
        <v>10</v>
      </c>
      <c r="E16" s="93">
        <v>2</v>
      </c>
      <c r="F16" s="92" t="s">
        <v>156</v>
      </c>
      <c r="G16" s="92" t="s">
        <v>207</v>
      </c>
      <c r="H16" s="92"/>
      <c r="I16" s="92"/>
      <c r="J16" s="94" t="s">
        <v>155</v>
      </c>
      <c r="K16" s="92"/>
      <c r="L16" s="94" t="s">
        <v>155</v>
      </c>
      <c r="M16" s="95" t="b">
        <v>1</v>
      </c>
      <c r="N16" s="96"/>
    </row>
    <row r="17" spans="1:14" ht="40" customHeight="1" x14ac:dyDescent="0.2">
      <c r="A17" s="97" t="s">
        <v>164</v>
      </c>
      <c r="B17" s="92"/>
      <c r="C17" s="99">
        <v>2</v>
      </c>
      <c r="D17" s="93">
        <v>11</v>
      </c>
      <c r="E17" s="93">
        <v>2</v>
      </c>
      <c r="F17" s="92" t="s">
        <v>153</v>
      </c>
      <c r="G17" s="92" t="s">
        <v>197</v>
      </c>
      <c r="H17" s="92" t="s">
        <v>215</v>
      </c>
      <c r="I17" s="92" t="s">
        <v>272</v>
      </c>
      <c r="J17" s="94" t="s">
        <v>154</v>
      </c>
      <c r="K17" s="92" t="s">
        <v>198</v>
      </c>
      <c r="L17" s="94" t="s">
        <v>145</v>
      </c>
      <c r="M17" s="95" t="b">
        <v>1</v>
      </c>
      <c r="N17" s="96"/>
    </row>
    <row r="18" spans="1:14" ht="40" customHeight="1" x14ac:dyDescent="0.2">
      <c r="A18" s="97" t="s">
        <v>164</v>
      </c>
      <c r="B18" s="92"/>
      <c r="C18" s="99">
        <v>2</v>
      </c>
      <c r="D18" s="93">
        <v>12</v>
      </c>
      <c r="E18" s="93">
        <v>2</v>
      </c>
      <c r="F18" s="92" t="s">
        <v>153</v>
      </c>
      <c r="G18" s="92" t="s">
        <v>115</v>
      </c>
      <c r="H18" s="92" t="s">
        <v>216</v>
      </c>
      <c r="I18" s="92" t="s">
        <v>273</v>
      </c>
      <c r="J18" s="94" t="s">
        <v>154</v>
      </c>
      <c r="K18" s="92" t="s">
        <v>166</v>
      </c>
      <c r="L18" s="94" t="s">
        <v>145</v>
      </c>
      <c r="M18" s="95" t="b">
        <v>1</v>
      </c>
      <c r="N18" s="96"/>
    </row>
    <row r="19" spans="1:14" ht="40" customHeight="1" x14ac:dyDescent="0.2">
      <c r="A19" s="97" t="s">
        <v>164</v>
      </c>
      <c r="B19" s="92"/>
      <c r="C19" s="99">
        <v>2</v>
      </c>
      <c r="D19" s="93">
        <v>13</v>
      </c>
      <c r="E19" s="93">
        <v>2</v>
      </c>
      <c r="F19" s="92" t="s">
        <v>153</v>
      </c>
      <c r="G19" s="92" t="s">
        <v>199</v>
      </c>
      <c r="H19" s="92" t="s">
        <v>217</v>
      </c>
      <c r="I19" s="92" t="s">
        <v>274</v>
      </c>
      <c r="J19" s="94" t="s">
        <v>154</v>
      </c>
      <c r="K19" s="92" t="s">
        <v>200</v>
      </c>
      <c r="L19" s="94" t="s">
        <v>145</v>
      </c>
      <c r="M19" s="95" t="b">
        <v>1</v>
      </c>
      <c r="N19" s="96"/>
    </row>
    <row r="20" spans="1:14" ht="40" customHeight="1" x14ac:dyDescent="0.2">
      <c r="A20" s="97" t="s">
        <v>164</v>
      </c>
      <c r="B20" s="92"/>
      <c r="C20" s="99">
        <v>2</v>
      </c>
      <c r="D20" s="93">
        <v>14</v>
      </c>
      <c r="E20" s="93">
        <v>2</v>
      </c>
      <c r="F20" s="92" t="s">
        <v>156</v>
      </c>
      <c r="G20" s="92" t="s">
        <v>196</v>
      </c>
      <c r="H20" s="92"/>
      <c r="I20" s="92"/>
      <c r="J20" s="94" t="s">
        <v>155</v>
      </c>
      <c r="K20" s="92"/>
      <c r="L20" s="94" t="s">
        <v>155</v>
      </c>
      <c r="M20" s="95" t="b">
        <v>1</v>
      </c>
      <c r="N20" s="96"/>
    </row>
    <row r="21" spans="1:14" ht="40" customHeight="1" x14ac:dyDescent="0.2">
      <c r="A21" s="97" t="s">
        <v>164</v>
      </c>
      <c r="B21" s="92"/>
      <c r="C21" s="99">
        <v>2</v>
      </c>
      <c r="D21" s="93">
        <v>15</v>
      </c>
      <c r="E21" s="93">
        <v>2</v>
      </c>
      <c r="F21" s="92" t="s">
        <v>153</v>
      </c>
      <c r="G21" s="92" t="s">
        <v>104</v>
      </c>
      <c r="H21" s="92"/>
      <c r="I21" s="92" t="s">
        <v>218</v>
      </c>
      <c r="J21" s="94" t="s">
        <v>159</v>
      </c>
      <c r="K21" s="92" t="s">
        <v>167</v>
      </c>
      <c r="L21" s="94" t="s">
        <v>145</v>
      </c>
      <c r="M21" s="95" t="b">
        <v>1</v>
      </c>
      <c r="N21" s="96"/>
    </row>
    <row r="22" spans="1:14" ht="40" customHeight="1" x14ac:dyDescent="0.2">
      <c r="A22" s="97" t="s">
        <v>164</v>
      </c>
      <c r="B22" s="92"/>
      <c r="C22" s="99">
        <v>2</v>
      </c>
      <c r="D22" s="93">
        <v>16</v>
      </c>
      <c r="E22" s="93">
        <v>2</v>
      </c>
      <c r="F22" s="92" t="s">
        <v>153</v>
      </c>
      <c r="G22" s="92" t="s">
        <v>168</v>
      </c>
      <c r="H22" s="92"/>
      <c r="I22" s="92" t="s">
        <v>219</v>
      </c>
      <c r="J22" s="94" t="s">
        <v>159</v>
      </c>
      <c r="K22" s="92" t="s">
        <v>157</v>
      </c>
      <c r="L22" s="94" t="s">
        <v>145</v>
      </c>
      <c r="M22" s="95" t="b">
        <v>1</v>
      </c>
      <c r="N22" s="96"/>
    </row>
    <row r="23" spans="1:14" ht="40" customHeight="1" x14ac:dyDescent="0.2">
      <c r="A23" s="97" t="s">
        <v>164</v>
      </c>
      <c r="B23" s="92"/>
      <c r="C23" s="99">
        <v>2</v>
      </c>
      <c r="D23" s="93">
        <v>17</v>
      </c>
      <c r="E23" s="93">
        <v>2</v>
      </c>
      <c r="F23" s="92" t="s">
        <v>153</v>
      </c>
      <c r="G23" s="92" t="s">
        <v>115</v>
      </c>
      <c r="H23" s="92"/>
      <c r="I23" s="92" t="s">
        <v>220</v>
      </c>
      <c r="J23" s="94" t="s">
        <v>159</v>
      </c>
      <c r="K23" s="92" t="s">
        <v>166</v>
      </c>
      <c r="L23" s="94" t="s">
        <v>145</v>
      </c>
      <c r="M23" s="95" t="b">
        <v>1</v>
      </c>
      <c r="N23" s="96"/>
    </row>
    <row r="24" spans="1:14" ht="40" customHeight="1" x14ac:dyDescent="0.2">
      <c r="A24" s="97" t="s">
        <v>164</v>
      </c>
      <c r="B24" s="92"/>
      <c r="C24" s="99">
        <v>2</v>
      </c>
      <c r="D24" s="93">
        <v>18</v>
      </c>
      <c r="E24" s="93">
        <v>2</v>
      </c>
      <c r="F24" s="92" t="s">
        <v>156</v>
      </c>
      <c r="G24" s="92" t="s">
        <v>201</v>
      </c>
      <c r="H24" s="92"/>
      <c r="I24" s="92"/>
      <c r="J24" s="94" t="s">
        <v>155</v>
      </c>
      <c r="K24" s="92"/>
      <c r="L24" s="94" t="s">
        <v>155</v>
      </c>
      <c r="M24" s="95" t="b">
        <v>1</v>
      </c>
      <c r="N24" s="96"/>
    </row>
    <row r="25" spans="1:14" ht="40" customHeight="1" x14ac:dyDescent="0.2">
      <c r="A25" s="97" t="s">
        <v>164</v>
      </c>
      <c r="B25" s="92"/>
      <c r="C25" s="99">
        <v>2</v>
      </c>
      <c r="D25" s="93">
        <v>19</v>
      </c>
      <c r="E25" s="93">
        <v>2</v>
      </c>
      <c r="F25" s="92" t="s">
        <v>153</v>
      </c>
      <c r="G25" s="92" t="s">
        <v>112</v>
      </c>
      <c r="H25" s="92"/>
      <c r="I25" s="92" t="s">
        <v>221</v>
      </c>
      <c r="J25" s="94" t="s">
        <v>160</v>
      </c>
      <c r="K25" s="92" t="s">
        <v>202</v>
      </c>
      <c r="L25" s="94" t="s">
        <v>145</v>
      </c>
      <c r="M25" s="95" t="b">
        <v>1</v>
      </c>
      <c r="N25" s="96"/>
    </row>
    <row r="26" spans="1:14" ht="40" customHeight="1" x14ac:dyDescent="0.2">
      <c r="A26" s="97" t="s">
        <v>164</v>
      </c>
      <c r="B26" s="92"/>
      <c r="C26" s="99">
        <v>2</v>
      </c>
      <c r="D26" s="93">
        <v>20</v>
      </c>
      <c r="E26" s="93">
        <v>2</v>
      </c>
      <c r="F26" s="92" t="s">
        <v>153</v>
      </c>
      <c r="G26" s="92" t="s">
        <v>111</v>
      </c>
      <c r="H26" s="92"/>
      <c r="I26" s="92" t="s">
        <v>222</v>
      </c>
      <c r="J26" s="94" t="s">
        <v>160</v>
      </c>
      <c r="K26" s="92" t="s">
        <v>169</v>
      </c>
      <c r="L26" s="94" t="s">
        <v>145</v>
      </c>
      <c r="M26" s="95" t="b">
        <v>1</v>
      </c>
      <c r="N26" s="96"/>
    </row>
    <row r="27" spans="1:14" ht="40" customHeight="1" x14ac:dyDescent="0.2">
      <c r="A27" s="97" t="s">
        <v>164</v>
      </c>
      <c r="B27" s="92"/>
      <c r="C27" s="99">
        <v>2</v>
      </c>
      <c r="D27" s="93">
        <v>21</v>
      </c>
      <c r="E27" s="93">
        <v>2</v>
      </c>
      <c r="F27" s="92" t="s">
        <v>153</v>
      </c>
      <c r="G27" s="92" t="s">
        <v>105</v>
      </c>
      <c r="H27" s="92"/>
      <c r="I27" s="92" t="s">
        <v>223</v>
      </c>
      <c r="J27" s="94" t="s">
        <v>160</v>
      </c>
      <c r="K27" s="92" t="s">
        <v>161</v>
      </c>
      <c r="L27" s="94" t="s">
        <v>145</v>
      </c>
      <c r="M27" s="95" t="b">
        <v>1</v>
      </c>
      <c r="N27" s="96"/>
    </row>
    <row r="28" spans="1:14" ht="40" customHeight="1" x14ac:dyDescent="0.2">
      <c r="A28" s="97" t="s">
        <v>164</v>
      </c>
      <c r="B28" s="92"/>
      <c r="C28" s="98">
        <v>3</v>
      </c>
      <c r="D28" s="93">
        <v>1</v>
      </c>
      <c r="E28" s="93">
        <v>1</v>
      </c>
      <c r="F28" s="92" t="s">
        <v>156</v>
      </c>
      <c r="G28" s="92" t="s">
        <v>186</v>
      </c>
      <c r="H28" s="92"/>
      <c r="I28" s="92" t="s">
        <v>203</v>
      </c>
      <c r="J28" s="94" t="s">
        <v>154</v>
      </c>
      <c r="K28" s="92"/>
      <c r="L28" s="94" t="s">
        <v>155</v>
      </c>
      <c r="M28" s="95" t="b">
        <v>1</v>
      </c>
      <c r="N28" s="96"/>
    </row>
    <row r="29" spans="1:14" ht="40" customHeight="1" x14ac:dyDescent="0.2">
      <c r="A29" s="97" t="s">
        <v>164</v>
      </c>
      <c r="B29" s="92"/>
      <c r="C29" s="98">
        <v>3</v>
      </c>
      <c r="D29" s="93">
        <v>2</v>
      </c>
      <c r="E29" s="93">
        <v>2</v>
      </c>
      <c r="F29" s="92" t="s">
        <v>156</v>
      </c>
      <c r="G29" s="92" t="s">
        <v>306</v>
      </c>
      <c r="H29" s="92" t="s">
        <v>307</v>
      </c>
      <c r="I29" s="92"/>
      <c r="J29" s="94" t="s">
        <v>155</v>
      </c>
      <c r="K29" s="92"/>
      <c r="L29" s="94" t="s">
        <v>155</v>
      </c>
      <c r="M29" s="95" t="b">
        <v>1</v>
      </c>
      <c r="N29" s="96"/>
    </row>
    <row r="30" spans="1:14" ht="40" customHeight="1" x14ac:dyDescent="0.2">
      <c r="A30" s="97" t="s">
        <v>164</v>
      </c>
      <c r="B30" s="92"/>
      <c r="C30" s="98">
        <v>3</v>
      </c>
      <c r="D30" s="93">
        <v>3</v>
      </c>
      <c r="E30" s="93">
        <v>2</v>
      </c>
      <c r="F30" s="92" t="s">
        <v>156</v>
      </c>
      <c r="G30" s="92" t="s">
        <v>308</v>
      </c>
      <c r="H30" s="92" t="s">
        <v>309</v>
      </c>
      <c r="I30" s="92"/>
      <c r="J30" s="94" t="s">
        <v>155</v>
      </c>
      <c r="K30" s="92"/>
      <c r="L30" s="94" t="s">
        <v>155</v>
      </c>
      <c r="M30" s="95" t="b">
        <v>1</v>
      </c>
      <c r="N30" s="96"/>
    </row>
    <row r="31" spans="1:14" ht="40" customHeight="1" x14ac:dyDescent="0.2">
      <c r="A31" s="97" t="s">
        <v>164</v>
      </c>
      <c r="B31" s="92"/>
      <c r="C31" s="98">
        <v>3</v>
      </c>
      <c r="D31" s="93">
        <v>4</v>
      </c>
      <c r="E31" s="93">
        <v>2</v>
      </c>
      <c r="F31" s="92" t="s">
        <v>156</v>
      </c>
      <c r="G31" s="92" t="s">
        <v>310</v>
      </c>
      <c r="H31" s="92" t="s">
        <v>311</v>
      </c>
      <c r="I31" s="92"/>
      <c r="J31" s="94" t="s">
        <v>155</v>
      </c>
      <c r="K31" s="92"/>
      <c r="L31" s="94" t="s">
        <v>155</v>
      </c>
      <c r="M31" s="95" t="b">
        <v>1</v>
      </c>
      <c r="N31" s="96"/>
    </row>
    <row r="32" spans="1:14" ht="40" customHeight="1" x14ac:dyDescent="0.2">
      <c r="A32" s="97" t="s">
        <v>164</v>
      </c>
      <c r="B32" s="92"/>
      <c r="C32" s="98">
        <v>3</v>
      </c>
      <c r="D32" s="93">
        <v>5</v>
      </c>
      <c r="E32" s="93">
        <v>2</v>
      </c>
      <c r="F32" s="92" t="s">
        <v>179</v>
      </c>
      <c r="G32" s="92" t="s">
        <v>210</v>
      </c>
      <c r="H32" s="92" t="s">
        <v>289</v>
      </c>
      <c r="I32" s="92"/>
      <c r="J32" s="94" t="s">
        <v>155</v>
      </c>
      <c r="K32" s="92"/>
      <c r="L32" s="94" t="s">
        <v>155</v>
      </c>
      <c r="M32" s="95" t="b">
        <v>1</v>
      </c>
      <c r="N32" s="96"/>
    </row>
    <row r="33" spans="1:14" ht="40" customHeight="1" x14ac:dyDescent="0.2">
      <c r="A33" s="97" t="s">
        <v>164</v>
      </c>
      <c r="B33" s="92"/>
      <c r="C33" s="98">
        <v>3</v>
      </c>
      <c r="D33" s="93">
        <v>6</v>
      </c>
      <c r="E33" s="93">
        <v>2</v>
      </c>
      <c r="F33" s="92" t="s">
        <v>156</v>
      </c>
      <c r="G33" s="92" t="s">
        <v>211</v>
      </c>
      <c r="H33" s="92"/>
      <c r="I33" s="92"/>
      <c r="J33" s="94" t="s">
        <v>155</v>
      </c>
      <c r="K33" s="92"/>
      <c r="L33" s="94" t="s">
        <v>155</v>
      </c>
      <c r="M33" s="95" t="b">
        <v>1</v>
      </c>
      <c r="N33" s="96"/>
    </row>
    <row r="34" spans="1:14" ht="40" customHeight="1" x14ac:dyDescent="0.2">
      <c r="A34" s="97" t="s">
        <v>164</v>
      </c>
      <c r="B34" s="92"/>
      <c r="C34" s="98">
        <v>3</v>
      </c>
      <c r="D34" s="93">
        <v>7</v>
      </c>
      <c r="E34" s="93">
        <v>2</v>
      </c>
      <c r="F34" s="92" t="s">
        <v>153</v>
      </c>
      <c r="G34" s="92" t="s">
        <v>105</v>
      </c>
      <c r="H34" s="92" t="s">
        <v>224</v>
      </c>
      <c r="I34" s="92"/>
      <c r="J34" s="94" t="s">
        <v>155</v>
      </c>
      <c r="K34" s="92" t="s">
        <v>161</v>
      </c>
      <c r="L34" s="94" t="s">
        <v>145</v>
      </c>
      <c r="M34" s="95" t="b">
        <v>1</v>
      </c>
      <c r="N34" s="96"/>
    </row>
    <row r="35" spans="1:14" ht="40" customHeight="1" x14ac:dyDescent="0.2">
      <c r="A35" s="97" t="s">
        <v>164</v>
      </c>
      <c r="B35" s="92"/>
      <c r="C35" s="98">
        <v>3</v>
      </c>
      <c r="D35" s="93">
        <v>8</v>
      </c>
      <c r="E35" s="93">
        <v>2</v>
      </c>
      <c r="F35" s="92" t="s">
        <v>153</v>
      </c>
      <c r="G35" s="92" t="s">
        <v>110</v>
      </c>
      <c r="H35" s="92" t="s">
        <v>225</v>
      </c>
      <c r="I35" s="92"/>
      <c r="J35" s="94" t="s">
        <v>155</v>
      </c>
      <c r="K35" s="92" t="s">
        <v>171</v>
      </c>
      <c r="L35" s="94" t="s">
        <v>145</v>
      </c>
      <c r="M35" s="95" t="b">
        <v>1</v>
      </c>
      <c r="N35" s="96"/>
    </row>
    <row r="36" spans="1:14" ht="40" customHeight="1" x14ac:dyDescent="0.2">
      <c r="A36" s="97" t="s">
        <v>164</v>
      </c>
      <c r="B36" s="92"/>
      <c r="C36" s="98">
        <v>3</v>
      </c>
      <c r="D36" s="93">
        <v>9</v>
      </c>
      <c r="E36" s="93">
        <v>2</v>
      </c>
      <c r="F36" s="92" t="s">
        <v>153</v>
      </c>
      <c r="G36" s="92" t="s">
        <v>112</v>
      </c>
      <c r="H36" s="92" t="s">
        <v>226</v>
      </c>
      <c r="I36" s="92"/>
      <c r="J36" s="94" t="s">
        <v>155</v>
      </c>
      <c r="K36" s="92" t="s">
        <v>202</v>
      </c>
      <c r="L36" s="94" t="s">
        <v>145</v>
      </c>
      <c r="M36" s="95" t="b">
        <v>1</v>
      </c>
      <c r="N36" s="96"/>
    </row>
    <row r="37" spans="1:14" ht="40" customHeight="1" x14ac:dyDescent="0.2">
      <c r="A37" s="97" t="s">
        <v>164</v>
      </c>
      <c r="B37" s="92"/>
      <c r="C37" s="98">
        <v>3</v>
      </c>
      <c r="D37" s="93">
        <v>10</v>
      </c>
      <c r="E37" s="93">
        <v>2</v>
      </c>
      <c r="F37" s="92" t="s">
        <v>156</v>
      </c>
      <c r="G37" s="92" t="s">
        <v>207</v>
      </c>
      <c r="H37" s="92"/>
      <c r="I37" s="92"/>
      <c r="J37" s="94" t="s">
        <v>155</v>
      </c>
      <c r="K37" s="92"/>
      <c r="L37" s="94" t="s">
        <v>155</v>
      </c>
      <c r="M37" s="95" t="b">
        <v>1</v>
      </c>
      <c r="N37" s="96"/>
    </row>
    <row r="38" spans="1:14" ht="40" customHeight="1" x14ac:dyDescent="0.2">
      <c r="A38" s="97" t="s">
        <v>164</v>
      </c>
      <c r="B38" s="92"/>
      <c r="C38" s="98">
        <v>3</v>
      </c>
      <c r="D38" s="93">
        <v>11</v>
      </c>
      <c r="E38" s="93">
        <v>2</v>
      </c>
      <c r="F38" s="92" t="s">
        <v>153</v>
      </c>
      <c r="G38" s="92" t="s">
        <v>197</v>
      </c>
      <c r="H38" s="92" t="s">
        <v>227</v>
      </c>
      <c r="I38" s="92" t="s">
        <v>208</v>
      </c>
      <c r="J38" s="94" t="s">
        <v>154</v>
      </c>
      <c r="K38" s="92" t="s">
        <v>198</v>
      </c>
      <c r="L38" s="94" t="s">
        <v>145</v>
      </c>
      <c r="M38" s="95" t="b">
        <v>1</v>
      </c>
      <c r="N38" s="96"/>
    </row>
    <row r="39" spans="1:14" ht="40" customHeight="1" x14ac:dyDescent="0.2">
      <c r="A39" s="97" t="s">
        <v>164</v>
      </c>
      <c r="B39" s="92"/>
      <c r="C39" s="98">
        <v>3</v>
      </c>
      <c r="D39" s="93">
        <v>12</v>
      </c>
      <c r="E39" s="93">
        <v>2</v>
      </c>
      <c r="F39" s="92" t="s">
        <v>153</v>
      </c>
      <c r="G39" s="92" t="s">
        <v>168</v>
      </c>
      <c r="H39" s="92" t="s">
        <v>228</v>
      </c>
      <c r="I39" s="92" t="s">
        <v>275</v>
      </c>
      <c r="J39" s="94" t="s">
        <v>154</v>
      </c>
      <c r="K39" s="92" t="s">
        <v>157</v>
      </c>
      <c r="L39" s="94" t="s">
        <v>145</v>
      </c>
      <c r="M39" s="95" t="b">
        <v>1</v>
      </c>
      <c r="N39" s="96"/>
    </row>
    <row r="40" spans="1:14" ht="40" customHeight="1" x14ac:dyDescent="0.2">
      <c r="A40" s="97" t="s">
        <v>164</v>
      </c>
      <c r="B40" s="92"/>
      <c r="C40" s="98">
        <v>3</v>
      </c>
      <c r="D40" s="93">
        <v>13</v>
      </c>
      <c r="E40" s="93">
        <v>2</v>
      </c>
      <c r="F40" s="92" t="s">
        <v>153</v>
      </c>
      <c r="G40" s="92" t="s">
        <v>106</v>
      </c>
      <c r="H40" s="92" t="s">
        <v>215</v>
      </c>
      <c r="I40" s="92" t="s">
        <v>272</v>
      </c>
      <c r="J40" s="94" t="s">
        <v>154</v>
      </c>
      <c r="K40" s="92" t="s">
        <v>162</v>
      </c>
      <c r="L40" s="94" t="s">
        <v>145</v>
      </c>
      <c r="M40" s="95" t="b">
        <v>1</v>
      </c>
      <c r="N40" s="96"/>
    </row>
    <row r="41" spans="1:14" ht="40" customHeight="1" x14ac:dyDescent="0.2">
      <c r="A41" s="97" t="s">
        <v>164</v>
      </c>
      <c r="B41" s="92"/>
      <c r="C41" s="98">
        <v>3</v>
      </c>
      <c r="D41" s="93">
        <v>14</v>
      </c>
      <c r="E41" s="93">
        <v>2</v>
      </c>
      <c r="F41" s="92" t="s">
        <v>156</v>
      </c>
      <c r="G41" s="92" t="s">
        <v>196</v>
      </c>
      <c r="H41" s="92"/>
      <c r="I41" s="92"/>
      <c r="J41" s="94" t="s">
        <v>155</v>
      </c>
      <c r="K41" s="92"/>
      <c r="L41" s="94" t="s">
        <v>155</v>
      </c>
      <c r="M41" s="95" t="b">
        <v>1</v>
      </c>
      <c r="N41" s="96"/>
    </row>
    <row r="42" spans="1:14" ht="40" customHeight="1" x14ac:dyDescent="0.2">
      <c r="A42" s="97" t="s">
        <v>164</v>
      </c>
      <c r="B42" s="92"/>
      <c r="C42" s="98">
        <v>3</v>
      </c>
      <c r="D42" s="93">
        <v>15</v>
      </c>
      <c r="E42" s="93">
        <v>2</v>
      </c>
      <c r="F42" s="92" t="s">
        <v>153</v>
      </c>
      <c r="G42" s="92" t="s">
        <v>104</v>
      </c>
      <c r="H42" s="92"/>
      <c r="I42" s="92" t="s">
        <v>229</v>
      </c>
      <c r="J42" s="94" t="s">
        <v>159</v>
      </c>
      <c r="K42" s="92" t="s">
        <v>167</v>
      </c>
      <c r="L42" s="94" t="s">
        <v>145</v>
      </c>
      <c r="M42" s="95" t="b">
        <v>1</v>
      </c>
      <c r="N42" s="96"/>
    </row>
    <row r="43" spans="1:14" ht="40" customHeight="1" x14ac:dyDescent="0.2">
      <c r="A43" s="97" t="s">
        <v>164</v>
      </c>
      <c r="B43" s="92"/>
      <c r="C43" s="98">
        <v>3</v>
      </c>
      <c r="D43" s="93">
        <v>16</v>
      </c>
      <c r="E43" s="93">
        <v>2</v>
      </c>
      <c r="F43" s="92" t="s">
        <v>153</v>
      </c>
      <c r="G43" s="92" t="s">
        <v>168</v>
      </c>
      <c r="H43" s="92"/>
      <c r="I43" s="92" t="s">
        <v>230</v>
      </c>
      <c r="J43" s="94" t="s">
        <v>159</v>
      </c>
      <c r="K43" s="92" t="s">
        <v>157</v>
      </c>
      <c r="L43" s="94" t="s">
        <v>145</v>
      </c>
      <c r="M43" s="95" t="b">
        <v>1</v>
      </c>
      <c r="N43" s="96"/>
    </row>
    <row r="44" spans="1:14" ht="40" customHeight="1" x14ac:dyDescent="0.2">
      <c r="A44" s="97" t="s">
        <v>164</v>
      </c>
      <c r="B44" s="92"/>
      <c r="C44" s="98">
        <v>3</v>
      </c>
      <c r="D44" s="93">
        <v>17</v>
      </c>
      <c r="E44" s="93">
        <v>2</v>
      </c>
      <c r="F44" s="92" t="s">
        <v>153</v>
      </c>
      <c r="G44" s="92" t="s">
        <v>106</v>
      </c>
      <c r="H44" s="92"/>
      <c r="I44" s="92" t="s">
        <v>231</v>
      </c>
      <c r="J44" s="94" t="s">
        <v>159</v>
      </c>
      <c r="K44" s="92" t="s">
        <v>162</v>
      </c>
      <c r="L44" s="94" t="s">
        <v>145</v>
      </c>
      <c r="M44" s="95" t="b">
        <v>1</v>
      </c>
      <c r="N44" s="96"/>
    </row>
    <row r="45" spans="1:14" ht="40" customHeight="1" x14ac:dyDescent="0.2">
      <c r="A45" s="97" t="s">
        <v>164</v>
      </c>
      <c r="B45" s="92"/>
      <c r="C45" s="98">
        <v>3</v>
      </c>
      <c r="D45" s="93">
        <v>18</v>
      </c>
      <c r="E45" s="93">
        <v>2</v>
      </c>
      <c r="F45" s="92" t="s">
        <v>156</v>
      </c>
      <c r="G45" s="92" t="s">
        <v>201</v>
      </c>
      <c r="H45" s="92"/>
      <c r="I45" s="92"/>
      <c r="J45" s="94" t="s">
        <v>155</v>
      </c>
      <c r="K45" s="92"/>
      <c r="L45" s="94" t="s">
        <v>155</v>
      </c>
      <c r="M45" s="95" t="b">
        <v>1</v>
      </c>
      <c r="N45" s="96"/>
    </row>
    <row r="46" spans="1:14" ht="40" customHeight="1" x14ac:dyDescent="0.2">
      <c r="A46" s="97" t="s">
        <v>164</v>
      </c>
      <c r="B46" s="92"/>
      <c r="C46" s="98">
        <v>3</v>
      </c>
      <c r="D46" s="93">
        <v>19</v>
      </c>
      <c r="E46" s="93">
        <v>2</v>
      </c>
      <c r="F46" s="92" t="s">
        <v>153</v>
      </c>
      <c r="G46" s="92" t="s">
        <v>105</v>
      </c>
      <c r="H46" s="92"/>
      <c r="I46" s="92" t="s">
        <v>232</v>
      </c>
      <c r="J46" s="94" t="s">
        <v>160</v>
      </c>
      <c r="K46" s="92" t="s">
        <v>161</v>
      </c>
      <c r="L46" s="94" t="s">
        <v>145</v>
      </c>
      <c r="M46" s="95" t="b">
        <v>1</v>
      </c>
      <c r="N46" s="96"/>
    </row>
    <row r="47" spans="1:14" ht="40" customHeight="1" x14ac:dyDescent="0.2">
      <c r="A47" s="97" t="s">
        <v>164</v>
      </c>
      <c r="B47" s="92"/>
      <c r="C47" s="98">
        <v>3</v>
      </c>
      <c r="D47" s="93">
        <v>20</v>
      </c>
      <c r="E47" s="93">
        <v>2</v>
      </c>
      <c r="F47" s="92" t="s">
        <v>153</v>
      </c>
      <c r="G47" s="92" t="s">
        <v>112</v>
      </c>
      <c r="H47" s="92"/>
      <c r="I47" s="92" t="s">
        <v>233</v>
      </c>
      <c r="J47" s="94" t="s">
        <v>160</v>
      </c>
      <c r="K47" s="92" t="s">
        <v>202</v>
      </c>
      <c r="L47" s="94" t="s">
        <v>145</v>
      </c>
      <c r="M47" s="95" t="b">
        <v>1</v>
      </c>
      <c r="N47" s="96"/>
    </row>
    <row r="48" spans="1:14" ht="40" customHeight="1" x14ac:dyDescent="0.2">
      <c r="A48" s="97" t="s">
        <v>164</v>
      </c>
      <c r="B48" s="92"/>
      <c r="C48" s="98">
        <v>3</v>
      </c>
      <c r="D48" s="93">
        <v>21</v>
      </c>
      <c r="E48" s="93">
        <v>2</v>
      </c>
      <c r="F48" s="92" t="s">
        <v>153</v>
      </c>
      <c r="G48" s="92" t="s">
        <v>110</v>
      </c>
      <c r="H48" s="92"/>
      <c r="I48" s="92" t="s">
        <v>234</v>
      </c>
      <c r="J48" s="94" t="s">
        <v>160</v>
      </c>
      <c r="K48" s="92" t="s">
        <v>171</v>
      </c>
      <c r="L48" s="94" t="s">
        <v>145</v>
      </c>
      <c r="M48" s="95" t="b">
        <v>1</v>
      </c>
      <c r="N48" s="96"/>
    </row>
    <row r="49" spans="1:14" ht="40" customHeight="1" x14ac:dyDescent="0.2">
      <c r="A49" s="97" t="s">
        <v>164</v>
      </c>
      <c r="B49" s="92"/>
      <c r="C49" s="99">
        <v>4</v>
      </c>
      <c r="D49" s="93">
        <v>1</v>
      </c>
      <c r="E49" s="93">
        <v>1</v>
      </c>
      <c r="F49" s="92" t="s">
        <v>156</v>
      </c>
      <c r="G49" s="92" t="s">
        <v>170</v>
      </c>
      <c r="H49" s="92"/>
      <c r="I49" s="92" t="s">
        <v>204</v>
      </c>
      <c r="J49" s="94" t="s">
        <v>154</v>
      </c>
      <c r="K49" s="92"/>
      <c r="L49" s="94" t="s">
        <v>155</v>
      </c>
      <c r="M49" s="95" t="b">
        <v>1</v>
      </c>
      <c r="N49" s="96"/>
    </row>
    <row r="50" spans="1:14" ht="40" customHeight="1" x14ac:dyDescent="0.2">
      <c r="A50" s="97" t="s">
        <v>164</v>
      </c>
      <c r="B50" s="92"/>
      <c r="C50" s="99">
        <v>4</v>
      </c>
      <c r="D50" s="93">
        <v>2</v>
      </c>
      <c r="E50" s="93">
        <v>2</v>
      </c>
      <c r="F50" s="92" t="s">
        <v>156</v>
      </c>
      <c r="G50" s="100" t="s">
        <v>312</v>
      </c>
      <c r="H50" s="100" t="s">
        <v>315</v>
      </c>
      <c r="I50" s="92"/>
      <c r="J50" s="94" t="s">
        <v>155</v>
      </c>
      <c r="K50" s="92"/>
      <c r="L50" s="94" t="s">
        <v>155</v>
      </c>
      <c r="M50" s="95" t="b">
        <v>1</v>
      </c>
      <c r="N50" s="96"/>
    </row>
    <row r="51" spans="1:14" ht="40" customHeight="1" x14ac:dyDescent="0.2">
      <c r="A51" s="97" t="s">
        <v>164</v>
      </c>
      <c r="B51" s="92"/>
      <c r="C51" s="99">
        <v>4</v>
      </c>
      <c r="D51" s="93">
        <v>3</v>
      </c>
      <c r="E51" s="93">
        <v>2</v>
      </c>
      <c r="F51" s="92" t="s">
        <v>156</v>
      </c>
      <c r="G51" s="92" t="s">
        <v>313</v>
      </c>
      <c r="H51" s="92"/>
      <c r="I51" s="92"/>
      <c r="J51" s="94" t="s">
        <v>155</v>
      </c>
      <c r="K51" s="92"/>
      <c r="L51" s="94" t="s">
        <v>155</v>
      </c>
      <c r="M51" s="95" t="b">
        <v>1</v>
      </c>
      <c r="N51" s="96"/>
    </row>
    <row r="52" spans="1:14" ht="40" customHeight="1" x14ac:dyDescent="0.2">
      <c r="A52" s="97" t="s">
        <v>164</v>
      </c>
      <c r="B52" s="92"/>
      <c r="C52" s="99">
        <v>4</v>
      </c>
      <c r="D52" s="93">
        <v>4</v>
      </c>
      <c r="E52" s="93">
        <v>2</v>
      </c>
      <c r="F52" s="92" t="s">
        <v>156</v>
      </c>
      <c r="G52" s="92" t="s">
        <v>314</v>
      </c>
      <c r="H52" s="92"/>
      <c r="I52" s="92"/>
      <c r="J52" s="94" t="s">
        <v>155</v>
      </c>
      <c r="K52" s="92"/>
      <c r="L52" s="94" t="s">
        <v>155</v>
      </c>
      <c r="M52" s="95" t="b">
        <v>1</v>
      </c>
      <c r="N52" s="96"/>
    </row>
    <row r="53" spans="1:14" ht="40" customHeight="1" x14ac:dyDescent="0.2">
      <c r="A53" s="97" t="s">
        <v>164</v>
      </c>
      <c r="B53" s="92"/>
      <c r="C53" s="99">
        <v>4</v>
      </c>
      <c r="D53" s="93">
        <v>5</v>
      </c>
      <c r="E53" s="93">
        <v>2</v>
      </c>
      <c r="F53" s="92" t="s">
        <v>179</v>
      </c>
      <c r="G53" s="92" t="s">
        <v>210</v>
      </c>
      <c r="H53" s="92" t="s">
        <v>290</v>
      </c>
      <c r="I53" s="92"/>
      <c r="J53" s="94" t="s">
        <v>155</v>
      </c>
      <c r="K53" s="92"/>
      <c r="L53" s="94" t="s">
        <v>155</v>
      </c>
      <c r="M53" s="95" t="b">
        <v>1</v>
      </c>
      <c r="N53" s="96"/>
    </row>
    <row r="54" spans="1:14" ht="40" customHeight="1" x14ac:dyDescent="0.2">
      <c r="A54" s="97" t="s">
        <v>164</v>
      </c>
      <c r="B54" s="92"/>
      <c r="C54" s="99">
        <v>4</v>
      </c>
      <c r="D54" s="93">
        <v>6</v>
      </c>
      <c r="E54" s="93">
        <v>2</v>
      </c>
      <c r="F54" s="92" t="s">
        <v>156</v>
      </c>
      <c r="G54" s="92" t="s">
        <v>211</v>
      </c>
      <c r="H54" s="92"/>
      <c r="I54" s="92"/>
      <c r="J54" s="94" t="s">
        <v>155</v>
      </c>
      <c r="K54" s="92"/>
      <c r="L54" s="94" t="s">
        <v>155</v>
      </c>
      <c r="M54" s="95" t="b">
        <v>1</v>
      </c>
      <c r="N54" s="96"/>
    </row>
    <row r="55" spans="1:14" ht="40" customHeight="1" x14ac:dyDescent="0.2">
      <c r="A55" s="97" t="s">
        <v>164</v>
      </c>
      <c r="B55" s="92"/>
      <c r="C55" s="99">
        <v>4</v>
      </c>
      <c r="D55" s="93">
        <v>7</v>
      </c>
      <c r="E55" s="93">
        <v>2</v>
      </c>
      <c r="F55" s="92" t="s">
        <v>153</v>
      </c>
      <c r="G55" s="92" t="s">
        <v>190</v>
      </c>
      <c r="H55" s="92" t="s">
        <v>235</v>
      </c>
      <c r="I55" s="92"/>
      <c r="J55" s="94" t="s">
        <v>155</v>
      </c>
      <c r="K55" s="92" t="s">
        <v>158</v>
      </c>
      <c r="L55" s="94" t="s">
        <v>145</v>
      </c>
      <c r="M55" s="95" t="b">
        <v>1</v>
      </c>
      <c r="N55" s="96"/>
    </row>
    <row r="56" spans="1:14" ht="40" customHeight="1" x14ac:dyDescent="0.2">
      <c r="A56" s="97" t="s">
        <v>164</v>
      </c>
      <c r="B56" s="92"/>
      <c r="C56" s="99">
        <v>4</v>
      </c>
      <c r="D56" s="93">
        <v>8</v>
      </c>
      <c r="E56" s="93">
        <v>2</v>
      </c>
      <c r="F56" s="92" t="s">
        <v>153</v>
      </c>
      <c r="G56" s="92" t="s">
        <v>103</v>
      </c>
      <c r="H56" s="92" t="s">
        <v>235</v>
      </c>
      <c r="I56" s="92"/>
      <c r="J56" s="94" t="s">
        <v>155</v>
      </c>
      <c r="K56" s="92" t="s">
        <v>176</v>
      </c>
      <c r="L56" s="94" t="s">
        <v>145</v>
      </c>
      <c r="M56" s="95" t="b">
        <v>1</v>
      </c>
      <c r="N56" s="96"/>
    </row>
    <row r="57" spans="1:14" ht="40" customHeight="1" x14ac:dyDescent="0.2">
      <c r="A57" s="97" t="s">
        <v>164</v>
      </c>
      <c r="B57" s="92"/>
      <c r="C57" s="99">
        <v>4</v>
      </c>
      <c r="D57" s="93">
        <v>9</v>
      </c>
      <c r="E57" s="93">
        <v>2</v>
      </c>
      <c r="F57" s="92" t="s">
        <v>153</v>
      </c>
      <c r="G57" s="92" t="s">
        <v>236</v>
      </c>
      <c r="H57" s="92" t="s">
        <v>235</v>
      </c>
      <c r="I57" s="92"/>
      <c r="J57" s="94" t="s">
        <v>155</v>
      </c>
      <c r="K57" s="92" t="s">
        <v>237</v>
      </c>
      <c r="L57" s="94" t="s">
        <v>145</v>
      </c>
      <c r="M57" s="95" t="b">
        <v>1</v>
      </c>
      <c r="N57" s="96"/>
    </row>
    <row r="58" spans="1:14" ht="40" customHeight="1" x14ac:dyDescent="0.2">
      <c r="A58" s="97" t="s">
        <v>164</v>
      </c>
      <c r="B58" s="92"/>
      <c r="C58" s="99">
        <v>4</v>
      </c>
      <c r="D58" s="93">
        <v>10</v>
      </c>
      <c r="E58" s="93">
        <v>2</v>
      </c>
      <c r="F58" s="92" t="s">
        <v>156</v>
      </c>
      <c r="G58" s="92" t="s">
        <v>207</v>
      </c>
      <c r="H58" s="92"/>
      <c r="I58" s="92"/>
      <c r="J58" s="94" t="s">
        <v>155</v>
      </c>
      <c r="K58" s="92"/>
      <c r="L58" s="94" t="s">
        <v>155</v>
      </c>
      <c r="M58" s="95" t="b">
        <v>1</v>
      </c>
      <c r="N58" s="96"/>
    </row>
    <row r="59" spans="1:14" ht="40" customHeight="1" x14ac:dyDescent="0.2">
      <c r="A59" s="97" t="s">
        <v>164</v>
      </c>
      <c r="B59" s="92"/>
      <c r="C59" s="99">
        <v>4</v>
      </c>
      <c r="D59" s="93">
        <v>11</v>
      </c>
      <c r="E59" s="93">
        <v>2</v>
      </c>
      <c r="F59" s="92" t="s">
        <v>153</v>
      </c>
      <c r="G59" s="92" t="s">
        <v>108</v>
      </c>
      <c r="H59" s="92" t="s">
        <v>238</v>
      </c>
      <c r="I59" s="92" t="s">
        <v>276</v>
      </c>
      <c r="J59" s="94" t="s">
        <v>154</v>
      </c>
      <c r="K59" s="92" t="s">
        <v>205</v>
      </c>
      <c r="L59" s="94" t="s">
        <v>145</v>
      </c>
      <c r="M59" s="95" t="b">
        <v>1</v>
      </c>
      <c r="N59" s="96"/>
    </row>
    <row r="60" spans="1:14" ht="40" customHeight="1" x14ac:dyDescent="0.2">
      <c r="A60" s="97" t="s">
        <v>164</v>
      </c>
      <c r="B60" s="92"/>
      <c r="C60" s="99">
        <v>4</v>
      </c>
      <c r="D60" s="93">
        <v>12</v>
      </c>
      <c r="E60" s="93">
        <v>2</v>
      </c>
      <c r="F60" s="92" t="s">
        <v>153</v>
      </c>
      <c r="G60" s="92" t="s">
        <v>197</v>
      </c>
      <c r="H60" s="92" t="s">
        <v>239</v>
      </c>
      <c r="I60" s="92" t="s">
        <v>277</v>
      </c>
      <c r="J60" s="94" t="s">
        <v>154</v>
      </c>
      <c r="K60" s="92" t="s">
        <v>198</v>
      </c>
      <c r="L60" s="94" t="s">
        <v>145</v>
      </c>
      <c r="M60" s="95" t="b">
        <v>1</v>
      </c>
      <c r="N60" s="96"/>
    </row>
    <row r="61" spans="1:14" ht="40" customHeight="1" x14ac:dyDescent="0.2">
      <c r="A61" s="97" t="s">
        <v>164</v>
      </c>
      <c r="B61" s="92"/>
      <c r="C61" s="99">
        <v>4</v>
      </c>
      <c r="D61" s="93">
        <v>13</v>
      </c>
      <c r="E61" s="93">
        <v>2</v>
      </c>
      <c r="F61" s="92" t="s">
        <v>153</v>
      </c>
      <c r="G61" s="92" t="s">
        <v>104</v>
      </c>
      <c r="H61" s="92" t="s">
        <v>240</v>
      </c>
      <c r="I61" s="92" t="s">
        <v>278</v>
      </c>
      <c r="J61" s="94" t="s">
        <v>154</v>
      </c>
      <c r="K61" s="92" t="s">
        <v>167</v>
      </c>
      <c r="L61" s="94" t="s">
        <v>145</v>
      </c>
      <c r="M61" s="95" t="b">
        <v>1</v>
      </c>
      <c r="N61" s="96"/>
    </row>
    <row r="62" spans="1:14" ht="40" customHeight="1" x14ac:dyDescent="0.2">
      <c r="A62" s="97" t="s">
        <v>164</v>
      </c>
      <c r="B62" s="92"/>
      <c r="C62" s="99">
        <v>4</v>
      </c>
      <c r="D62" s="93">
        <v>14</v>
      </c>
      <c r="E62" s="93">
        <v>2</v>
      </c>
      <c r="F62" s="92" t="s">
        <v>156</v>
      </c>
      <c r="G62" s="92" t="s">
        <v>196</v>
      </c>
      <c r="H62" s="92"/>
      <c r="I62" s="92"/>
      <c r="J62" s="94" t="s">
        <v>155</v>
      </c>
      <c r="K62" s="92"/>
      <c r="L62" s="94" t="s">
        <v>155</v>
      </c>
      <c r="M62" s="95" t="b">
        <v>1</v>
      </c>
      <c r="N62" s="96"/>
    </row>
    <row r="63" spans="1:14" ht="40" customHeight="1" x14ac:dyDescent="0.2">
      <c r="A63" s="97" t="s">
        <v>164</v>
      </c>
      <c r="B63" s="92"/>
      <c r="C63" s="99">
        <v>4</v>
      </c>
      <c r="D63" s="93">
        <v>15</v>
      </c>
      <c r="E63" s="93">
        <v>2</v>
      </c>
      <c r="F63" s="92" t="s">
        <v>153</v>
      </c>
      <c r="G63" s="92" t="s">
        <v>104</v>
      </c>
      <c r="H63" s="92"/>
      <c r="I63" s="92" t="s">
        <v>241</v>
      </c>
      <c r="J63" s="94" t="s">
        <v>159</v>
      </c>
      <c r="K63" s="92" t="s">
        <v>167</v>
      </c>
      <c r="L63" s="94" t="s">
        <v>145</v>
      </c>
      <c r="M63" s="95" t="b">
        <v>1</v>
      </c>
      <c r="N63" s="96"/>
    </row>
    <row r="64" spans="1:14" ht="40" customHeight="1" x14ac:dyDescent="0.2">
      <c r="A64" s="97" t="s">
        <v>164</v>
      </c>
      <c r="B64" s="92"/>
      <c r="C64" s="99">
        <v>4</v>
      </c>
      <c r="D64" s="93">
        <v>16</v>
      </c>
      <c r="E64" s="93">
        <v>2</v>
      </c>
      <c r="F64" s="92" t="s">
        <v>153</v>
      </c>
      <c r="G64" s="92" t="s">
        <v>112</v>
      </c>
      <c r="H64" s="92"/>
      <c r="I64" s="92" t="s">
        <v>242</v>
      </c>
      <c r="J64" s="94" t="s">
        <v>159</v>
      </c>
      <c r="K64" s="92" t="s">
        <v>202</v>
      </c>
      <c r="L64" s="94" t="s">
        <v>145</v>
      </c>
      <c r="M64" s="95" t="b">
        <v>1</v>
      </c>
      <c r="N64" s="96"/>
    </row>
    <row r="65" spans="1:14" ht="40" customHeight="1" x14ac:dyDescent="0.2">
      <c r="A65" s="97" t="s">
        <v>164</v>
      </c>
      <c r="B65" s="92"/>
      <c r="C65" s="99">
        <v>4</v>
      </c>
      <c r="D65" s="93">
        <v>17</v>
      </c>
      <c r="E65" s="93">
        <v>2</v>
      </c>
      <c r="F65" s="92" t="s">
        <v>153</v>
      </c>
      <c r="G65" s="92" t="s">
        <v>168</v>
      </c>
      <c r="H65" s="92"/>
      <c r="I65" s="92" t="s">
        <v>243</v>
      </c>
      <c r="J65" s="94" t="s">
        <v>159</v>
      </c>
      <c r="K65" s="92" t="s">
        <v>157</v>
      </c>
      <c r="L65" s="94" t="s">
        <v>145</v>
      </c>
      <c r="M65" s="95" t="b">
        <v>1</v>
      </c>
      <c r="N65" s="96"/>
    </row>
    <row r="66" spans="1:14" ht="40" customHeight="1" x14ac:dyDescent="0.2">
      <c r="A66" s="97" t="s">
        <v>164</v>
      </c>
      <c r="B66" s="92"/>
      <c r="C66" s="98">
        <v>5</v>
      </c>
      <c r="D66" s="93">
        <v>1</v>
      </c>
      <c r="E66" s="93">
        <v>1</v>
      </c>
      <c r="F66" s="92" t="s">
        <v>156</v>
      </c>
      <c r="G66" s="92" t="s">
        <v>187</v>
      </c>
      <c r="H66" s="92"/>
      <c r="I66" s="92" t="s">
        <v>206</v>
      </c>
      <c r="J66" s="94" t="s">
        <v>154</v>
      </c>
      <c r="K66" s="92"/>
      <c r="L66" s="94" t="s">
        <v>155</v>
      </c>
      <c r="M66" s="95" t="b">
        <v>1</v>
      </c>
      <c r="N66" s="96"/>
    </row>
    <row r="67" spans="1:14" ht="40" customHeight="1" x14ac:dyDescent="0.2">
      <c r="A67" s="97" t="s">
        <v>164</v>
      </c>
      <c r="B67" s="92"/>
      <c r="C67" s="98">
        <v>5</v>
      </c>
      <c r="D67" s="93">
        <v>2</v>
      </c>
      <c r="E67" s="93">
        <v>2</v>
      </c>
      <c r="F67" s="92" t="s">
        <v>156</v>
      </c>
      <c r="G67" s="92" t="s">
        <v>316</v>
      </c>
      <c r="H67" s="92"/>
      <c r="I67" s="92"/>
      <c r="J67" s="94" t="s">
        <v>155</v>
      </c>
      <c r="K67" s="92"/>
      <c r="L67" s="94" t="s">
        <v>155</v>
      </c>
      <c r="M67" s="95" t="b">
        <v>1</v>
      </c>
      <c r="N67" s="96"/>
    </row>
    <row r="68" spans="1:14" ht="40" customHeight="1" x14ac:dyDescent="0.2">
      <c r="A68" s="97" t="s">
        <v>164</v>
      </c>
      <c r="B68" s="92"/>
      <c r="C68" s="98">
        <v>5</v>
      </c>
      <c r="D68" s="93">
        <v>3</v>
      </c>
      <c r="E68" s="93">
        <v>2</v>
      </c>
      <c r="F68" s="92" t="s">
        <v>156</v>
      </c>
      <c r="G68" s="92" t="s">
        <v>317</v>
      </c>
      <c r="H68" s="92"/>
      <c r="I68" s="92"/>
      <c r="J68" s="94" t="s">
        <v>155</v>
      </c>
      <c r="K68" s="92"/>
      <c r="L68" s="94" t="s">
        <v>155</v>
      </c>
      <c r="M68" s="95" t="b">
        <v>1</v>
      </c>
      <c r="N68" s="96"/>
    </row>
    <row r="69" spans="1:14" ht="40" customHeight="1" x14ac:dyDescent="0.2">
      <c r="A69" s="97" t="s">
        <v>164</v>
      </c>
      <c r="B69" s="92"/>
      <c r="C69" s="98">
        <v>5</v>
      </c>
      <c r="D69" s="93">
        <v>4</v>
      </c>
      <c r="E69" s="93">
        <v>2</v>
      </c>
      <c r="F69" s="92" t="s">
        <v>156</v>
      </c>
      <c r="G69" s="92" t="s">
        <v>318</v>
      </c>
      <c r="H69" s="92"/>
      <c r="I69" s="92"/>
      <c r="J69" s="94" t="s">
        <v>155</v>
      </c>
      <c r="K69" s="92"/>
      <c r="L69" s="94" t="s">
        <v>155</v>
      </c>
      <c r="M69" s="95" t="b">
        <v>1</v>
      </c>
      <c r="N69" s="96"/>
    </row>
    <row r="70" spans="1:14" ht="40" customHeight="1" x14ac:dyDescent="0.2">
      <c r="A70" s="97" t="s">
        <v>164</v>
      </c>
      <c r="B70" s="92"/>
      <c r="C70" s="98">
        <v>5</v>
      </c>
      <c r="D70" s="93">
        <v>5</v>
      </c>
      <c r="E70" s="93">
        <v>2</v>
      </c>
      <c r="F70" s="92" t="s">
        <v>179</v>
      </c>
      <c r="G70" s="92" t="s">
        <v>210</v>
      </c>
      <c r="H70" s="92" t="s">
        <v>291</v>
      </c>
      <c r="I70" s="92"/>
      <c r="J70" s="94" t="s">
        <v>155</v>
      </c>
      <c r="K70" s="92"/>
      <c r="L70" s="94" t="s">
        <v>155</v>
      </c>
      <c r="M70" s="95" t="b">
        <v>1</v>
      </c>
      <c r="N70" s="96"/>
    </row>
    <row r="71" spans="1:14" ht="40" customHeight="1" x14ac:dyDescent="0.2">
      <c r="A71" s="97" t="s">
        <v>164</v>
      </c>
      <c r="B71" s="92"/>
      <c r="C71" s="98">
        <v>5</v>
      </c>
      <c r="D71" s="93">
        <v>6</v>
      </c>
      <c r="E71" s="93">
        <v>2</v>
      </c>
      <c r="F71" s="92" t="s">
        <v>156</v>
      </c>
      <c r="G71" s="92" t="s">
        <v>211</v>
      </c>
      <c r="H71" s="92"/>
      <c r="I71" s="92"/>
      <c r="J71" s="94" t="s">
        <v>155</v>
      </c>
      <c r="K71" s="92"/>
      <c r="L71" s="94" t="s">
        <v>155</v>
      </c>
      <c r="M71" s="95" t="b">
        <v>1</v>
      </c>
      <c r="N71" s="96"/>
    </row>
    <row r="72" spans="1:14" ht="40" customHeight="1" x14ac:dyDescent="0.2">
      <c r="A72" s="97" t="s">
        <v>164</v>
      </c>
      <c r="B72" s="92"/>
      <c r="C72" s="98">
        <v>5</v>
      </c>
      <c r="D72" s="93">
        <v>7</v>
      </c>
      <c r="E72" s="93">
        <v>2</v>
      </c>
      <c r="F72" s="92" t="s">
        <v>153</v>
      </c>
      <c r="G72" s="92" t="s">
        <v>113</v>
      </c>
      <c r="H72" s="92" t="s">
        <v>244</v>
      </c>
      <c r="I72" s="92"/>
      <c r="J72" s="94" t="s">
        <v>155</v>
      </c>
      <c r="K72" s="92" t="s">
        <v>163</v>
      </c>
      <c r="L72" s="94" t="s">
        <v>145</v>
      </c>
      <c r="M72" s="95" t="b">
        <v>1</v>
      </c>
      <c r="N72" s="96"/>
    </row>
    <row r="73" spans="1:14" ht="40" customHeight="1" x14ac:dyDescent="0.2">
      <c r="A73" s="97" t="s">
        <v>164</v>
      </c>
      <c r="B73" s="92"/>
      <c r="C73" s="98">
        <v>5</v>
      </c>
      <c r="D73" s="93">
        <v>8</v>
      </c>
      <c r="E73" s="93">
        <v>2</v>
      </c>
      <c r="F73" s="92" t="s">
        <v>153</v>
      </c>
      <c r="G73" s="92" t="s">
        <v>190</v>
      </c>
      <c r="H73" s="92" t="s">
        <v>235</v>
      </c>
      <c r="I73" s="92"/>
      <c r="J73" s="94" t="s">
        <v>155</v>
      </c>
      <c r="K73" s="92" t="s">
        <v>158</v>
      </c>
      <c r="L73" s="94" t="s">
        <v>145</v>
      </c>
      <c r="M73" s="95" t="b">
        <v>1</v>
      </c>
      <c r="N73" s="96"/>
    </row>
    <row r="74" spans="1:14" ht="40" customHeight="1" x14ac:dyDescent="0.2">
      <c r="A74" s="97" t="s">
        <v>164</v>
      </c>
      <c r="B74" s="92"/>
      <c r="C74" s="98">
        <v>5</v>
      </c>
      <c r="D74" s="93">
        <v>9</v>
      </c>
      <c r="E74" s="93">
        <v>2</v>
      </c>
      <c r="F74" s="92" t="s">
        <v>153</v>
      </c>
      <c r="G74" s="92" t="s">
        <v>103</v>
      </c>
      <c r="H74" s="92" t="s">
        <v>235</v>
      </c>
      <c r="I74" s="92"/>
      <c r="J74" s="94" t="s">
        <v>155</v>
      </c>
      <c r="K74" s="92" t="s">
        <v>176</v>
      </c>
      <c r="L74" s="94" t="s">
        <v>145</v>
      </c>
      <c r="M74" s="95" t="b">
        <v>1</v>
      </c>
      <c r="N74" s="96"/>
    </row>
    <row r="75" spans="1:14" ht="40" customHeight="1" x14ac:dyDescent="0.2">
      <c r="A75" s="97" t="s">
        <v>164</v>
      </c>
      <c r="B75" s="92"/>
      <c r="C75" s="98">
        <v>5</v>
      </c>
      <c r="D75" s="93">
        <v>10</v>
      </c>
      <c r="E75" s="93">
        <v>2</v>
      </c>
      <c r="F75" s="92" t="s">
        <v>156</v>
      </c>
      <c r="G75" s="92" t="s">
        <v>207</v>
      </c>
      <c r="H75" s="92"/>
      <c r="I75" s="92"/>
      <c r="J75" s="94" t="s">
        <v>155</v>
      </c>
      <c r="K75" s="92"/>
      <c r="L75" s="94" t="s">
        <v>155</v>
      </c>
      <c r="M75" s="95" t="b">
        <v>1</v>
      </c>
      <c r="N75" s="96"/>
    </row>
    <row r="76" spans="1:14" ht="40" customHeight="1" x14ac:dyDescent="0.2">
      <c r="A76" s="97" t="s">
        <v>164</v>
      </c>
      <c r="B76" s="92"/>
      <c r="C76" s="98">
        <v>5</v>
      </c>
      <c r="D76" s="93">
        <v>11</v>
      </c>
      <c r="E76" s="93">
        <v>2</v>
      </c>
      <c r="F76" s="92" t="s">
        <v>153</v>
      </c>
      <c r="G76" s="92" t="s">
        <v>107</v>
      </c>
      <c r="H76" s="92" t="s">
        <v>245</v>
      </c>
      <c r="I76" s="92" t="s">
        <v>279</v>
      </c>
      <c r="J76" s="94" t="s">
        <v>154</v>
      </c>
      <c r="K76" s="92" t="s">
        <v>193</v>
      </c>
      <c r="L76" s="94" t="s">
        <v>145</v>
      </c>
      <c r="M76" s="95" t="b">
        <v>1</v>
      </c>
      <c r="N76" s="96"/>
    </row>
    <row r="77" spans="1:14" ht="40" customHeight="1" x14ac:dyDescent="0.2">
      <c r="A77" s="97" t="s">
        <v>164</v>
      </c>
      <c r="B77" s="92"/>
      <c r="C77" s="98">
        <v>5</v>
      </c>
      <c r="D77" s="93">
        <v>12</v>
      </c>
      <c r="E77" s="93">
        <v>2</v>
      </c>
      <c r="F77" s="92" t="s">
        <v>153</v>
      </c>
      <c r="G77" s="92" t="s">
        <v>112</v>
      </c>
      <c r="H77" s="92" t="s">
        <v>246</v>
      </c>
      <c r="I77" s="92" t="s">
        <v>280</v>
      </c>
      <c r="J77" s="94" t="s">
        <v>154</v>
      </c>
      <c r="K77" s="92" t="s">
        <v>202</v>
      </c>
      <c r="L77" s="94" t="s">
        <v>145</v>
      </c>
      <c r="M77" s="95" t="b">
        <v>1</v>
      </c>
      <c r="N77" s="96"/>
    </row>
    <row r="78" spans="1:14" ht="40" customHeight="1" x14ac:dyDescent="0.2">
      <c r="A78" s="97" t="s">
        <v>164</v>
      </c>
      <c r="B78" s="92"/>
      <c r="C78" s="98">
        <v>5</v>
      </c>
      <c r="D78" s="93">
        <v>13</v>
      </c>
      <c r="E78" s="93">
        <v>2</v>
      </c>
      <c r="F78" s="92" t="s">
        <v>153</v>
      </c>
      <c r="G78" s="92" t="s">
        <v>197</v>
      </c>
      <c r="H78" s="92" t="s">
        <v>247</v>
      </c>
      <c r="I78" s="92" t="s">
        <v>281</v>
      </c>
      <c r="J78" s="94" t="s">
        <v>154</v>
      </c>
      <c r="K78" s="92" t="s">
        <v>198</v>
      </c>
      <c r="L78" s="94" t="s">
        <v>145</v>
      </c>
      <c r="M78" s="95" t="b">
        <v>1</v>
      </c>
      <c r="N78" s="96"/>
    </row>
    <row r="79" spans="1:14" ht="40" customHeight="1" x14ac:dyDescent="0.2">
      <c r="A79" s="97" t="s">
        <v>164</v>
      </c>
      <c r="B79" s="92"/>
      <c r="C79" s="98">
        <v>5</v>
      </c>
      <c r="D79" s="93">
        <v>14</v>
      </c>
      <c r="E79" s="93">
        <v>2</v>
      </c>
      <c r="F79" s="92" t="s">
        <v>156</v>
      </c>
      <c r="G79" s="92" t="s">
        <v>196</v>
      </c>
      <c r="H79" s="92"/>
      <c r="I79" s="92"/>
      <c r="J79" s="94" t="s">
        <v>155</v>
      </c>
      <c r="K79" s="92"/>
      <c r="L79" s="94" t="s">
        <v>155</v>
      </c>
      <c r="M79" s="95" t="b">
        <v>1</v>
      </c>
      <c r="N79" s="96"/>
    </row>
    <row r="80" spans="1:14" ht="40" customHeight="1" x14ac:dyDescent="0.2">
      <c r="A80" s="97" t="s">
        <v>164</v>
      </c>
      <c r="B80" s="92"/>
      <c r="C80" s="98">
        <v>5</v>
      </c>
      <c r="D80" s="93">
        <v>15</v>
      </c>
      <c r="E80" s="93">
        <v>2</v>
      </c>
      <c r="F80" s="92" t="s">
        <v>153</v>
      </c>
      <c r="G80" s="92" t="s">
        <v>104</v>
      </c>
      <c r="H80" s="92"/>
      <c r="I80" s="92" t="s">
        <v>248</v>
      </c>
      <c r="J80" s="94" t="s">
        <v>159</v>
      </c>
      <c r="K80" s="92" t="s">
        <v>167</v>
      </c>
      <c r="L80" s="94" t="s">
        <v>145</v>
      </c>
      <c r="M80" s="95" t="b">
        <v>1</v>
      </c>
      <c r="N80" s="96"/>
    </row>
    <row r="81" spans="1:14" ht="40" customHeight="1" x14ac:dyDescent="0.2">
      <c r="A81" s="97" t="s">
        <v>164</v>
      </c>
      <c r="B81" s="92"/>
      <c r="C81" s="98">
        <v>5</v>
      </c>
      <c r="D81" s="93">
        <v>16</v>
      </c>
      <c r="E81" s="93">
        <v>2</v>
      </c>
      <c r="F81" s="92" t="s">
        <v>153</v>
      </c>
      <c r="G81" s="92" t="s">
        <v>112</v>
      </c>
      <c r="H81" s="92"/>
      <c r="I81" s="92" t="s">
        <v>249</v>
      </c>
      <c r="J81" s="94" t="s">
        <v>159</v>
      </c>
      <c r="K81" s="92" t="s">
        <v>202</v>
      </c>
      <c r="L81" s="94" t="s">
        <v>145</v>
      </c>
      <c r="M81" s="95" t="b">
        <v>1</v>
      </c>
      <c r="N81" s="96"/>
    </row>
    <row r="82" spans="1:14" ht="40" customHeight="1" x14ac:dyDescent="0.2">
      <c r="A82" s="97" t="s">
        <v>164</v>
      </c>
      <c r="B82" s="92"/>
      <c r="C82" s="98">
        <v>5</v>
      </c>
      <c r="D82" s="93">
        <v>17</v>
      </c>
      <c r="E82" s="93">
        <v>2</v>
      </c>
      <c r="F82" s="92" t="s">
        <v>153</v>
      </c>
      <c r="G82" s="92" t="s">
        <v>168</v>
      </c>
      <c r="H82" s="92"/>
      <c r="I82" s="92" t="s">
        <v>250</v>
      </c>
      <c r="J82" s="94" t="s">
        <v>159</v>
      </c>
      <c r="K82" s="92" t="s">
        <v>157</v>
      </c>
      <c r="L82" s="94" t="s">
        <v>145</v>
      </c>
      <c r="M82" s="95" t="b">
        <v>1</v>
      </c>
      <c r="N82" s="96"/>
    </row>
    <row r="83" spans="1:14" ht="40" customHeight="1" x14ac:dyDescent="0.2">
      <c r="A83" s="97" t="s">
        <v>164</v>
      </c>
      <c r="B83" s="92"/>
      <c r="C83" s="98">
        <v>5</v>
      </c>
      <c r="D83" s="93">
        <v>18</v>
      </c>
      <c r="E83" s="93">
        <v>2</v>
      </c>
      <c r="F83" s="92" t="s">
        <v>156</v>
      </c>
      <c r="G83" s="92" t="s">
        <v>201</v>
      </c>
      <c r="H83" s="92"/>
      <c r="I83" s="92"/>
      <c r="J83" s="94" t="s">
        <v>155</v>
      </c>
      <c r="K83" s="92"/>
      <c r="L83" s="94" t="s">
        <v>155</v>
      </c>
      <c r="M83" s="95" t="b">
        <v>1</v>
      </c>
      <c r="N83" s="96"/>
    </row>
    <row r="84" spans="1:14" ht="40" customHeight="1" x14ac:dyDescent="0.2">
      <c r="A84" s="97" t="s">
        <v>164</v>
      </c>
      <c r="B84" s="92"/>
      <c r="C84" s="98">
        <v>5</v>
      </c>
      <c r="D84" s="93">
        <v>19</v>
      </c>
      <c r="E84" s="93">
        <v>2</v>
      </c>
      <c r="F84" s="92" t="s">
        <v>153</v>
      </c>
      <c r="G84" s="92" t="s">
        <v>113</v>
      </c>
      <c r="H84" s="92"/>
      <c r="I84" s="92" t="s">
        <v>251</v>
      </c>
      <c r="J84" s="94" t="s">
        <v>160</v>
      </c>
      <c r="K84" s="92" t="s">
        <v>163</v>
      </c>
      <c r="L84" s="94" t="s">
        <v>145</v>
      </c>
      <c r="M84" s="95" t="b">
        <v>1</v>
      </c>
      <c r="N84" s="96"/>
    </row>
    <row r="85" spans="1:14" ht="40" customHeight="1" x14ac:dyDescent="0.2">
      <c r="A85" s="91" t="s">
        <v>177</v>
      </c>
      <c r="B85" s="92" t="s">
        <v>282</v>
      </c>
      <c r="C85" s="93">
        <v>1</v>
      </c>
      <c r="D85" s="93">
        <v>1</v>
      </c>
      <c r="E85" s="93">
        <v>1</v>
      </c>
      <c r="F85" s="92" t="s">
        <v>156</v>
      </c>
      <c r="G85" s="92" t="s">
        <v>184</v>
      </c>
      <c r="H85" s="92"/>
      <c r="I85" s="92" t="s">
        <v>188</v>
      </c>
      <c r="J85" s="94" t="s">
        <v>154</v>
      </c>
      <c r="K85" s="92"/>
      <c r="L85" s="94" t="s">
        <v>155</v>
      </c>
      <c r="M85" s="95" t="b">
        <v>1</v>
      </c>
      <c r="N85" s="96"/>
    </row>
    <row r="86" spans="1:14" ht="40" customHeight="1" x14ac:dyDescent="0.2">
      <c r="A86" s="91" t="s">
        <v>177</v>
      </c>
      <c r="B86" s="92"/>
      <c r="C86" s="93">
        <v>1</v>
      </c>
      <c r="D86" s="93">
        <v>2</v>
      </c>
      <c r="E86" s="93">
        <v>2</v>
      </c>
      <c r="F86" s="92" t="s">
        <v>156</v>
      </c>
      <c r="G86" s="92" t="s">
        <v>252</v>
      </c>
      <c r="H86" s="92"/>
      <c r="I86" s="92"/>
      <c r="J86" s="94" t="s">
        <v>155</v>
      </c>
      <c r="K86" s="92"/>
      <c r="L86" s="94" t="s">
        <v>155</v>
      </c>
      <c r="M86" s="95" t="b">
        <v>1</v>
      </c>
      <c r="N86" s="96"/>
    </row>
    <row r="87" spans="1:14" ht="40" customHeight="1" x14ac:dyDescent="0.2">
      <c r="A87" s="91" t="s">
        <v>177</v>
      </c>
      <c r="B87" s="92"/>
      <c r="C87" s="93">
        <v>1</v>
      </c>
      <c r="D87" s="93">
        <v>3</v>
      </c>
      <c r="E87" s="93">
        <v>2</v>
      </c>
      <c r="F87" s="92" t="s">
        <v>156</v>
      </c>
      <c r="G87" s="92" t="s">
        <v>253</v>
      </c>
      <c r="H87" s="92"/>
      <c r="I87" s="92"/>
      <c r="J87" s="94" t="s">
        <v>155</v>
      </c>
      <c r="K87" s="92"/>
      <c r="L87" s="94" t="s">
        <v>155</v>
      </c>
      <c r="M87" s="95" t="b">
        <v>1</v>
      </c>
      <c r="N87" s="96"/>
    </row>
    <row r="88" spans="1:14" ht="40" customHeight="1" x14ac:dyDescent="0.2">
      <c r="A88" s="91" t="s">
        <v>177</v>
      </c>
      <c r="B88" s="92"/>
      <c r="C88" s="93">
        <v>1</v>
      </c>
      <c r="D88" s="93">
        <v>4</v>
      </c>
      <c r="E88" s="93">
        <v>2</v>
      </c>
      <c r="F88" s="92" t="s">
        <v>156</v>
      </c>
      <c r="G88" s="92" t="s">
        <v>254</v>
      </c>
      <c r="H88" s="92"/>
      <c r="I88" s="92"/>
      <c r="J88" s="94" t="s">
        <v>155</v>
      </c>
      <c r="K88" s="92"/>
      <c r="L88" s="94" t="s">
        <v>155</v>
      </c>
      <c r="M88" s="95" t="b">
        <v>1</v>
      </c>
      <c r="N88" s="96"/>
    </row>
    <row r="89" spans="1:14" ht="40" customHeight="1" x14ac:dyDescent="0.2">
      <c r="A89" s="91" t="s">
        <v>177</v>
      </c>
      <c r="B89" s="92"/>
      <c r="C89" s="93">
        <v>1</v>
      </c>
      <c r="D89" s="93">
        <v>5</v>
      </c>
      <c r="E89" s="93">
        <v>2</v>
      </c>
      <c r="F89" s="92" t="s">
        <v>179</v>
      </c>
      <c r="G89" s="92" t="s">
        <v>210</v>
      </c>
      <c r="H89" s="92" t="s">
        <v>292</v>
      </c>
      <c r="I89" s="92"/>
      <c r="J89" s="94" t="s">
        <v>155</v>
      </c>
      <c r="K89" s="92"/>
      <c r="L89" s="94" t="s">
        <v>155</v>
      </c>
      <c r="M89" s="95" t="b">
        <v>1</v>
      </c>
      <c r="N89" s="96"/>
    </row>
    <row r="90" spans="1:14" ht="40" customHeight="1" x14ac:dyDescent="0.2">
      <c r="A90" s="91" t="s">
        <v>177</v>
      </c>
      <c r="B90" s="92"/>
      <c r="C90" s="93">
        <v>2</v>
      </c>
      <c r="D90" s="93">
        <v>1</v>
      </c>
      <c r="E90" s="93">
        <v>1</v>
      </c>
      <c r="F90" s="92" t="s">
        <v>156</v>
      </c>
      <c r="G90" s="92" t="s">
        <v>36</v>
      </c>
      <c r="H90" s="92"/>
      <c r="I90" s="92" t="s">
        <v>189</v>
      </c>
      <c r="J90" s="94" t="s">
        <v>154</v>
      </c>
      <c r="K90" s="92" t="s">
        <v>165</v>
      </c>
      <c r="L90" s="94" t="s">
        <v>145</v>
      </c>
      <c r="M90" s="95" t="b">
        <v>1</v>
      </c>
      <c r="N90" s="96"/>
    </row>
    <row r="91" spans="1:14" ht="40" customHeight="1" x14ac:dyDescent="0.2">
      <c r="A91" s="91" t="s">
        <v>177</v>
      </c>
      <c r="B91" s="92"/>
      <c r="C91" s="93">
        <v>2</v>
      </c>
      <c r="D91" s="93">
        <v>2</v>
      </c>
      <c r="E91" s="93">
        <v>2</v>
      </c>
      <c r="F91" s="92" t="s">
        <v>156</v>
      </c>
      <c r="G91" s="92" t="s">
        <v>255</v>
      </c>
      <c r="H91" s="92"/>
      <c r="I91" s="92"/>
      <c r="J91" s="94" t="s">
        <v>155</v>
      </c>
      <c r="K91" s="92"/>
      <c r="L91" s="94" t="s">
        <v>155</v>
      </c>
      <c r="M91" s="95" t="b">
        <v>1</v>
      </c>
      <c r="N91" s="96"/>
    </row>
    <row r="92" spans="1:14" ht="40" customHeight="1" x14ac:dyDescent="0.2">
      <c r="A92" s="91" t="s">
        <v>177</v>
      </c>
      <c r="B92" s="92"/>
      <c r="C92" s="93">
        <v>2</v>
      </c>
      <c r="D92" s="93">
        <v>3</v>
      </c>
      <c r="E92" s="93">
        <v>2</v>
      </c>
      <c r="F92" s="92" t="s">
        <v>156</v>
      </c>
      <c r="G92" s="92" t="s">
        <v>256</v>
      </c>
      <c r="H92" s="92"/>
      <c r="I92" s="92"/>
      <c r="J92" s="94" t="s">
        <v>155</v>
      </c>
      <c r="K92" s="92"/>
      <c r="L92" s="94" t="s">
        <v>155</v>
      </c>
      <c r="M92" s="95" t="b">
        <v>1</v>
      </c>
      <c r="N92" s="96"/>
    </row>
    <row r="93" spans="1:14" ht="40" customHeight="1" x14ac:dyDescent="0.2">
      <c r="A93" s="91" t="s">
        <v>177</v>
      </c>
      <c r="B93" s="92"/>
      <c r="C93" s="93">
        <v>3</v>
      </c>
      <c r="D93" s="93">
        <v>1</v>
      </c>
      <c r="E93" s="93">
        <v>1</v>
      </c>
      <c r="F93" s="92" t="s">
        <v>156</v>
      </c>
      <c r="G93" s="92" t="s">
        <v>39</v>
      </c>
      <c r="H93" s="92"/>
      <c r="I93" s="92" t="s">
        <v>191</v>
      </c>
      <c r="J93" s="94" t="s">
        <v>154</v>
      </c>
      <c r="K93" s="92" t="s">
        <v>174</v>
      </c>
      <c r="L93" s="94" t="s">
        <v>145</v>
      </c>
      <c r="M93" s="95" t="b">
        <v>1</v>
      </c>
      <c r="N93" s="96"/>
    </row>
    <row r="94" spans="1:14" ht="40" customHeight="1" x14ac:dyDescent="0.2">
      <c r="A94" s="91" t="s">
        <v>177</v>
      </c>
      <c r="B94" s="92"/>
      <c r="C94" s="93">
        <v>3</v>
      </c>
      <c r="D94" s="93">
        <v>2</v>
      </c>
      <c r="E94" s="93">
        <v>2</v>
      </c>
      <c r="F94" s="92" t="s">
        <v>156</v>
      </c>
      <c r="G94" s="92" t="s">
        <v>257</v>
      </c>
      <c r="H94" s="92"/>
      <c r="I94" s="92"/>
      <c r="J94" s="94" t="s">
        <v>155</v>
      </c>
      <c r="K94" s="92"/>
      <c r="L94" s="94" t="s">
        <v>155</v>
      </c>
      <c r="M94" s="95" t="b">
        <v>1</v>
      </c>
      <c r="N94" s="96"/>
    </row>
    <row r="95" spans="1:14" ht="40" customHeight="1" x14ac:dyDescent="0.2">
      <c r="A95" s="91" t="s">
        <v>177</v>
      </c>
      <c r="B95" s="92"/>
      <c r="C95" s="93">
        <v>3</v>
      </c>
      <c r="D95" s="93">
        <v>3</v>
      </c>
      <c r="E95" s="93">
        <v>2</v>
      </c>
      <c r="F95" s="92" t="s">
        <v>156</v>
      </c>
      <c r="G95" s="92" t="s">
        <v>258</v>
      </c>
      <c r="H95" s="92"/>
      <c r="I95" s="92"/>
      <c r="J95" s="94" t="s">
        <v>155</v>
      </c>
      <c r="K95" s="92"/>
      <c r="L95" s="94" t="s">
        <v>155</v>
      </c>
      <c r="M95" s="95" t="b">
        <v>1</v>
      </c>
      <c r="N95" s="96"/>
    </row>
    <row r="96" spans="1:14" ht="40" customHeight="1" x14ac:dyDescent="0.2">
      <c r="A96" s="91" t="s">
        <v>177</v>
      </c>
      <c r="B96" s="92"/>
      <c r="C96" s="93">
        <v>4</v>
      </c>
      <c r="D96" s="93">
        <v>1</v>
      </c>
      <c r="E96" s="93">
        <v>1</v>
      </c>
      <c r="F96" s="92" t="s">
        <v>156</v>
      </c>
      <c r="G96" s="92" t="s">
        <v>52</v>
      </c>
      <c r="H96" s="92"/>
      <c r="I96" s="92" t="s">
        <v>192</v>
      </c>
      <c r="J96" s="94" t="s">
        <v>154</v>
      </c>
      <c r="K96" s="92" t="s">
        <v>173</v>
      </c>
      <c r="L96" s="94" t="s">
        <v>145</v>
      </c>
      <c r="M96" s="95" t="b">
        <v>1</v>
      </c>
      <c r="N96" s="96"/>
    </row>
    <row r="97" spans="1:14" ht="40" customHeight="1" x14ac:dyDescent="0.2">
      <c r="A97" s="91" t="s">
        <v>177</v>
      </c>
      <c r="B97" s="92"/>
      <c r="C97" s="93">
        <v>4</v>
      </c>
      <c r="D97" s="93">
        <v>2</v>
      </c>
      <c r="E97" s="93">
        <v>2</v>
      </c>
      <c r="F97" s="92" t="s">
        <v>156</v>
      </c>
      <c r="G97" s="92" t="s">
        <v>259</v>
      </c>
      <c r="H97" s="92"/>
      <c r="I97" s="92"/>
      <c r="J97" s="94" t="s">
        <v>155</v>
      </c>
      <c r="K97" s="92"/>
      <c r="L97" s="94" t="s">
        <v>155</v>
      </c>
      <c r="M97" s="95" t="b">
        <v>1</v>
      </c>
      <c r="N97" s="96"/>
    </row>
    <row r="98" spans="1:14" ht="40" customHeight="1" x14ac:dyDescent="0.2">
      <c r="A98" s="91" t="s">
        <v>177</v>
      </c>
      <c r="B98" s="92"/>
      <c r="C98" s="93">
        <v>4</v>
      </c>
      <c r="D98" s="93">
        <v>3</v>
      </c>
      <c r="E98" s="93">
        <v>2</v>
      </c>
      <c r="F98" s="92" t="s">
        <v>156</v>
      </c>
      <c r="G98" s="92" t="s">
        <v>260</v>
      </c>
      <c r="H98" s="92"/>
      <c r="I98" s="92"/>
      <c r="J98" s="94" t="s">
        <v>155</v>
      </c>
      <c r="K98" s="92"/>
      <c r="L98" s="94" t="s">
        <v>155</v>
      </c>
      <c r="M98" s="95" t="b">
        <v>1</v>
      </c>
      <c r="N98" s="96"/>
    </row>
    <row r="99" spans="1:14" ht="40" customHeight="1" x14ac:dyDescent="0.2">
      <c r="A99" s="101" t="s">
        <v>165</v>
      </c>
      <c r="B99" s="92" t="s">
        <v>283</v>
      </c>
      <c r="C99" s="93">
        <v>1</v>
      </c>
      <c r="D99" s="93">
        <v>1</v>
      </c>
      <c r="E99" s="93">
        <v>1</v>
      </c>
      <c r="F99" s="92" t="s">
        <v>156</v>
      </c>
      <c r="G99" s="92" t="s">
        <v>184</v>
      </c>
      <c r="H99" s="92"/>
      <c r="I99" s="92" t="s">
        <v>319</v>
      </c>
      <c r="J99" s="94" t="s">
        <v>154</v>
      </c>
      <c r="K99" s="92"/>
      <c r="L99" s="94" t="s">
        <v>155</v>
      </c>
      <c r="M99" s="95" t="b">
        <v>1</v>
      </c>
      <c r="N99" s="96"/>
    </row>
    <row r="100" spans="1:14" ht="40" customHeight="1" x14ac:dyDescent="0.2">
      <c r="A100" s="101" t="s">
        <v>165</v>
      </c>
      <c r="B100" s="92"/>
      <c r="C100" s="93">
        <v>1</v>
      </c>
      <c r="D100" s="93">
        <v>2</v>
      </c>
      <c r="E100" s="93">
        <v>2</v>
      </c>
      <c r="F100" s="92" t="s">
        <v>156</v>
      </c>
      <c r="G100" s="92" t="s">
        <v>261</v>
      </c>
      <c r="H100" s="92"/>
      <c r="I100" s="92"/>
      <c r="J100" s="94" t="s">
        <v>155</v>
      </c>
      <c r="K100" s="92"/>
      <c r="L100" s="94" t="s">
        <v>155</v>
      </c>
      <c r="M100" s="95" t="b">
        <v>1</v>
      </c>
      <c r="N100" s="96"/>
    </row>
    <row r="101" spans="1:14" ht="40" customHeight="1" x14ac:dyDescent="0.2">
      <c r="A101" s="101" t="s">
        <v>165</v>
      </c>
      <c r="B101" s="92"/>
      <c r="C101" s="93">
        <v>1</v>
      </c>
      <c r="D101" s="93">
        <v>3</v>
      </c>
      <c r="E101" s="93">
        <v>2</v>
      </c>
      <c r="F101" s="92" t="s">
        <v>156</v>
      </c>
      <c r="G101" s="92" t="s">
        <v>320</v>
      </c>
      <c r="H101" s="92"/>
      <c r="I101" s="92"/>
      <c r="J101" s="94" t="s">
        <v>155</v>
      </c>
      <c r="K101" s="92"/>
      <c r="L101" s="94" t="s">
        <v>155</v>
      </c>
      <c r="M101" s="95" t="b">
        <v>1</v>
      </c>
      <c r="N101" s="96"/>
    </row>
    <row r="102" spans="1:14" ht="40" customHeight="1" x14ac:dyDescent="0.2">
      <c r="A102" s="101" t="s">
        <v>165</v>
      </c>
      <c r="B102" s="92"/>
      <c r="C102" s="93">
        <v>1</v>
      </c>
      <c r="D102" s="93">
        <v>4</v>
      </c>
      <c r="E102" s="93">
        <v>2</v>
      </c>
      <c r="F102" s="92" t="s">
        <v>179</v>
      </c>
      <c r="G102" s="92" t="s">
        <v>210</v>
      </c>
      <c r="H102" s="92" t="s">
        <v>321</v>
      </c>
      <c r="I102" s="92"/>
      <c r="J102" s="94" t="s">
        <v>155</v>
      </c>
      <c r="K102" s="92"/>
      <c r="L102" s="94" t="s">
        <v>155</v>
      </c>
      <c r="M102" s="95" t="b">
        <v>1</v>
      </c>
      <c r="N102" s="96"/>
    </row>
    <row r="103" spans="1:14" ht="40" customHeight="1" x14ac:dyDescent="0.2">
      <c r="A103" s="101" t="s">
        <v>165</v>
      </c>
      <c r="B103" s="92"/>
      <c r="C103" s="93">
        <v>2</v>
      </c>
      <c r="D103" s="93">
        <v>1</v>
      </c>
      <c r="E103" s="93">
        <v>1</v>
      </c>
      <c r="F103" s="92" t="s">
        <v>156</v>
      </c>
      <c r="G103" s="92" t="s">
        <v>37</v>
      </c>
      <c r="H103" s="92"/>
      <c r="I103" s="92" t="s">
        <v>262</v>
      </c>
      <c r="J103" s="94" t="s">
        <v>154</v>
      </c>
      <c r="K103" s="92" t="s">
        <v>157</v>
      </c>
      <c r="L103" s="94" t="s">
        <v>145</v>
      </c>
      <c r="M103" s="95" t="b">
        <v>1</v>
      </c>
      <c r="N103" s="96"/>
    </row>
    <row r="104" spans="1:14" ht="40" customHeight="1" x14ac:dyDescent="0.2">
      <c r="A104" s="101" t="s">
        <v>165</v>
      </c>
      <c r="B104" s="92"/>
      <c r="C104" s="93">
        <v>2</v>
      </c>
      <c r="D104" s="93">
        <v>2</v>
      </c>
      <c r="E104" s="93">
        <v>2</v>
      </c>
      <c r="F104" s="92" t="s">
        <v>156</v>
      </c>
      <c r="G104" s="92" t="s">
        <v>322</v>
      </c>
      <c r="H104" s="92"/>
      <c r="I104" s="92"/>
      <c r="J104" s="94" t="s">
        <v>155</v>
      </c>
      <c r="K104" s="92"/>
      <c r="L104" s="94" t="s">
        <v>155</v>
      </c>
      <c r="M104" s="95" t="b">
        <v>1</v>
      </c>
      <c r="N104" s="96"/>
    </row>
    <row r="105" spans="1:14" ht="40" customHeight="1" x14ac:dyDescent="0.2">
      <c r="A105" s="101" t="s">
        <v>165</v>
      </c>
      <c r="B105" s="92"/>
      <c r="C105" s="93">
        <v>2</v>
      </c>
      <c r="D105" s="93">
        <v>3</v>
      </c>
      <c r="E105" s="93">
        <v>2</v>
      </c>
      <c r="F105" s="92" t="s">
        <v>156</v>
      </c>
      <c r="G105" s="92" t="s">
        <v>323</v>
      </c>
      <c r="H105" s="92"/>
      <c r="I105" s="92"/>
      <c r="J105" s="94" t="s">
        <v>155</v>
      </c>
      <c r="K105" s="92"/>
      <c r="L105" s="94" t="s">
        <v>155</v>
      </c>
      <c r="M105" s="95" t="b">
        <v>1</v>
      </c>
      <c r="N105" s="96"/>
    </row>
    <row r="106" spans="1:14" ht="40" customHeight="1" x14ac:dyDescent="0.2">
      <c r="A106" s="101" t="s">
        <v>165</v>
      </c>
      <c r="B106" s="92"/>
      <c r="C106" s="93">
        <v>3</v>
      </c>
      <c r="D106" s="93">
        <v>1</v>
      </c>
      <c r="E106" s="93">
        <v>1</v>
      </c>
      <c r="F106" s="92" t="s">
        <v>156</v>
      </c>
      <c r="G106" s="92" t="s">
        <v>38</v>
      </c>
      <c r="H106" s="92"/>
      <c r="I106" s="92" t="s">
        <v>175</v>
      </c>
      <c r="J106" s="94" t="s">
        <v>154</v>
      </c>
      <c r="K106" s="92" t="s">
        <v>158</v>
      </c>
      <c r="L106" s="94" t="s">
        <v>145</v>
      </c>
      <c r="M106" s="95" t="b">
        <v>1</v>
      </c>
      <c r="N106" s="96"/>
    </row>
    <row r="107" spans="1:14" ht="40" customHeight="1" x14ac:dyDescent="0.2">
      <c r="A107" s="101" t="s">
        <v>165</v>
      </c>
      <c r="B107" s="92"/>
      <c r="C107" s="93">
        <v>3</v>
      </c>
      <c r="D107" s="93">
        <v>2</v>
      </c>
      <c r="E107" s="93">
        <v>2</v>
      </c>
      <c r="F107" s="92" t="s">
        <v>156</v>
      </c>
      <c r="G107" s="92" t="s">
        <v>325</v>
      </c>
      <c r="H107" s="92"/>
      <c r="I107" s="92"/>
      <c r="J107" s="94" t="s">
        <v>155</v>
      </c>
      <c r="K107" s="92"/>
      <c r="L107" s="94" t="s">
        <v>155</v>
      </c>
      <c r="M107" s="95" t="b">
        <v>1</v>
      </c>
      <c r="N107" s="96"/>
    </row>
    <row r="108" spans="1:14" ht="40" customHeight="1" x14ac:dyDescent="0.2">
      <c r="A108" s="101" t="s">
        <v>165</v>
      </c>
      <c r="B108" s="92"/>
      <c r="C108" s="93">
        <v>3</v>
      </c>
      <c r="D108" s="93">
        <v>3</v>
      </c>
      <c r="E108" s="93">
        <v>2</v>
      </c>
      <c r="F108" s="92" t="s">
        <v>156</v>
      </c>
      <c r="G108" s="92" t="s">
        <v>324</v>
      </c>
      <c r="H108" s="92"/>
      <c r="I108" s="92"/>
      <c r="J108" s="94" t="s">
        <v>155</v>
      </c>
      <c r="K108" s="92"/>
      <c r="L108" s="94" t="s">
        <v>155</v>
      </c>
      <c r="M108" s="95" t="b">
        <v>1</v>
      </c>
      <c r="N108" s="96"/>
    </row>
    <row r="109" spans="1:14" ht="40" customHeight="1" x14ac:dyDescent="0.2">
      <c r="A109" s="102" t="s">
        <v>174</v>
      </c>
      <c r="B109" s="92" t="s">
        <v>284</v>
      </c>
      <c r="C109" s="93">
        <v>1</v>
      </c>
      <c r="D109" s="93">
        <v>1</v>
      </c>
      <c r="E109" s="93">
        <v>1</v>
      </c>
      <c r="F109" s="92" t="s">
        <v>156</v>
      </c>
      <c r="G109" s="92" t="s">
        <v>184</v>
      </c>
      <c r="H109" s="92"/>
      <c r="I109" s="92" t="s">
        <v>326</v>
      </c>
      <c r="J109" s="94" t="s">
        <v>154</v>
      </c>
      <c r="K109" s="92"/>
      <c r="L109" s="94" t="s">
        <v>155</v>
      </c>
      <c r="M109" s="95" t="b">
        <v>1</v>
      </c>
      <c r="N109" s="96"/>
    </row>
    <row r="110" spans="1:14" ht="40" customHeight="1" x14ac:dyDescent="0.2">
      <c r="A110" s="102" t="s">
        <v>174</v>
      </c>
      <c r="B110" s="92"/>
      <c r="C110" s="93">
        <v>1</v>
      </c>
      <c r="D110" s="93">
        <v>2</v>
      </c>
      <c r="E110" s="93">
        <v>2</v>
      </c>
      <c r="F110" s="92" t="s">
        <v>156</v>
      </c>
      <c r="G110" s="92" t="s">
        <v>263</v>
      </c>
      <c r="H110" s="92"/>
      <c r="I110" s="92"/>
      <c r="J110" s="94" t="s">
        <v>155</v>
      </c>
      <c r="K110" s="92"/>
      <c r="L110" s="94" t="s">
        <v>155</v>
      </c>
      <c r="M110" s="95" t="b">
        <v>1</v>
      </c>
      <c r="N110" s="96"/>
    </row>
    <row r="111" spans="1:14" ht="40" customHeight="1" x14ac:dyDescent="0.2">
      <c r="A111" s="102" t="s">
        <v>174</v>
      </c>
      <c r="B111" s="92"/>
      <c r="C111" s="93">
        <v>1</v>
      </c>
      <c r="D111" s="93">
        <v>3</v>
      </c>
      <c r="E111" s="93">
        <v>2</v>
      </c>
      <c r="F111" s="92" t="s">
        <v>156</v>
      </c>
      <c r="G111" s="92" t="s">
        <v>327</v>
      </c>
      <c r="H111" s="92"/>
      <c r="I111" s="92"/>
      <c r="J111" s="94" t="s">
        <v>155</v>
      </c>
      <c r="K111" s="92"/>
      <c r="L111" s="94" t="s">
        <v>155</v>
      </c>
      <c r="M111" s="95" t="b">
        <v>1</v>
      </c>
      <c r="N111" s="96"/>
    </row>
    <row r="112" spans="1:14" ht="40" customHeight="1" x14ac:dyDescent="0.2">
      <c r="A112" s="102" t="s">
        <v>174</v>
      </c>
      <c r="B112" s="92"/>
      <c r="C112" s="93">
        <v>1</v>
      </c>
      <c r="D112" s="93">
        <v>4</v>
      </c>
      <c r="E112" s="93">
        <v>2</v>
      </c>
      <c r="F112" s="92" t="s">
        <v>179</v>
      </c>
      <c r="G112" s="92" t="s">
        <v>210</v>
      </c>
      <c r="H112" s="92" t="s">
        <v>328</v>
      </c>
      <c r="I112" s="92"/>
      <c r="J112" s="94" t="s">
        <v>155</v>
      </c>
      <c r="K112" s="92"/>
      <c r="L112" s="94" t="s">
        <v>155</v>
      </c>
      <c r="M112" s="95" t="b">
        <v>1</v>
      </c>
      <c r="N112" s="96"/>
    </row>
    <row r="113" spans="1:14" ht="40" customHeight="1" x14ac:dyDescent="0.2">
      <c r="A113" s="102" t="s">
        <v>174</v>
      </c>
      <c r="B113" s="92"/>
      <c r="C113" s="93">
        <v>2</v>
      </c>
      <c r="D113" s="93">
        <v>1</v>
      </c>
      <c r="E113" s="93">
        <v>1</v>
      </c>
      <c r="F113" s="92" t="s">
        <v>156</v>
      </c>
      <c r="G113" s="92" t="s">
        <v>45</v>
      </c>
      <c r="H113" s="92"/>
      <c r="I113" s="92" t="s">
        <v>264</v>
      </c>
      <c r="J113" s="94" t="s">
        <v>154</v>
      </c>
      <c r="K113" s="92" t="s">
        <v>167</v>
      </c>
      <c r="L113" s="94" t="s">
        <v>145</v>
      </c>
      <c r="M113" s="95" t="b">
        <v>1</v>
      </c>
      <c r="N113" s="96"/>
    </row>
    <row r="114" spans="1:14" ht="40" customHeight="1" x14ac:dyDescent="0.2">
      <c r="A114" s="102" t="s">
        <v>174</v>
      </c>
      <c r="B114" s="92"/>
      <c r="C114" s="93">
        <v>2</v>
      </c>
      <c r="D114" s="93">
        <v>2</v>
      </c>
      <c r="E114" s="93">
        <v>2</v>
      </c>
      <c r="F114" s="92" t="s">
        <v>156</v>
      </c>
      <c r="G114" s="92" t="s">
        <v>329</v>
      </c>
      <c r="H114" s="92"/>
      <c r="I114" s="92"/>
      <c r="J114" s="94" t="s">
        <v>155</v>
      </c>
      <c r="K114" s="92"/>
      <c r="L114" s="94" t="s">
        <v>155</v>
      </c>
      <c r="M114" s="95" t="b">
        <v>1</v>
      </c>
      <c r="N114" s="96"/>
    </row>
    <row r="115" spans="1:14" ht="40" customHeight="1" x14ac:dyDescent="0.2">
      <c r="A115" s="102" t="s">
        <v>174</v>
      </c>
      <c r="B115" s="92"/>
      <c r="C115" s="93">
        <v>2</v>
      </c>
      <c r="D115" s="93">
        <v>3</v>
      </c>
      <c r="E115" s="93">
        <v>2</v>
      </c>
      <c r="F115" s="92" t="s">
        <v>156</v>
      </c>
      <c r="G115" s="92" t="s">
        <v>330</v>
      </c>
      <c r="H115" s="92"/>
      <c r="I115" s="92"/>
      <c r="J115" s="94" t="s">
        <v>155</v>
      </c>
      <c r="K115" s="92"/>
      <c r="L115" s="94" t="s">
        <v>155</v>
      </c>
      <c r="M115" s="95" t="b">
        <v>1</v>
      </c>
      <c r="N115" s="96"/>
    </row>
    <row r="116" spans="1:14" ht="40" customHeight="1" x14ac:dyDescent="0.2">
      <c r="A116" s="102" t="s">
        <v>174</v>
      </c>
      <c r="B116" s="92"/>
      <c r="C116" s="93">
        <v>3</v>
      </c>
      <c r="D116" s="93">
        <v>1</v>
      </c>
      <c r="E116" s="93">
        <v>1</v>
      </c>
      <c r="F116" s="92" t="s">
        <v>156</v>
      </c>
      <c r="G116" s="92" t="s">
        <v>40</v>
      </c>
      <c r="H116" s="92"/>
      <c r="I116" s="92" t="s">
        <v>265</v>
      </c>
      <c r="J116" s="94" t="s">
        <v>154</v>
      </c>
      <c r="K116" s="92" t="s">
        <v>176</v>
      </c>
      <c r="L116" s="94" t="s">
        <v>145</v>
      </c>
      <c r="M116" s="95" t="b">
        <v>1</v>
      </c>
      <c r="N116" s="96"/>
    </row>
    <row r="117" spans="1:14" ht="40" customHeight="1" x14ac:dyDescent="0.2">
      <c r="A117" s="102" t="s">
        <v>174</v>
      </c>
      <c r="B117" s="92"/>
      <c r="C117" s="93">
        <v>3</v>
      </c>
      <c r="D117" s="93">
        <v>2</v>
      </c>
      <c r="E117" s="93">
        <v>2</v>
      </c>
      <c r="F117" s="92" t="s">
        <v>156</v>
      </c>
      <c r="G117" s="92" t="s">
        <v>331</v>
      </c>
      <c r="H117" s="92"/>
      <c r="I117" s="92"/>
      <c r="J117" s="94" t="s">
        <v>155</v>
      </c>
      <c r="K117" s="92"/>
      <c r="L117" s="94" t="s">
        <v>155</v>
      </c>
      <c r="M117" s="95" t="b">
        <v>1</v>
      </c>
      <c r="N117" s="96"/>
    </row>
    <row r="118" spans="1:14" ht="40" customHeight="1" x14ac:dyDescent="0.2">
      <c r="A118" s="103" t="s">
        <v>173</v>
      </c>
      <c r="B118" s="92" t="s">
        <v>285</v>
      </c>
      <c r="C118" s="93">
        <v>1</v>
      </c>
      <c r="D118" s="93">
        <v>1</v>
      </c>
      <c r="E118" s="93">
        <v>1</v>
      </c>
      <c r="F118" s="92" t="s">
        <v>156</v>
      </c>
      <c r="G118" s="92" t="s">
        <v>184</v>
      </c>
      <c r="H118" s="92"/>
      <c r="I118" s="92" t="s">
        <v>332</v>
      </c>
      <c r="J118" s="94" t="s">
        <v>154</v>
      </c>
      <c r="K118" s="92"/>
      <c r="L118" s="94" t="s">
        <v>155</v>
      </c>
      <c r="M118" s="95" t="b">
        <v>1</v>
      </c>
      <c r="N118" s="96"/>
    </row>
    <row r="119" spans="1:14" ht="40" customHeight="1" x14ac:dyDescent="0.2">
      <c r="A119" s="103" t="s">
        <v>173</v>
      </c>
      <c r="B119" s="92"/>
      <c r="C119" s="93">
        <v>1</v>
      </c>
      <c r="D119" s="93">
        <v>2</v>
      </c>
      <c r="E119" s="93">
        <v>2</v>
      </c>
      <c r="F119" s="92" t="s">
        <v>156</v>
      </c>
      <c r="G119" s="92" t="s">
        <v>333</v>
      </c>
      <c r="H119" s="92"/>
      <c r="I119" s="92"/>
      <c r="J119" s="94" t="s">
        <v>155</v>
      </c>
      <c r="K119" s="92"/>
      <c r="L119" s="94" t="s">
        <v>155</v>
      </c>
      <c r="M119" s="95" t="b">
        <v>1</v>
      </c>
      <c r="N119" s="96"/>
    </row>
    <row r="120" spans="1:14" ht="40" customHeight="1" x14ac:dyDescent="0.2">
      <c r="A120" s="103" t="s">
        <v>173</v>
      </c>
      <c r="B120" s="92"/>
      <c r="C120" s="93">
        <v>1</v>
      </c>
      <c r="D120" s="93">
        <v>3</v>
      </c>
      <c r="E120" s="93">
        <v>2</v>
      </c>
      <c r="F120" s="92" t="s">
        <v>156</v>
      </c>
      <c r="G120" s="92" t="s">
        <v>334</v>
      </c>
      <c r="H120" s="92"/>
      <c r="I120" s="92"/>
      <c r="J120" s="94" t="s">
        <v>155</v>
      </c>
      <c r="K120" s="92"/>
      <c r="L120" s="94" t="s">
        <v>155</v>
      </c>
      <c r="M120" s="95" t="b">
        <v>1</v>
      </c>
      <c r="N120" s="96"/>
    </row>
    <row r="121" spans="1:14" ht="40" customHeight="1" x14ac:dyDescent="0.2">
      <c r="A121" s="103" t="s">
        <v>173</v>
      </c>
      <c r="B121" s="92"/>
      <c r="C121" s="93">
        <v>1</v>
      </c>
      <c r="D121" s="93">
        <v>4</v>
      </c>
      <c r="E121" s="93">
        <v>2</v>
      </c>
      <c r="F121" s="92" t="s">
        <v>156</v>
      </c>
      <c r="G121" s="92" t="s">
        <v>335</v>
      </c>
      <c r="H121" s="92"/>
      <c r="I121" s="92"/>
      <c r="J121" s="94" t="s">
        <v>155</v>
      </c>
      <c r="K121" s="92"/>
      <c r="L121" s="94" t="s">
        <v>155</v>
      </c>
      <c r="M121" s="95" t="b">
        <v>1</v>
      </c>
      <c r="N121" s="96"/>
    </row>
    <row r="122" spans="1:14" ht="40" customHeight="1" x14ac:dyDescent="0.2">
      <c r="A122" s="103" t="s">
        <v>173</v>
      </c>
      <c r="B122" s="92"/>
      <c r="C122" s="93">
        <v>1</v>
      </c>
      <c r="D122" s="93">
        <v>5</v>
      </c>
      <c r="E122" s="93">
        <v>2</v>
      </c>
      <c r="F122" s="92" t="s">
        <v>179</v>
      </c>
      <c r="G122" s="92" t="s">
        <v>210</v>
      </c>
      <c r="H122" s="92" t="s">
        <v>336</v>
      </c>
      <c r="I122" s="92"/>
      <c r="J122" s="94" t="s">
        <v>155</v>
      </c>
      <c r="K122" s="92"/>
      <c r="L122" s="94" t="s">
        <v>155</v>
      </c>
      <c r="M122" s="95" t="b">
        <v>1</v>
      </c>
      <c r="N122" s="96"/>
    </row>
    <row r="123" spans="1:14" ht="40" customHeight="1" x14ac:dyDescent="0.2">
      <c r="A123" s="104" t="s">
        <v>173</v>
      </c>
      <c r="B123" s="92"/>
      <c r="C123" s="93">
        <v>2</v>
      </c>
      <c r="D123" s="93">
        <v>1</v>
      </c>
      <c r="E123" s="93">
        <v>1</v>
      </c>
      <c r="F123" s="92" t="s">
        <v>156</v>
      </c>
      <c r="G123" s="92" t="s">
        <v>53</v>
      </c>
      <c r="H123" s="92"/>
      <c r="I123" s="92" t="s">
        <v>337</v>
      </c>
      <c r="J123" s="94" t="s">
        <v>154</v>
      </c>
      <c r="K123" s="92" t="s">
        <v>161</v>
      </c>
      <c r="L123" s="94" t="s">
        <v>145</v>
      </c>
      <c r="M123" s="95" t="b">
        <v>1</v>
      </c>
      <c r="N123" s="96"/>
    </row>
    <row r="124" spans="1:14" ht="40" customHeight="1" x14ac:dyDescent="0.2">
      <c r="A124" s="104" t="s">
        <v>173</v>
      </c>
      <c r="B124" s="92"/>
      <c r="C124" s="93">
        <v>2</v>
      </c>
      <c r="D124" s="93">
        <v>2</v>
      </c>
      <c r="E124" s="93">
        <v>2</v>
      </c>
      <c r="F124" s="92" t="s">
        <v>156</v>
      </c>
      <c r="G124" s="92" t="s">
        <v>338</v>
      </c>
      <c r="H124" s="92"/>
      <c r="I124" s="92"/>
      <c r="J124" s="94" t="s">
        <v>155</v>
      </c>
      <c r="K124" s="92"/>
      <c r="L124" s="94" t="s">
        <v>155</v>
      </c>
      <c r="M124" s="95" t="b">
        <v>1</v>
      </c>
      <c r="N124" s="96"/>
    </row>
    <row r="125" spans="1:14" ht="40" customHeight="1" x14ac:dyDescent="0.2">
      <c r="A125" s="104" t="s">
        <v>173</v>
      </c>
      <c r="B125" s="92"/>
      <c r="C125" s="93">
        <v>2</v>
      </c>
      <c r="D125" s="93">
        <v>3</v>
      </c>
      <c r="E125" s="93">
        <v>2</v>
      </c>
      <c r="F125" s="92" t="s">
        <v>156</v>
      </c>
      <c r="G125" s="92" t="s">
        <v>339</v>
      </c>
      <c r="H125" s="92"/>
      <c r="I125" s="92"/>
      <c r="J125" s="94" t="s">
        <v>155</v>
      </c>
      <c r="K125" s="92"/>
      <c r="L125" s="94" t="s">
        <v>155</v>
      </c>
      <c r="M125" s="95" t="b">
        <v>1</v>
      </c>
      <c r="N125" s="96"/>
    </row>
    <row r="126" spans="1:14" ht="40" customHeight="1" x14ac:dyDescent="0.2">
      <c r="A126" s="105" t="s">
        <v>173</v>
      </c>
      <c r="B126" s="92"/>
      <c r="C126" s="93">
        <v>3</v>
      </c>
      <c r="D126" s="93">
        <v>1</v>
      </c>
      <c r="E126" s="93">
        <v>1</v>
      </c>
      <c r="F126" s="92" t="s">
        <v>156</v>
      </c>
      <c r="G126" s="92" t="s">
        <v>54</v>
      </c>
      <c r="H126" s="92"/>
      <c r="I126" s="92" t="s">
        <v>340</v>
      </c>
      <c r="J126" s="94" t="s">
        <v>154</v>
      </c>
      <c r="K126" s="92" t="s">
        <v>162</v>
      </c>
      <c r="L126" s="94" t="s">
        <v>145</v>
      </c>
      <c r="M126" s="95" t="b">
        <v>1</v>
      </c>
      <c r="N126" s="96"/>
    </row>
    <row r="127" spans="1:14" ht="40" customHeight="1" x14ac:dyDescent="0.2">
      <c r="A127" s="105" t="s">
        <v>173</v>
      </c>
      <c r="B127" s="92"/>
      <c r="C127" s="93">
        <v>3</v>
      </c>
      <c r="D127" s="93">
        <v>2</v>
      </c>
      <c r="E127" s="93">
        <v>2</v>
      </c>
      <c r="F127" s="92" t="s">
        <v>156</v>
      </c>
      <c r="G127" s="92" t="s">
        <v>341</v>
      </c>
      <c r="H127" s="92"/>
      <c r="I127" s="92"/>
      <c r="J127" s="94" t="s">
        <v>155</v>
      </c>
      <c r="K127" s="92"/>
      <c r="L127" s="94" t="s">
        <v>155</v>
      </c>
      <c r="M127" s="95" t="b">
        <v>1</v>
      </c>
      <c r="N127" s="96"/>
    </row>
    <row r="128" spans="1:14" ht="40" customHeight="1" x14ac:dyDescent="0.2">
      <c r="A128" s="105" t="s">
        <v>173</v>
      </c>
      <c r="B128" s="92"/>
      <c r="C128" s="93">
        <v>3</v>
      </c>
      <c r="D128" s="93">
        <v>3</v>
      </c>
      <c r="E128" s="93">
        <v>2</v>
      </c>
      <c r="F128" s="92" t="s">
        <v>156</v>
      </c>
      <c r="G128" s="92" t="s">
        <v>342</v>
      </c>
      <c r="H128" s="92"/>
      <c r="I128" s="92"/>
      <c r="J128" s="94" t="s">
        <v>155</v>
      </c>
      <c r="K128" s="92"/>
      <c r="L128" s="94" t="s">
        <v>155</v>
      </c>
      <c r="M128" s="95" t="b">
        <v>1</v>
      </c>
      <c r="N128" s="96"/>
    </row>
    <row r="129" spans="1:14" ht="40" customHeight="1" x14ac:dyDescent="0.2">
      <c r="A129" s="103" t="s">
        <v>173</v>
      </c>
      <c r="B129" s="92"/>
      <c r="C129" s="93">
        <v>4</v>
      </c>
      <c r="D129" s="93">
        <v>1</v>
      </c>
      <c r="E129" s="93">
        <v>1</v>
      </c>
      <c r="F129" s="92" t="s">
        <v>156</v>
      </c>
      <c r="G129" s="92" t="s">
        <v>59</v>
      </c>
      <c r="H129" s="92"/>
      <c r="I129" s="92" t="s">
        <v>208</v>
      </c>
      <c r="J129" s="94" t="s">
        <v>154</v>
      </c>
      <c r="K129" s="92" t="s">
        <v>193</v>
      </c>
      <c r="L129" s="94" t="s">
        <v>145</v>
      </c>
      <c r="M129" s="95" t="b">
        <v>1</v>
      </c>
      <c r="N129" s="96"/>
    </row>
    <row r="130" spans="1:14" ht="40" customHeight="1" x14ac:dyDescent="0.2">
      <c r="A130" s="103" t="s">
        <v>173</v>
      </c>
      <c r="B130" s="92"/>
      <c r="C130" s="93">
        <v>4</v>
      </c>
      <c r="D130" s="93">
        <v>2</v>
      </c>
      <c r="E130" s="93">
        <v>2</v>
      </c>
      <c r="F130" s="92" t="s">
        <v>156</v>
      </c>
      <c r="G130" s="92" t="s">
        <v>343</v>
      </c>
      <c r="H130" s="92"/>
      <c r="I130" s="92"/>
      <c r="J130" s="94" t="s">
        <v>155</v>
      </c>
      <c r="K130" s="92"/>
      <c r="L130" s="94" t="s">
        <v>155</v>
      </c>
      <c r="M130" s="95" t="b">
        <v>1</v>
      </c>
      <c r="N130" s="96"/>
    </row>
    <row r="131" spans="1:14" ht="40" customHeight="1" x14ac:dyDescent="0.2">
      <c r="A131" s="103" t="s">
        <v>173</v>
      </c>
      <c r="B131" s="92"/>
      <c r="C131" s="93">
        <v>4</v>
      </c>
      <c r="D131" s="93">
        <v>3</v>
      </c>
      <c r="E131" s="93">
        <v>2</v>
      </c>
      <c r="F131" s="92" t="s">
        <v>156</v>
      </c>
      <c r="G131" s="92" t="s">
        <v>344</v>
      </c>
      <c r="H131" s="92"/>
      <c r="I131" s="92"/>
      <c r="J131" s="94" t="s">
        <v>155</v>
      </c>
      <c r="K131" s="92"/>
      <c r="L131" s="94" t="s">
        <v>155</v>
      </c>
      <c r="M131" s="95" t="b">
        <v>1</v>
      </c>
      <c r="N131" s="96"/>
    </row>
    <row r="132" spans="1:14" ht="40" customHeight="1" x14ac:dyDescent="0.2">
      <c r="A132" s="103" t="s">
        <v>173</v>
      </c>
      <c r="B132" s="92"/>
      <c r="C132" s="93">
        <v>5</v>
      </c>
      <c r="D132" s="93">
        <v>1</v>
      </c>
      <c r="E132" s="93">
        <v>1</v>
      </c>
      <c r="F132" s="92" t="s">
        <v>156</v>
      </c>
      <c r="G132" s="92" t="s">
        <v>60</v>
      </c>
      <c r="H132" s="92"/>
      <c r="I132" s="92" t="s">
        <v>266</v>
      </c>
      <c r="J132" s="94" t="s">
        <v>154</v>
      </c>
      <c r="K132" s="92" t="s">
        <v>205</v>
      </c>
      <c r="L132" s="94" t="s">
        <v>145</v>
      </c>
      <c r="M132" s="95" t="b">
        <v>1</v>
      </c>
      <c r="N132" s="96"/>
    </row>
    <row r="133" spans="1:14" ht="40" customHeight="1" x14ac:dyDescent="0.2">
      <c r="A133" s="103" t="s">
        <v>173</v>
      </c>
      <c r="B133" s="92"/>
      <c r="C133" s="93">
        <v>5</v>
      </c>
      <c r="D133" s="93">
        <v>2</v>
      </c>
      <c r="E133" s="93">
        <v>2</v>
      </c>
      <c r="F133" s="92" t="s">
        <v>156</v>
      </c>
      <c r="G133" s="92" t="s">
        <v>345</v>
      </c>
      <c r="H133" s="92"/>
      <c r="I133" s="92"/>
      <c r="J133" s="94" t="s">
        <v>155</v>
      </c>
      <c r="K133" s="92"/>
      <c r="L133" s="94" t="s">
        <v>155</v>
      </c>
      <c r="M133" s="95" t="b">
        <v>1</v>
      </c>
      <c r="N133" s="96"/>
    </row>
    <row r="134" spans="1:14" ht="40" customHeight="1" x14ac:dyDescent="0.2">
      <c r="A134" s="103" t="s">
        <v>173</v>
      </c>
      <c r="B134" s="92"/>
      <c r="C134" s="93">
        <v>5</v>
      </c>
      <c r="D134" s="93">
        <v>3</v>
      </c>
      <c r="E134" s="93">
        <v>2</v>
      </c>
      <c r="F134" s="92" t="s">
        <v>156</v>
      </c>
      <c r="G134" s="92" t="s">
        <v>346</v>
      </c>
      <c r="H134" s="92"/>
      <c r="I134" s="92"/>
      <c r="J134" s="94" t="s">
        <v>155</v>
      </c>
      <c r="K134" s="92"/>
      <c r="L134" s="94" t="s">
        <v>155</v>
      </c>
      <c r="M134" s="95" t="b">
        <v>1</v>
      </c>
      <c r="N134" s="96"/>
    </row>
    <row r="135" spans="1:14" ht="40" customHeight="1" x14ac:dyDescent="0.2">
      <c r="A135" s="103" t="s">
        <v>173</v>
      </c>
      <c r="B135" s="92"/>
      <c r="C135" s="93">
        <v>6</v>
      </c>
      <c r="D135" s="93">
        <v>1</v>
      </c>
      <c r="E135" s="93">
        <v>1</v>
      </c>
      <c r="F135" s="92" t="s">
        <v>156</v>
      </c>
      <c r="G135" s="92" t="s">
        <v>61</v>
      </c>
      <c r="H135" s="92"/>
      <c r="I135" s="92" t="s">
        <v>267</v>
      </c>
      <c r="J135" s="94" t="s">
        <v>154</v>
      </c>
      <c r="K135" s="92" t="s">
        <v>198</v>
      </c>
      <c r="L135" s="94" t="s">
        <v>145</v>
      </c>
      <c r="M135" s="95" t="b">
        <v>1</v>
      </c>
      <c r="N135" s="96"/>
    </row>
    <row r="136" spans="1:14" ht="40" customHeight="1" x14ac:dyDescent="0.2">
      <c r="A136" s="103" t="s">
        <v>173</v>
      </c>
      <c r="B136" s="92"/>
      <c r="C136" s="93">
        <v>6</v>
      </c>
      <c r="D136" s="93">
        <v>2</v>
      </c>
      <c r="E136" s="93">
        <v>2</v>
      </c>
      <c r="F136" s="92" t="s">
        <v>156</v>
      </c>
      <c r="G136" s="92" t="s">
        <v>347</v>
      </c>
      <c r="H136" s="92"/>
      <c r="I136" s="92"/>
      <c r="J136" s="94" t="s">
        <v>155</v>
      </c>
      <c r="K136" s="92"/>
      <c r="L136" s="94" t="s">
        <v>155</v>
      </c>
      <c r="M136" s="95" t="b">
        <v>1</v>
      </c>
      <c r="N136" s="96"/>
    </row>
    <row r="137" spans="1:14" ht="40" customHeight="1" x14ac:dyDescent="0.2">
      <c r="A137" s="103" t="s">
        <v>173</v>
      </c>
      <c r="B137" s="92"/>
      <c r="C137" s="93">
        <v>6</v>
      </c>
      <c r="D137" s="93">
        <v>3</v>
      </c>
      <c r="E137" s="93">
        <v>2</v>
      </c>
      <c r="F137" s="92" t="s">
        <v>156</v>
      </c>
      <c r="G137" s="92" t="s">
        <v>348</v>
      </c>
      <c r="H137" s="92"/>
      <c r="I137" s="92"/>
      <c r="J137" s="94" t="s">
        <v>155</v>
      </c>
      <c r="K137" s="92"/>
      <c r="L137" s="94" t="s">
        <v>155</v>
      </c>
      <c r="M137" s="95" t="b">
        <v>1</v>
      </c>
      <c r="N137" s="96"/>
    </row>
    <row r="138" spans="1:14" ht="40" customHeight="1" x14ac:dyDescent="0.2">
      <c r="A138" s="103" t="s">
        <v>173</v>
      </c>
      <c r="B138" s="92"/>
      <c r="C138" s="93">
        <v>7</v>
      </c>
      <c r="D138" s="93">
        <v>1</v>
      </c>
      <c r="E138" s="93">
        <v>1</v>
      </c>
      <c r="F138" s="92" t="s">
        <v>156</v>
      </c>
      <c r="G138" s="92" t="s">
        <v>62</v>
      </c>
      <c r="H138" s="92"/>
      <c r="I138" s="92" t="s">
        <v>268</v>
      </c>
      <c r="J138" s="94" t="s">
        <v>154</v>
      </c>
      <c r="K138" s="92" t="s">
        <v>171</v>
      </c>
      <c r="L138" s="94" t="s">
        <v>145</v>
      </c>
      <c r="M138" s="95" t="b">
        <v>1</v>
      </c>
      <c r="N138" s="96"/>
    </row>
    <row r="139" spans="1:14" ht="40" customHeight="1" x14ac:dyDescent="0.2">
      <c r="A139" s="103" t="s">
        <v>173</v>
      </c>
      <c r="B139" s="92"/>
      <c r="C139" s="93">
        <v>7</v>
      </c>
      <c r="D139" s="93">
        <v>2</v>
      </c>
      <c r="E139" s="93">
        <v>2</v>
      </c>
      <c r="F139" s="92" t="s">
        <v>156</v>
      </c>
      <c r="G139" s="92" t="s">
        <v>349</v>
      </c>
      <c r="H139" s="92"/>
      <c r="I139" s="92"/>
      <c r="J139" s="94" t="s">
        <v>155</v>
      </c>
      <c r="K139" s="92"/>
      <c r="L139" s="94" t="s">
        <v>155</v>
      </c>
      <c r="M139" s="95" t="b">
        <v>1</v>
      </c>
      <c r="N139" s="96"/>
    </row>
    <row r="140" spans="1:14" ht="40" customHeight="1" x14ac:dyDescent="0.2">
      <c r="A140" s="103" t="s">
        <v>173</v>
      </c>
      <c r="B140" s="92"/>
      <c r="C140" s="93">
        <v>7</v>
      </c>
      <c r="D140" s="93">
        <v>3</v>
      </c>
      <c r="E140" s="93">
        <v>2</v>
      </c>
      <c r="F140" s="92" t="s">
        <v>156</v>
      </c>
      <c r="G140" s="92" t="s">
        <v>350</v>
      </c>
      <c r="H140" s="92"/>
      <c r="I140" s="92"/>
      <c r="J140" s="94" t="s">
        <v>155</v>
      </c>
      <c r="K140" s="92"/>
      <c r="L140" s="94" t="s">
        <v>155</v>
      </c>
      <c r="M140" s="95" t="b">
        <v>1</v>
      </c>
      <c r="N140" s="96"/>
    </row>
    <row r="141" spans="1:14" ht="40" customHeight="1" x14ac:dyDescent="0.2">
      <c r="A141" s="103" t="s">
        <v>173</v>
      </c>
      <c r="B141" s="92"/>
      <c r="C141" s="93">
        <v>8</v>
      </c>
      <c r="D141" s="93">
        <v>1</v>
      </c>
      <c r="E141" s="93">
        <v>1</v>
      </c>
      <c r="F141" s="92" t="s">
        <v>156</v>
      </c>
      <c r="G141" s="92" t="s">
        <v>64</v>
      </c>
      <c r="H141" s="92"/>
      <c r="I141" s="92" t="s">
        <v>269</v>
      </c>
      <c r="J141" s="94" t="s">
        <v>154</v>
      </c>
      <c r="K141" s="92" t="s">
        <v>202</v>
      </c>
      <c r="L141" s="94" t="s">
        <v>145</v>
      </c>
      <c r="M141" s="95" t="b">
        <v>1</v>
      </c>
      <c r="N141" s="96"/>
    </row>
    <row r="142" spans="1:14" ht="40" customHeight="1" x14ac:dyDescent="0.2">
      <c r="A142" s="103" t="s">
        <v>173</v>
      </c>
      <c r="B142" s="92"/>
      <c r="C142" s="93">
        <v>8</v>
      </c>
      <c r="D142" s="93">
        <v>2</v>
      </c>
      <c r="E142" s="93">
        <v>2</v>
      </c>
      <c r="F142" s="92" t="s">
        <v>156</v>
      </c>
      <c r="G142" s="92" t="s">
        <v>351</v>
      </c>
      <c r="H142" s="92"/>
      <c r="I142" s="92"/>
      <c r="J142" s="94" t="s">
        <v>155</v>
      </c>
      <c r="K142" s="92"/>
      <c r="L142" s="94" t="s">
        <v>155</v>
      </c>
      <c r="M142" s="95" t="b">
        <v>1</v>
      </c>
      <c r="N142" s="96"/>
    </row>
    <row r="143" spans="1:14" ht="40" customHeight="1" x14ac:dyDescent="0.2">
      <c r="A143" s="103" t="s">
        <v>173</v>
      </c>
      <c r="B143" s="92"/>
      <c r="C143" s="93">
        <v>8</v>
      </c>
      <c r="D143" s="93">
        <v>3</v>
      </c>
      <c r="E143" s="93">
        <v>2</v>
      </c>
      <c r="F143" s="92" t="s">
        <v>156</v>
      </c>
      <c r="G143" s="92" t="s">
        <v>352</v>
      </c>
      <c r="H143" s="92"/>
      <c r="I143" s="92"/>
      <c r="J143" s="94" t="s">
        <v>155</v>
      </c>
      <c r="K143" s="92"/>
      <c r="L143" s="94" t="s">
        <v>155</v>
      </c>
      <c r="M143" s="95" t="b">
        <v>1</v>
      </c>
      <c r="N143" s="96"/>
    </row>
    <row r="144" spans="1:14" ht="40" customHeight="1" x14ac:dyDescent="0.2">
      <c r="A144" s="103" t="s">
        <v>173</v>
      </c>
      <c r="B144" s="92"/>
      <c r="C144" s="93">
        <v>9</v>
      </c>
      <c r="D144" s="93">
        <v>1</v>
      </c>
      <c r="E144" s="93">
        <v>1</v>
      </c>
      <c r="F144" s="92" t="s">
        <v>156</v>
      </c>
      <c r="G144" s="92" t="s">
        <v>71</v>
      </c>
      <c r="H144" s="92"/>
      <c r="I144" s="92" t="s">
        <v>270</v>
      </c>
      <c r="J144" s="94" t="s">
        <v>154</v>
      </c>
      <c r="K144" s="92" t="s">
        <v>163</v>
      </c>
      <c r="L144" s="94" t="s">
        <v>145</v>
      </c>
      <c r="M144" s="95" t="b">
        <v>1</v>
      </c>
      <c r="N144" s="96"/>
    </row>
    <row r="145" spans="1:14" ht="40" customHeight="1" x14ac:dyDescent="0.2">
      <c r="A145" s="103" t="s">
        <v>173</v>
      </c>
      <c r="B145" s="92"/>
      <c r="C145" s="93">
        <v>9</v>
      </c>
      <c r="D145" s="93">
        <v>2</v>
      </c>
      <c r="E145" s="93">
        <v>2</v>
      </c>
      <c r="F145" s="92" t="s">
        <v>156</v>
      </c>
      <c r="G145" s="92" t="s">
        <v>353</v>
      </c>
      <c r="H145" s="92"/>
      <c r="I145" s="92"/>
      <c r="J145" s="94" t="s">
        <v>155</v>
      </c>
      <c r="K145" s="92"/>
      <c r="L145" s="94" t="s">
        <v>155</v>
      </c>
      <c r="M145" s="95" t="b">
        <v>1</v>
      </c>
      <c r="N145" s="96"/>
    </row>
    <row r="146" spans="1:14" ht="40" customHeight="1" x14ac:dyDescent="0.2">
      <c r="A146" s="103" t="s">
        <v>173</v>
      </c>
      <c r="B146" s="92"/>
      <c r="C146" s="93">
        <v>9</v>
      </c>
      <c r="D146" s="93">
        <v>3</v>
      </c>
      <c r="E146" s="93">
        <v>2</v>
      </c>
      <c r="F146" s="92" t="s">
        <v>156</v>
      </c>
      <c r="G146" s="92" t="s">
        <v>354</v>
      </c>
      <c r="H146" s="92"/>
      <c r="I146" s="92"/>
      <c r="J146" s="94" t="s">
        <v>155</v>
      </c>
      <c r="K146" s="92"/>
      <c r="L146" s="94" t="s">
        <v>155</v>
      </c>
      <c r="M146" s="95" t="b">
        <v>1</v>
      </c>
      <c r="N146" s="96"/>
    </row>
    <row r="147" spans="1:14" x14ac:dyDescent="0.2">
      <c r="A147" s="106" t="s">
        <v>178</v>
      </c>
      <c r="B147" s="92" t="s">
        <v>286</v>
      </c>
      <c r="C147" s="93">
        <v>1</v>
      </c>
      <c r="D147" s="93">
        <v>1</v>
      </c>
      <c r="E147" s="93">
        <v>1</v>
      </c>
      <c r="F147" s="92" t="s">
        <v>156</v>
      </c>
      <c r="G147" s="92" t="s">
        <v>184</v>
      </c>
      <c r="H147" s="92"/>
      <c r="I147" s="92" t="s">
        <v>355</v>
      </c>
      <c r="J147" s="94" t="s">
        <v>154</v>
      </c>
      <c r="K147" s="92"/>
      <c r="L147" s="94" t="s">
        <v>155</v>
      </c>
      <c r="M147" s="95" t="b">
        <v>1</v>
      </c>
      <c r="N147" s="96"/>
    </row>
    <row r="148" spans="1:14" ht="30" x14ac:dyDescent="0.2">
      <c r="A148" s="106" t="s">
        <v>178</v>
      </c>
      <c r="B148" s="92"/>
      <c r="C148" s="93">
        <v>1</v>
      </c>
      <c r="D148" s="93">
        <v>2</v>
      </c>
      <c r="E148" s="93">
        <v>2</v>
      </c>
      <c r="F148" s="92" t="s">
        <v>156</v>
      </c>
      <c r="G148" s="92" t="s">
        <v>356</v>
      </c>
      <c r="H148" s="92"/>
      <c r="I148" s="92"/>
      <c r="J148" s="94" t="s">
        <v>155</v>
      </c>
      <c r="K148" s="92"/>
      <c r="L148" s="94" t="s">
        <v>155</v>
      </c>
      <c r="M148" s="95" t="b">
        <v>1</v>
      </c>
      <c r="N148" s="96"/>
    </row>
    <row r="149" spans="1:14" x14ac:dyDescent="0.2">
      <c r="A149" s="106" t="s">
        <v>178</v>
      </c>
      <c r="B149" s="92"/>
      <c r="C149" s="93">
        <v>1</v>
      </c>
      <c r="D149" s="93">
        <v>3</v>
      </c>
      <c r="E149" s="93">
        <v>2</v>
      </c>
      <c r="F149" s="92" t="s">
        <v>156</v>
      </c>
      <c r="G149" s="92" t="s">
        <v>357</v>
      </c>
      <c r="H149" s="92"/>
      <c r="I149" s="92"/>
      <c r="J149" s="94" t="s">
        <v>155</v>
      </c>
      <c r="K149" s="92"/>
      <c r="L149" s="94" t="s">
        <v>155</v>
      </c>
      <c r="M149" s="95" t="b">
        <v>1</v>
      </c>
      <c r="N149" s="96"/>
    </row>
    <row r="150" spans="1:14" x14ac:dyDescent="0.2">
      <c r="A150" s="106" t="s">
        <v>178</v>
      </c>
      <c r="B150" s="92"/>
      <c r="C150" s="93">
        <v>1</v>
      </c>
      <c r="D150" s="93">
        <v>4</v>
      </c>
      <c r="E150" s="93">
        <v>2</v>
      </c>
      <c r="F150" s="92" t="s">
        <v>156</v>
      </c>
      <c r="G150" s="92" t="s">
        <v>358</v>
      </c>
      <c r="H150" s="92"/>
      <c r="I150" s="92"/>
      <c r="J150" s="94" t="s">
        <v>155</v>
      </c>
      <c r="K150" s="92"/>
      <c r="L150" s="94" t="s">
        <v>155</v>
      </c>
      <c r="M150" s="95" t="b">
        <v>1</v>
      </c>
      <c r="N150" s="96"/>
    </row>
    <row r="151" spans="1:14" ht="30" x14ac:dyDescent="0.2">
      <c r="A151" s="106" t="s">
        <v>178</v>
      </c>
      <c r="B151" s="92"/>
      <c r="C151" s="93">
        <v>1</v>
      </c>
      <c r="D151" s="93">
        <v>4</v>
      </c>
      <c r="E151" s="93">
        <v>2</v>
      </c>
      <c r="F151" s="92" t="s">
        <v>156</v>
      </c>
      <c r="G151" s="92" t="s">
        <v>359</v>
      </c>
      <c r="H151" s="92"/>
      <c r="I151" s="92"/>
      <c r="J151" s="94" t="s">
        <v>155</v>
      </c>
      <c r="K151" s="92"/>
      <c r="L151" s="94" t="s">
        <v>155</v>
      </c>
      <c r="M151" s="95" t="b">
        <v>1</v>
      </c>
      <c r="N151" s="96"/>
    </row>
    <row r="152" spans="1:14" x14ac:dyDescent="0.2">
      <c r="A152" s="106" t="s">
        <v>178</v>
      </c>
      <c r="B152" s="92"/>
      <c r="C152" s="93">
        <v>1</v>
      </c>
      <c r="D152" s="93">
        <v>5</v>
      </c>
      <c r="E152" s="93">
        <v>2</v>
      </c>
      <c r="F152" s="92" t="s">
        <v>156</v>
      </c>
      <c r="G152" s="92" t="s">
        <v>360</v>
      </c>
      <c r="H152" s="92"/>
      <c r="I152" s="92"/>
      <c r="J152" s="94" t="s">
        <v>155</v>
      </c>
      <c r="K152" s="92"/>
      <c r="L152" s="94" t="s">
        <v>155</v>
      </c>
      <c r="M152" s="95" t="b">
        <v>1</v>
      </c>
      <c r="N152" s="96"/>
    </row>
    <row r="153" spans="1:14" x14ac:dyDescent="0.2">
      <c r="A153" s="91" t="s">
        <v>172</v>
      </c>
      <c r="B153" s="92" t="s">
        <v>287</v>
      </c>
      <c r="C153" s="93">
        <v>1</v>
      </c>
      <c r="D153" s="93">
        <v>1</v>
      </c>
      <c r="E153" s="93">
        <v>1</v>
      </c>
      <c r="F153" s="92" t="s">
        <v>156</v>
      </c>
      <c r="G153" s="92" t="s">
        <v>184</v>
      </c>
      <c r="H153" s="92"/>
      <c r="I153" s="92" t="s">
        <v>175</v>
      </c>
      <c r="J153" s="94" t="s">
        <v>154</v>
      </c>
      <c r="K153" s="92"/>
      <c r="L153" s="94" t="s">
        <v>155</v>
      </c>
      <c r="M153" s="95" t="b">
        <v>1</v>
      </c>
      <c r="N153" s="96"/>
    </row>
    <row r="154" spans="1:14" x14ac:dyDescent="0.2">
      <c r="A154" s="91" t="s">
        <v>172</v>
      </c>
      <c r="B154" s="92"/>
      <c r="C154" s="93">
        <v>1</v>
      </c>
      <c r="D154" s="93">
        <v>2</v>
      </c>
      <c r="E154" s="93">
        <v>2</v>
      </c>
      <c r="F154" s="92" t="s">
        <v>156</v>
      </c>
      <c r="G154" s="92" t="s">
        <v>361</v>
      </c>
      <c r="H154" s="92"/>
      <c r="I154" s="92"/>
      <c r="J154" s="94" t="s">
        <v>155</v>
      </c>
      <c r="K154" s="92"/>
      <c r="L154" s="94" t="s">
        <v>155</v>
      </c>
      <c r="M154" s="95" t="b">
        <v>1</v>
      </c>
      <c r="N154" s="96"/>
    </row>
    <row r="155" spans="1:14" ht="30" x14ac:dyDescent="0.2">
      <c r="A155" s="91" t="s">
        <v>172</v>
      </c>
      <c r="B155" s="92"/>
      <c r="C155" s="93">
        <v>1</v>
      </c>
      <c r="D155" s="93">
        <v>3</v>
      </c>
      <c r="E155" s="93">
        <v>2</v>
      </c>
      <c r="F155" s="92" t="s">
        <v>156</v>
      </c>
      <c r="G155" s="92" t="s">
        <v>362</v>
      </c>
      <c r="H155" s="92"/>
      <c r="I155" s="92"/>
      <c r="J155" s="94" t="s">
        <v>155</v>
      </c>
      <c r="K155" s="92"/>
      <c r="L155" s="94" t="s">
        <v>155</v>
      </c>
      <c r="M155" s="95" t="b">
        <v>1</v>
      </c>
      <c r="N155" s="96"/>
    </row>
    <row r="156" spans="1:14" x14ac:dyDescent="0.2">
      <c r="A156" s="91" t="s">
        <v>172</v>
      </c>
      <c r="B156" s="92"/>
      <c r="C156" s="93">
        <v>1</v>
      </c>
      <c r="D156" s="93">
        <v>4</v>
      </c>
      <c r="E156" s="93">
        <v>2</v>
      </c>
      <c r="F156" s="92" t="s">
        <v>156</v>
      </c>
      <c r="G156" s="92" t="s">
        <v>363</v>
      </c>
      <c r="H156" s="92"/>
      <c r="I156" s="92"/>
      <c r="J156" s="94" t="s">
        <v>155</v>
      </c>
      <c r="K156" s="92"/>
      <c r="L156" s="94" t="s">
        <v>155</v>
      </c>
      <c r="M156" s="95" t="b">
        <v>1</v>
      </c>
      <c r="N156" s="96"/>
    </row>
  </sheetData>
  <phoneticPr fontId="24" type="noConversion"/>
  <conditionalFormatting sqref="J2:J96">
    <cfRule type="containsText" dxfId="2" priority="1" operator="containsText" text="plan"/>
    <cfRule type="containsText" dxfId="1" priority="2" operator="containsText" text="available"/>
    <cfRule type="containsText" dxfId="0" priority="3" operator="containsText" text="shortage"/>
  </conditionalFormatting>
  <dataValidations count="9">
    <dataValidation type="list" sqref="L2:L96" xr:uid="{2B9CE41F-06D8-AB4B-8F2C-7B8F13D8C958}">
      <formula1>"none,label,data,row"</formula1>
    </dataValidation>
    <dataValidation type="list" sqref="J2:J96" xr:uid="{B83434F4-ACA9-D548-95CA-B67EE3D5868C}">
      <formula1>"normal,plan,available,shortage"</formula1>
    </dataValidation>
    <dataValidation type="list" sqref="F2:F96" xr:uid="{25BE03EB-DDD7-3740-A4C3-C7D0B10B1F13}">
      <formula1>"text,label-data"</formula1>
    </dataValidation>
    <dataValidation type="list" sqref="F2:F136" xr:uid="{F897C3BB-4FD4-8849-946B-CC91BF966F35}">
      <formula1>"text,text-inline,label-data,grid-item"</formula1>
    </dataValidation>
    <dataValidation type="list" sqref="M2:M156" xr:uid="{6E7A4EE1-D7AF-1F48-B667-5E19CD7F4615}">
      <formula1>"TRUE,FALSE"</formula1>
    </dataValidation>
    <dataValidation type="whole" sqref="E2:E156" xr:uid="{5032E589-E86C-3045-8EBB-4126369A3670}">
      <formula1>1</formula1>
      <formula2>2</formula2>
    </dataValidation>
    <dataValidation type="list" sqref="L2:L156" xr:uid="{1648F17A-C845-A64B-BB64-DBCF19F17E3A}">
      <formula1>"none,label,data,highlight,all"</formula1>
    </dataValidation>
    <dataValidation type="list" sqref="J2:J156" xr:uid="{42B81A1A-6D8B-8A45-AAF8-4FA8CACCC8F2}">
      <formula1>"none,plan,available,avai,shortage"</formula1>
    </dataValidation>
    <dataValidation type="list" sqref="F2:F156" xr:uid="{355DC02F-3629-B34D-8F38-A66FCBDA2C01}">
      <formula1>"text,text-inline,label-data,grid-item,markdown"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workbookViewId="0">
      <pane ySplit="1" topLeftCell="A2" activePane="bottomLeft" state="frozen"/>
      <selection pane="bottomLeft" activeCell="G24" sqref="G24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22</v>
      </c>
      <c r="B2" s="6" t="s">
        <v>16</v>
      </c>
      <c r="C2" s="7">
        <v>150</v>
      </c>
      <c r="D2" s="7">
        <v>153</v>
      </c>
      <c r="E2" s="7">
        <v>155</v>
      </c>
      <c r="F2" s="7">
        <v>155</v>
      </c>
      <c r="G2" s="7">
        <v>155</v>
      </c>
      <c r="H2" s="7">
        <v>155</v>
      </c>
      <c r="I2" s="7">
        <v>154</v>
      </c>
      <c r="J2" s="7">
        <v>154</v>
      </c>
      <c r="K2" s="7">
        <v>154</v>
      </c>
      <c r="L2" s="7">
        <v>156</v>
      </c>
      <c r="M2" s="7">
        <v>157</v>
      </c>
      <c r="N2" s="7">
        <v>157</v>
      </c>
      <c r="O2" s="7">
        <v>157</v>
      </c>
      <c r="P2" s="7">
        <v>157</v>
      </c>
      <c r="Q2" s="7">
        <v>157</v>
      </c>
    </row>
    <row r="3" spans="1:17" x14ac:dyDescent="0.2">
      <c r="A3" s="11" t="s">
        <v>22</v>
      </c>
      <c r="B3" s="8" t="s">
        <v>17</v>
      </c>
      <c r="C3" s="7">
        <v>155</v>
      </c>
      <c r="D3" s="7">
        <v>155</v>
      </c>
      <c r="E3" s="7">
        <v>155</v>
      </c>
      <c r="F3" s="7">
        <v>155</v>
      </c>
      <c r="G3" s="7">
        <v>155</v>
      </c>
      <c r="H3" s="7">
        <v>155</v>
      </c>
      <c r="I3" s="7">
        <v>155</v>
      </c>
      <c r="J3" s="7">
        <v>155</v>
      </c>
      <c r="K3" s="7">
        <v>155</v>
      </c>
      <c r="L3" s="7">
        <v>155</v>
      </c>
      <c r="M3" s="7">
        <v>155</v>
      </c>
      <c r="N3" s="7">
        <v>155</v>
      </c>
      <c r="O3" s="7">
        <v>155</v>
      </c>
      <c r="P3" s="7">
        <v>155</v>
      </c>
      <c r="Q3" s="7">
        <v>155</v>
      </c>
    </row>
    <row r="4" spans="1:17" x14ac:dyDescent="0.2">
      <c r="A4" s="12" t="s">
        <v>22</v>
      </c>
      <c r="B4" s="9" t="s">
        <v>18</v>
      </c>
      <c r="C4" s="7">
        <v>141</v>
      </c>
      <c r="D4" s="7">
        <v>145</v>
      </c>
      <c r="E4" s="7">
        <v>142</v>
      </c>
      <c r="F4" s="7">
        <v>138</v>
      </c>
      <c r="G4" s="7">
        <v>146</v>
      </c>
      <c r="H4" s="7">
        <v>142</v>
      </c>
      <c r="I4" s="7">
        <v>138</v>
      </c>
      <c r="J4" s="7">
        <v>135</v>
      </c>
      <c r="K4" s="7">
        <v>133</v>
      </c>
      <c r="L4" s="7">
        <v>107</v>
      </c>
      <c r="M4" s="7">
        <v>107</v>
      </c>
      <c r="N4" s="7">
        <v>107</v>
      </c>
      <c r="O4" s="7">
        <v>88</v>
      </c>
      <c r="P4" s="7">
        <v>86</v>
      </c>
      <c r="Q4" s="7">
        <v>85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0.93810000000000004</v>
      </c>
      <c r="D6" s="18">
        <v>0.94910000000000005</v>
      </c>
      <c r="E6" s="18">
        <v>0.91320000000000001</v>
      </c>
      <c r="F6" s="18">
        <v>0.88749999999999996</v>
      </c>
      <c r="G6" s="18">
        <v>0.94450000000000001</v>
      </c>
      <c r="H6" s="18">
        <v>0.91469999999999996</v>
      </c>
      <c r="I6" s="18">
        <v>0.89880000000000004</v>
      </c>
      <c r="J6" s="18">
        <v>0.87380000000000002</v>
      </c>
      <c r="K6" s="18">
        <v>0.86299999999999999</v>
      </c>
      <c r="L6" s="18">
        <v>0.68879999999999997</v>
      </c>
      <c r="M6" s="18">
        <v>0.68320000000000003</v>
      </c>
      <c r="N6" s="18">
        <v>0.68100000000000005</v>
      </c>
      <c r="O6" s="18">
        <v>0.56059999999999999</v>
      </c>
      <c r="P6" s="18">
        <v>0.54600000000000004</v>
      </c>
      <c r="Q6" s="18">
        <v>0.54169999999999996</v>
      </c>
    </row>
    <row r="7" spans="1:17" x14ac:dyDescent="0.2">
      <c r="A7" s="16"/>
      <c r="B7" s="17" t="s">
        <v>24</v>
      </c>
      <c r="C7" s="19">
        <v>9</v>
      </c>
      <c r="D7" s="19">
        <v>8</v>
      </c>
      <c r="E7" s="19">
        <v>13</v>
      </c>
      <c r="F7" s="19">
        <v>17</v>
      </c>
      <c r="G7" s="19">
        <v>9</v>
      </c>
      <c r="H7" s="19">
        <v>13</v>
      </c>
      <c r="I7" s="19">
        <v>16</v>
      </c>
      <c r="J7" s="19">
        <v>19</v>
      </c>
      <c r="K7" s="19">
        <v>21</v>
      </c>
      <c r="L7" s="19">
        <v>49</v>
      </c>
      <c r="M7" s="19">
        <v>50</v>
      </c>
      <c r="N7" s="19">
        <v>50</v>
      </c>
      <c r="O7" s="19">
        <v>69</v>
      </c>
      <c r="P7" s="19">
        <v>71</v>
      </c>
      <c r="Q7" s="19">
        <v>72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117</v>
      </c>
      <c r="D9" s="7">
        <v>118</v>
      </c>
      <c r="E9" s="7">
        <v>117</v>
      </c>
      <c r="F9" s="7">
        <v>116</v>
      </c>
      <c r="G9" s="7">
        <v>116</v>
      </c>
      <c r="H9" s="7">
        <v>116</v>
      </c>
      <c r="I9" s="7">
        <v>115</v>
      </c>
      <c r="J9" s="7">
        <v>115</v>
      </c>
      <c r="K9" s="7">
        <v>115</v>
      </c>
      <c r="L9" s="7">
        <v>117</v>
      </c>
      <c r="M9" s="7">
        <v>118</v>
      </c>
      <c r="N9" s="7">
        <v>118</v>
      </c>
      <c r="O9" s="7">
        <v>118</v>
      </c>
      <c r="P9" s="7">
        <v>118</v>
      </c>
      <c r="Q9" s="7">
        <v>118</v>
      </c>
    </row>
    <row r="10" spans="1:17" x14ac:dyDescent="0.2">
      <c r="A10" s="8" t="s">
        <v>17</v>
      </c>
      <c r="B10" s="11" t="s">
        <v>19</v>
      </c>
      <c r="C10" s="7">
        <v>117</v>
      </c>
      <c r="D10" s="7">
        <v>117</v>
      </c>
      <c r="E10" s="7">
        <v>117</v>
      </c>
      <c r="F10" s="7">
        <v>117</v>
      </c>
      <c r="G10" s="7">
        <v>117</v>
      </c>
      <c r="H10" s="7">
        <v>117</v>
      </c>
      <c r="I10" s="7">
        <v>117</v>
      </c>
      <c r="J10" s="7">
        <v>117</v>
      </c>
      <c r="K10" s="7">
        <v>117</v>
      </c>
      <c r="L10" s="7">
        <v>117</v>
      </c>
      <c r="M10" s="7">
        <v>117</v>
      </c>
      <c r="N10" s="7">
        <v>117</v>
      </c>
      <c r="O10" s="7">
        <v>117</v>
      </c>
      <c r="P10" s="7">
        <v>117</v>
      </c>
      <c r="Q10" s="7">
        <v>117</v>
      </c>
    </row>
    <row r="11" spans="1:17" x14ac:dyDescent="0.2">
      <c r="A11" s="15" t="s">
        <v>18</v>
      </c>
      <c r="B11" s="12" t="s">
        <v>19</v>
      </c>
      <c r="C11" s="7">
        <v>110</v>
      </c>
      <c r="D11" s="7">
        <v>111</v>
      </c>
      <c r="E11" s="7">
        <v>107</v>
      </c>
      <c r="F11" s="7">
        <v>104</v>
      </c>
      <c r="G11" s="7">
        <v>107</v>
      </c>
      <c r="H11" s="7">
        <v>103</v>
      </c>
      <c r="I11" s="7">
        <v>102</v>
      </c>
      <c r="J11" s="7">
        <v>100</v>
      </c>
      <c r="K11" s="7">
        <v>99</v>
      </c>
      <c r="L11" s="7">
        <v>85</v>
      </c>
      <c r="M11" s="7">
        <v>85</v>
      </c>
      <c r="N11" s="7">
        <v>84</v>
      </c>
      <c r="O11" s="7">
        <v>75</v>
      </c>
      <c r="P11" s="7">
        <v>73</v>
      </c>
      <c r="Q11" s="7">
        <v>72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21</v>
      </c>
      <c r="D13" s="7">
        <v>21</v>
      </c>
      <c r="E13" s="7">
        <v>21</v>
      </c>
      <c r="F13" s="7">
        <v>21</v>
      </c>
      <c r="G13" s="7">
        <v>21</v>
      </c>
      <c r="H13" s="7">
        <v>21</v>
      </c>
      <c r="I13" s="7">
        <v>21</v>
      </c>
      <c r="J13" s="7">
        <v>21</v>
      </c>
      <c r="K13" s="7">
        <v>21</v>
      </c>
      <c r="L13" s="7">
        <v>21</v>
      </c>
      <c r="M13" s="7">
        <v>21</v>
      </c>
      <c r="N13" s="7">
        <v>21</v>
      </c>
      <c r="O13" s="7">
        <v>21</v>
      </c>
      <c r="P13" s="7">
        <v>21</v>
      </c>
      <c r="Q13" s="7">
        <v>21</v>
      </c>
    </row>
    <row r="14" spans="1:17" x14ac:dyDescent="0.2">
      <c r="A14" s="8" t="s">
        <v>17</v>
      </c>
      <c r="B14" s="11" t="s">
        <v>20</v>
      </c>
      <c r="C14" s="7">
        <v>21</v>
      </c>
      <c r="D14" s="7">
        <v>21</v>
      </c>
      <c r="E14" s="7">
        <v>21</v>
      </c>
      <c r="F14" s="7">
        <v>21</v>
      </c>
      <c r="G14" s="7">
        <v>21</v>
      </c>
      <c r="H14" s="7">
        <v>21</v>
      </c>
      <c r="I14" s="7">
        <v>21</v>
      </c>
      <c r="J14" s="7">
        <v>21</v>
      </c>
      <c r="K14" s="7">
        <v>21</v>
      </c>
      <c r="L14" s="7">
        <v>21</v>
      </c>
      <c r="M14" s="7">
        <v>21</v>
      </c>
      <c r="N14" s="7">
        <v>21</v>
      </c>
      <c r="O14" s="7">
        <v>21</v>
      </c>
      <c r="P14" s="7">
        <v>21</v>
      </c>
      <c r="Q14" s="7">
        <v>21</v>
      </c>
    </row>
    <row r="15" spans="1:17" x14ac:dyDescent="0.2">
      <c r="A15" s="15" t="s">
        <v>18</v>
      </c>
      <c r="B15" s="12" t="s">
        <v>20</v>
      </c>
      <c r="C15" s="7">
        <v>21</v>
      </c>
      <c r="D15" s="7">
        <v>21</v>
      </c>
      <c r="E15" s="7">
        <v>20</v>
      </c>
      <c r="F15" s="7">
        <v>18</v>
      </c>
      <c r="G15" s="7">
        <v>19</v>
      </c>
      <c r="H15" s="7">
        <v>18</v>
      </c>
      <c r="I15" s="7">
        <v>18</v>
      </c>
      <c r="J15" s="7">
        <v>18</v>
      </c>
      <c r="K15" s="7">
        <v>18</v>
      </c>
      <c r="L15" s="7">
        <v>11</v>
      </c>
      <c r="M15" s="7">
        <v>11</v>
      </c>
      <c r="N15" s="7">
        <v>11</v>
      </c>
      <c r="O15" s="7">
        <v>10</v>
      </c>
      <c r="P15" s="7">
        <v>10</v>
      </c>
      <c r="Q15" s="7">
        <v>10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65" t="s">
        <v>22</v>
      </c>
      <c r="B22" s="66" t="s">
        <v>123</v>
      </c>
      <c r="C22" s="67">
        <v>11</v>
      </c>
      <c r="D22" s="67">
        <v>11</v>
      </c>
      <c r="E22" s="67">
        <v>11</v>
      </c>
      <c r="F22" s="67">
        <v>11</v>
      </c>
      <c r="G22" s="6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65" t="s">
        <v>22</v>
      </c>
      <c r="B23" s="66" t="s">
        <v>124</v>
      </c>
      <c r="C23" s="67">
        <v>126.8</v>
      </c>
      <c r="D23" s="67">
        <v>132.74</v>
      </c>
      <c r="E23" s="67">
        <v>132.78</v>
      </c>
      <c r="F23" s="67">
        <v>66.14</v>
      </c>
      <c r="G23" s="67"/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183</v>
      </c>
      <c r="H31" s="24"/>
    </row>
    <row r="32" spans="1:17" x14ac:dyDescent="0.2">
      <c r="A32" s="10" t="s">
        <v>22</v>
      </c>
      <c r="B32" s="6" t="s">
        <v>16</v>
      </c>
      <c r="C32" s="20">
        <v>153</v>
      </c>
      <c r="D32" s="20">
        <v>155</v>
      </c>
      <c r="E32" s="20">
        <v>154</v>
      </c>
      <c r="F32" s="20">
        <v>157</v>
      </c>
      <c r="G32" s="20">
        <v>157</v>
      </c>
      <c r="H32" s="20"/>
    </row>
    <row r="33" spans="1:8" x14ac:dyDescent="0.2">
      <c r="A33" s="11" t="s">
        <v>22</v>
      </c>
      <c r="B33" s="8" t="s">
        <v>17</v>
      </c>
      <c r="C33" s="20">
        <v>155</v>
      </c>
      <c r="D33" s="20">
        <v>155</v>
      </c>
      <c r="E33" s="20">
        <v>155</v>
      </c>
      <c r="F33" s="20">
        <v>155</v>
      </c>
      <c r="G33" s="20">
        <v>155</v>
      </c>
      <c r="H33" s="20"/>
    </row>
    <row r="34" spans="1:8" x14ac:dyDescent="0.2">
      <c r="A34" s="12" t="s">
        <v>22</v>
      </c>
      <c r="B34" s="9" t="s">
        <v>18</v>
      </c>
      <c r="C34" s="20">
        <v>142</v>
      </c>
      <c r="D34" s="20">
        <v>142</v>
      </c>
      <c r="E34" s="20">
        <v>135</v>
      </c>
      <c r="F34" s="20">
        <v>107</v>
      </c>
      <c r="G34" s="20">
        <v>86</v>
      </c>
      <c r="H34" s="20"/>
    </row>
    <row r="35" spans="1:8" x14ac:dyDescent="0.2">
      <c r="A35" s="16"/>
      <c r="B35" s="7"/>
      <c r="C35" s="27">
        <v>6.6699999999999995E-2</v>
      </c>
      <c r="D35" s="27">
        <v>8.4400000000000003E-2</v>
      </c>
      <c r="E35" s="27">
        <v>0.12139999999999999</v>
      </c>
      <c r="F35" s="27">
        <v>0.31569999999999998</v>
      </c>
      <c r="G35" s="27">
        <v>0.4506</v>
      </c>
      <c r="H35" s="7"/>
    </row>
    <row r="36" spans="1:8" x14ac:dyDescent="0.2">
      <c r="A36" s="7"/>
      <c r="B36" s="17" t="s">
        <v>23</v>
      </c>
      <c r="C36" s="18">
        <v>0.93330000000000002</v>
      </c>
      <c r="D36" s="18">
        <v>0.91559999999999997</v>
      </c>
      <c r="E36" s="18">
        <v>0.87860000000000005</v>
      </c>
      <c r="F36" s="18">
        <v>0.68430000000000002</v>
      </c>
      <c r="G36" s="18">
        <v>0.5494</v>
      </c>
      <c r="H36" s="19"/>
    </row>
    <row r="37" spans="1:8" x14ac:dyDescent="0.2">
      <c r="A37" s="16"/>
      <c r="B37" s="17" t="s">
        <v>24</v>
      </c>
      <c r="C37" s="19">
        <v>10</v>
      </c>
      <c r="D37" s="19">
        <v>13</v>
      </c>
      <c r="E37" s="19">
        <v>19</v>
      </c>
      <c r="F37" s="19">
        <v>30</v>
      </c>
      <c r="G37" s="19">
        <v>71</v>
      </c>
      <c r="H37" s="19"/>
    </row>
    <row r="38" spans="1:8" x14ac:dyDescent="0.2">
      <c r="A38" s="16"/>
      <c r="B38" s="7"/>
      <c r="C38" s="2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0">
        <v>117</v>
      </c>
      <c r="D39" s="20">
        <v>116</v>
      </c>
      <c r="E39" s="20">
        <v>115</v>
      </c>
      <c r="F39" s="20">
        <v>118</v>
      </c>
      <c r="G39" s="20">
        <v>118</v>
      </c>
      <c r="H39" s="20"/>
    </row>
    <row r="40" spans="1:8" x14ac:dyDescent="0.2">
      <c r="A40" s="8" t="s">
        <v>17</v>
      </c>
      <c r="B40" s="11" t="s">
        <v>19</v>
      </c>
      <c r="C40" s="20">
        <v>117</v>
      </c>
      <c r="D40" s="20">
        <v>117</v>
      </c>
      <c r="E40" s="20">
        <v>117</v>
      </c>
      <c r="F40" s="20">
        <v>117</v>
      </c>
      <c r="G40" s="20">
        <v>117</v>
      </c>
      <c r="H40" s="20"/>
    </row>
    <row r="41" spans="1:8" x14ac:dyDescent="0.2">
      <c r="A41" s="15" t="s">
        <v>18</v>
      </c>
      <c r="B41" s="12" t="s">
        <v>19</v>
      </c>
      <c r="C41" s="20">
        <v>110</v>
      </c>
      <c r="D41" s="20">
        <v>105</v>
      </c>
      <c r="E41" s="20">
        <v>101</v>
      </c>
      <c r="F41" s="20">
        <v>85</v>
      </c>
      <c r="G41" s="20">
        <v>73</v>
      </c>
      <c r="H41" s="20"/>
    </row>
    <row r="42" spans="1:8" x14ac:dyDescent="0.2">
      <c r="A42" s="7"/>
      <c r="B42" s="16"/>
      <c r="C42" s="20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0">
        <v>21</v>
      </c>
      <c r="D43" s="20">
        <v>21</v>
      </c>
      <c r="E43" s="20">
        <v>21</v>
      </c>
      <c r="F43" s="20">
        <v>21</v>
      </c>
      <c r="G43" s="20">
        <v>21</v>
      </c>
      <c r="H43" s="20"/>
    </row>
    <row r="44" spans="1:8" x14ac:dyDescent="0.2">
      <c r="A44" s="8" t="s">
        <v>17</v>
      </c>
      <c r="B44" s="11" t="s">
        <v>20</v>
      </c>
      <c r="C44" s="20">
        <v>21</v>
      </c>
      <c r="D44" s="20">
        <v>21</v>
      </c>
      <c r="E44" s="20">
        <v>21</v>
      </c>
      <c r="F44" s="20">
        <v>21</v>
      </c>
      <c r="G44" s="20">
        <v>21</v>
      </c>
      <c r="H44" s="20"/>
    </row>
    <row r="45" spans="1:8" x14ac:dyDescent="0.2">
      <c r="A45" s="15" t="s">
        <v>18</v>
      </c>
      <c r="B45" s="12" t="s">
        <v>20</v>
      </c>
      <c r="C45" s="20">
        <v>21</v>
      </c>
      <c r="D45" s="20">
        <v>19</v>
      </c>
      <c r="E45" s="20">
        <v>18</v>
      </c>
      <c r="F45" s="20">
        <v>11</v>
      </c>
      <c r="G45" s="20">
        <v>10</v>
      </c>
      <c r="H45" s="20"/>
    </row>
    <row r="46" spans="1:8" x14ac:dyDescent="0.2">
      <c r="A46" s="7"/>
      <c r="B46" s="16"/>
      <c r="C46" s="20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0">
        <v>14</v>
      </c>
      <c r="D47" s="20">
        <v>18</v>
      </c>
      <c r="E47" s="20">
        <v>18</v>
      </c>
      <c r="F47" s="20">
        <v>18</v>
      </c>
      <c r="G47" s="20">
        <v>18</v>
      </c>
      <c r="H47" s="20"/>
    </row>
    <row r="48" spans="1:8" x14ac:dyDescent="0.2">
      <c r="A48" s="8" t="s">
        <v>17</v>
      </c>
      <c r="B48" s="11" t="s">
        <v>21</v>
      </c>
      <c r="C48" s="20">
        <v>15</v>
      </c>
      <c r="D48" s="20">
        <v>15</v>
      </c>
      <c r="E48" s="20">
        <v>15</v>
      </c>
      <c r="F48" s="20">
        <v>15</v>
      </c>
      <c r="G48" s="20">
        <v>15</v>
      </c>
      <c r="H48" s="20"/>
    </row>
    <row r="49" spans="1:8" x14ac:dyDescent="0.2">
      <c r="A49" s="15" t="s">
        <v>18</v>
      </c>
      <c r="B49" s="12" t="s">
        <v>21</v>
      </c>
      <c r="C49" s="20">
        <v>12</v>
      </c>
      <c r="D49" s="13">
        <v>19</v>
      </c>
      <c r="E49" s="20">
        <v>17</v>
      </c>
      <c r="F49" s="20">
        <v>11</v>
      </c>
      <c r="G49" s="20">
        <v>2</v>
      </c>
      <c r="H49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165"/>
  <sheetViews>
    <sheetView topLeftCell="A147" workbookViewId="0">
      <selection activeCell="B165" sqref="B165:M16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APR</v>
      </c>
      <c r="C1" t="str">
        <f>IF(ALL!D1&gt;0,ALL!D1,"")</f>
        <v>MAY</v>
      </c>
      <c r="D1" t="str">
        <f>IF(ALL!E1&gt;0,ALL!E1,"")</f>
        <v>JUN</v>
      </c>
      <c r="E1" t="str">
        <f>IF(ALL!F1&gt;0,ALL!F1,"")</f>
        <v>JUL</v>
      </c>
      <c r="F1" t="str">
        <f>IF(ALL!G1&gt;0,ALL!G1,"")</f>
        <v>AUG</v>
      </c>
      <c r="G1" t="str">
        <f>IF(ALL!H1&gt;0,ALL!H1,"")</f>
        <v>SEP</v>
      </c>
      <c r="H1" t="str">
        <f>IF(ALL!I1&gt;0,ALL!I1,"")</f>
        <v>OCT</v>
      </c>
      <c r="I1" t="str">
        <f>IF(ALL!J1&gt;0,ALL!J1,"")</f>
        <v>NOV</v>
      </c>
      <c r="J1" t="str">
        <f>IF(ALL!K1&gt;0,ALL!K1,"")</f>
        <v>DEC</v>
      </c>
      <c r="K1" t="str">
        <f>IF(ALL!L1&gt;0,ALL!L1,"")</f>
        <v>JAN'27</v>
      </c>
      <c r="L1" t="str">
        <f>IF(ALL!M1&gt;0,ALL!M1,"")</f>
        <v>FEB'27</v>
      </c>
      <c r="M1" t="str">
        <f>IF(ALL!N1&gt;0,ALL!N1,"")</f>
        <v>MAR'27</v>
      </c>
      <c r="N1" t="str">
        <f>IF(ALL!O1&gt;0,ALL!O1,"")</f>
        <v>APR'27</v>
      </c>
      <c r="O1" t="str">
        <f>IF(ALL!P1&gt;0,ALL!P1,"")</f>
        <v>MAY'27</v>
      </c>
      <c r="P1" t="str">
        <f>IF(ALL!Q1&gt;0,ALL!Q1,"")</f>
        <v>JUN'27</v>
      </c>
    </row>
    <row r="2" spans="1:16" x14ac:dyDescent="0.2">
      <c r="A2" t="str">
        <f>IF(ALL!B2&gt;0,ALL!B2,"")</f>
        <v>Staff</v>
      </c>
      <c r="B2">
        <f>IF(ALL!C2&gt;0,ALL!C2,"")</f>
        <v>150</v>
      </c>
      <c r="C2">
        <f>IF(ALL!D2&gt;0,ALL!D2,"")</f>
        <v>153</v>
      </c>
      <c r="D2">
        <f>IF(ALL!E2&gt;0,ALL!E2,"")</f>
        <v>155</v>
      </c>
      <c r="E2">
        <f>IF(ALL!F2&gt;0,ALL!F2,"")</f>
        <v>155</v>
      </c>
      <c r="F2">
        <f>IF(ALL!G2&gt;0,ALL!G2,"")</f>
        <v>155</v>
      </c>
      <c r="G2">
        <f>IF(ALL!H2&gt;0,ALL!H2,"")</f>
        <v>155</v>
      </c>
      <c r="H2">
        <f>IF(ALL!I2&gt;0,ALL!I2,"")</f>
        <v>154</v>
      </c>
      <c r="I2">
        <f>IF(ALL!J2&gt;0,ALL!J2,"")</f>
        <v>154</v>
      </c>
      <c r="J2">
        <f>IF(ALL!K2&gt;0,ALL!K2,"")</f>
        <v>154</v>
      </c>
      <c r="K2">
        <f>IF(ALL!L2&gt;0,ALL!L2,"")</f>
        <v>156</v>
      </c>
      <c r="L2">
        <f>IF(ALL!M2&gt;0,ALL!M2,"")</f>
        <v>157</v>
      </c>
      <c r="M2">
        <f>IF(ALL!N2&gt;0,ALL!N2,"")</f>
        <v>157</v>
      </c>
      <c r="N2">
        <f>IF(ALL!O2&gt;0,ALL!O2,"")</f>
        <v>157</v>
      </c>
      <c r="O2">
        <f>IF(ALL!P2&gt;0,ALL!P2,"")</f>
        <v>157</v>
      </c>
      <c r="P2">
        <f>IF(ALL!Q2&gt;0,ALL!Q2,"")</f>
        <v>157</v>
      </c>
    </row>
    <row r="3" spans="1:16" x14ac:dyDescent="0.2">
      <c r="A3" t="str">
        <f>IF(ALL!B3&gt;0,ALL!B3,"")</f>
        <v>Staff AVG</v>
      </c>
      <c r="B3">
        <f>IF(ALL!C3&gt;0,ALL!C3,"")</f>
        <v>155</v>
      </c>
      <c r="C3">
        <f>IF(ALL!D3&gt;0,ALL!D3,"")</f>
        <v>155</v>
      </c>
      <c r="D3">
        <f>IF(ALL!E3&gt;0,ALL!E3,"")</f>
        <v>155</v>
      </c>
      <c r="E3">
        <f>IF(ALL!F3&gt;0,ALL!F3,"")</f>
        <v>155</v>
      </c>
      <c r="F3">
        <f>IF(ALL!G3&gt;0,ALL!G3,"")</f>
        <v>155</v>
      </c>
      <c r="G3">
        <f>IF(ALL!H3&gt;0,ALL!H3,"")</f>
        <v>155</v>
      </c>
      <c r="H3">
        <f>IF(ALL!I3&gt;0,ALL!I3,"")</f>
        <v>155</v>
      </c>
      <c r="I3">
        <f>IF(ALL!J3&gt;0,ALL!J3,"")</f>
        <v>155</v>
      </c>
      <c r="J3">
        <f>IF(ALL!K3&gt;0,ALL!K3,"")</f>
        <v>155</v>
      </c>
      <c r="K3">
        <f>IF(ALL!L3&gt;0,ALL!L3,"")</f>
        <v>155</v>
      </c>
      <c r="L3">
        <f>IF(ALL!M3&gt;0,ALL!M3,"")</f>
        <v>155</v>
      </c>
      <c r="M3">
        <f>IF(ALL!N3&gt;0,ALL!N3,"")</f>
        <v>155</v>
      </c>
      <c r="N3">
        <f>IF(ALL!O3&gt;0,ALL!O3,"")</f>
        <v>155</v>
      </c>
      <c r="O3">
        <f>IF(ALL!P3&gt;0,ALL!P3,"")</f>
        <v>155</v>
      </c>
      <c r="P3">
        <f>IF(ALL!Q3&gt;0,ALL!Q3,"")</f>
        <v>155</v>
      </c>
    </row>
    <row r="4" spans="1:16" x14ac:dyDescent="0.2">
      <c r="A4" t="str">
        <f>IF(ALL!B4&gt;0,ALL!B4,"")</f>
        <v>Plan</v>
      </c>
      <c r="B4">
        <f>IF(ALL!C4&gt;0,ALL!C4,"")</f>
        <v>141</v>
      </c>
      <c r="C4">
        <f>IF(ALL!D4&gt;0,ALL!D4,"")</f>
        <v>145</v>
      </c>
      <c r="D4">
        <f>IF(ALL!E4&gt;0,ALL!E4,"")</f>
        <v>142</v>
      </c>
      <c r="E4">
        <f>IF(ALL!F4&gt;0,ALL!F4,"")</f>
        <v>138</v>
      </c>
      <c r="F4">
        <f>IF(ALL!G4&gt;0,ALL!G4,"")</f>
        <v>146</v>
      </c>
      <c r="G4">
        <f>IF(ALL!H4&gt;0,ALL!H4,"")</f>
        <v>142</v>
      </c>
      <c r="H4">
        <f>IF(ALL!I4&gt;0,ALL!I4,"")</f>
        <v>138</v>
      </c>
      <c r="I4">
        <f>IF(ALL!J4&gt;0,ALL!J4,"")</f>
        <v>135</v>
      </c>
      <c r="J4">
        <f>IF(ALL!K4&gt;0,ALL!K4,"")</f>
        <v>133</v>
      </c>
      <c r="K4">
        <f>IF(ALL!L4&gt;0,ALL!L4,"")</f>
        <v>107</v>
      </c>
      <c r="L4">
        <f>IF(ALL!M4&gt;0,ALL!M4,"")</f>
        <v>107</v>
      </c>
      <c r="M4">
        <f>IF(ALL!N4&gt;0,ALL!N4,"")</f>
        <v>107</v>
      </c>
      <c r="N4">
        <f>IF(ALL!O4&gt;0,ALL!O4,"")</f>
        <v>88</v>
      </c>
      <c r="O4">
        <f>IF(ALL!P4&gt;0,ALL!P4,"")</f>
        <v>86</v>
      </c>
      <c r="P4">
        <f>IF(ALL!Q4&gt;0,ALL!Q4,"")</f>
        <v>85</v>
      </c>
    </row>
    <row r="5" spans="1:16" x14ac:dyDescent="0.2">
      <c r="A5" t="str">
        <f>IF(ALL!B11&gt;0,ALL!B11,"")</f>
        <v>PAYROLL</v>
      </c>
      <c r="B5">
        <f>IF(ALL!C11&gt;0,ALL!C11,"")</f>
        <v>110</v>
      </c>
      <c r="C5">
        <f>IF(ALL!D11&gt;0,ALL!D11,"")</f>
        <v>111</v>
      </c>
      <c r="D5">
        <f>IF(ALL!E11&gt;0,ALL!E11,"")</f>
        <v>107</v>
      </c>
      <c r="E5">
        <f>IF(ALL!F11&gt;0,ALL!F11,"")</f>
        <v>104</v>
      </c>
      <c r="F5">
        <f>IF(ALL!G11&gt;0,ALL!G11,"")</f>
        <v>107</v>
      </c>
      <c r="G5">
        <f>IF(ALL!H11&gt;0,ALL!H11,"")</f>
        <v>103</v>
      </c>
      <c r="H5">
        <f>IF(ALL!I11&gt;0,ALL!I11,"")</f>
        <v>102</v>
      </c>
      <c r="I5">
        <f>IF(ALL!J11&gt;0,ALL!J11,"")</f>
        <v>100</v>
      </c>
      <c r="J5">
        <f>IF(ALL!K11&gt;0,ALL!K11,"")</f>
        <v>99</v>
      </c>
      <c r="K5">
        <f>IF(ALL!L11&gt;0,ALL!L11,"")</f>
        <v>85</v>
      </c>
      <c r="L5">
        <f>IF(ALL!M11&gt;0,ALL!M11,"")</f>
        <v>85</v>
      </c>
      <c r="M5">
        <f>IF(ALL!N11&gt;0,ALL!N11,"")</f>
        <v>84</v>
      </c>
      <c r="N5">
        <f>IF(ALL!O11&gt;0,ALL!O11,"")</f>
        <v>75</v>
      </c>
      <c r="O5">
        <f>IF(ALL!P11&gt;0,ALL!P11,"")</f>
        <v>73</v>
      </c>
      <c r="P5">
        <f>IF(ALL!Q11&gt;0,ALL!Q11,"")</f>
        <v>72</v>
      </c>
    </row>
    <row r="6" spans="1:16" x14ac:dyDescent="0.2">
      <c r="A6" t="str">
        <f>IF(ALL!B15&gt;0,ALL!B15,"")</f>
        <v>CONTRACTOR</v>
      </c>
      <c r="B6">
        <f>IF(ALL!C15&gt;0,ALL!C15,"")</f>
        <v>21</v>
      </c>
      <c r="C6">
        <f>IF(ALL!D15&gt;0,ALL!D15,"")</f>
        <v>21</v>
      </c>
      <c r="D6">
        <f>IF(ALL!E15&gt;0,ALL!E15,"")</f>
        <v>20</v>
      </c>
      <c r="E6">
        <f>IF(ALL!F15&gt;0,ALL!F15,"")</f>
        <v>18</v>
      </c>
      <c r="F6">
        <f>IF(ALL!G15&gt;0,ALL!G15,"")</f>
        <v>19</v>
      </c>
      <c r="G6">
        <f>IF(ALL!H15&gt;0,ALL!H15,"")</f>
        <v>18</v>
      </c>
      <c r="H6">
        <f>IF(ALL!I15&gt;0,ALL!I15,"")</f>
        <v>18</v>
      </c>
      <c r="I6">
        <f>IF(ALL!J15&gt;0,ALL!J15,"")</f>
        <v>18</v>
      </c>
      <c r="J6">
        <f>IF(ALL!K15&gt;0,ALL!K15,"")</f>
        <v>18</v>
      </c>
      <c r="K6">
        <f>IF(ALL!L15&gt;0,ALL!L15,"")</f>
        <v>11</v>
      </c>
      <c r="L6">
        <f>IF(ALL!M15&gt;0,ALL!M15,"")</f>
        <v>11</v>
      </c>
      <c r="M6">
        <f>IF(ALL!N15&gt;0,ALL!N15,"")</f>
        <v>11</v>
      </c>
      <c r="N6">
        <f>IF(ALL!O15&gt;0,ALL!O15,"")</f>
        <v>10</v>
      </c>
      <c r="O6">
        <f>IF(ALL!P15&gt;0,ALL!P15,"")</f>
        <v>10</v>
      </c>
      <c r="P6">
        <f>IF(ALL!Q15&gt;0,ALL!Q15,"")</f>
        <v>10</v>
      </c>
    </row>
    <row r="7" spans="1:16" x14ac:dyDescent="0.2">
      <c r="A7" t="str">
        <f>IF(ALL!B19&gt;0,ALL!B19,"")</f>
        <v>OUTSOURCE</v>
      </c>
      <c r="B7">
        <f>IF(ALL!C19&gt;0,ALL!C19,"")</f>
        <v>9</v>
      </c>
      <c r="C7">
        <f>IF(ALL!D19&gt;0,ALL!D19,"")</f>
        <v>13</v>
      </c>
      <c r="D7">
        <f>IF(ALL!E19&gt;0,ALL!E19,"")</f>
        <v>15</v>
      </c>
      <c r="E7">
        <f>IF(ALL!F19&gt;0,ALL!F19,"")</f>
        <v>16</v>
      </c>
      <c r="F7">
        <f>IF(ALL!G19&gt;0,ALL!G19,"")</f>
        <v>20</v>
      </c>
      <c r="G7">
        <f>IF(ALL!H19&gt;0,ALL!H19,"")</f>
        <v>20</v>
      </c>
      <c r="H7">
        <f>IF(ALL!I19&gt;0,ALL!I19,"")</f>
        <v>18</v>
      </c>
      <c r="I7">
        <f>IF(ALL!J19&gt;0,ALL!J19,"")</f>
        <v>16</v>
      </c>
      <c r="J7">
        <f>IF(ALL!K19&gt;0,ALL!K19,"")</f>
        <v>16</v>
      </c>
      <c r="K7">
        <f>IF(ALL!L19&gt;0,ALL!L19,"")</f>
        <v>11</v>
      </c>
      <c r="L7">
        <f>IF(ALL!M19&gt;0,ALL!M19,"")</f>
        <v>11</v>
      </c>
      <c r="M7">
        <f>IF(ALL!N19&gt;0,ALL!N19,"")</f>
        <v>11</v>
      </c>
      <c r="N7">
        <f>IF(ALL!O19&gt;0,ALL!O19,"")</f>
        <v>2</v>
      </c>
      <c r="O7">
        <f>IF(ALL!P19&gt;0,ALL!P19,"")</f>
        <v>2</v>
      </c>
      <c r="P7">
        <f>IF(ALL!Q19&gt;0,ALL!Q19,"")</f>
        <v>2</v>
      </c>
    </row>
    <row r="11" spans="1:16" x14ac:dyDescent="0.2">
      <c r="B11" t="str">
        <f>IF(ALL!C1&gt;0,ALL!C1,"")</f>
        <v>APR</v>
      </c>
      <c r="C11" t="str">
        <f>IF(ALL!D1&gt;0,ALL!D1,"")</f>
        <v>MAY</v>
      </c>
      <c r="D11" t="str">
        <f>IF(ALL!E1&gt;0,ALL!E1,"")</f>
        <v>JUN</v>
      </c>
      <c r="E11" t="str">
        <f>IF(ALL!F1&gt;0,ALL!F1,"")</f>
        <v>JUL</v>
      </c>
      <c r="F11" t="str">
        <f>IF(ALL!G1&gt;0,ALL!G1,"")</f>
        <v>AUG</v>
      </c>
      <c r="G11" t="str">
        <f>IF(ALL!H1&gt;0,ALL!H1,"")</f>
        <v>SEP</v>
      </c>
      <c r="H11" t="str">
        <f>IF(ALL!I1&gt;0,ALL!I1,"")</f>
        <v>OCT</v>
      </c>
      <c r="I11" t="str">
        <f>IF(ALL!J1&gt;0,ALL!J1,"")</f>
        <v>NOV</v>
      </c>
      <c r="J11" t="str">
        <f>IF(ALL!K1&gt;0,ALL!K1,"")</f>
        <v>DEC</v>
      </c>
      <c r="K11" t="str">
        <f>IF(ALL!L1&gt;0,ALL!L1,"")</f>
        <v>JAN'27</v>
      </c>
      <c r="L11" t="str">
        <f>IF(ALL!M1&gt;0,ALL!M1,"")</f>
        <v>FEB'27</v>
      </c>
      <c r="M11" t="str">
        <f>IF(ALL!N1&gt;0,ALL!N1,"")</f>
        <v>MAR'27</v>
      </c>
      <c r="N11" t="str">
        <f>IF(ALL!O1&gt;0,ALL!O1,"")</f>
        <v>APR'27</v>
      </c>
      <c r="O11" t="str">
        <f>IF(ALL!P1&gt;0,ALL!P1,"")</f>
        <v>MAY'27</v>
      </c>
      <c r="P11" t="str">
        <f>IF(ALL!Q1&gt;0,ALL!Q1,"")</f>
        <v>JUN'27</v>
      </c>
    </row>
    <row r="12" spans="1:16" x14ac:dyDescent="0.2">
      <c r="A12" t="str">
        <f>IF(ALL!A9&gt;0,ALL!A9,"")</f>
        <v>Staff</v>
      </c>
      <c r="B12">
        <f>IF(ALL!C9&gt;0,ALL!C9,"")</f>
        <v>117</v>
      </c>
      <c r="C12">
        <f>IF(ALL!D9&gt;0,ALL!D9,"")</f>
        <v>118</v>
      </c>
      <c r="D12">
        <f>IF(ALL!E9&gt;0,ALL!E9,"")</f>
        <v>117</v>
      </c>
      <c r="E12">
        <f>IF(ALL!F9&gt;0,ALL!F9,"")</f>
        <v>116</v>
      </c>
      <c r="F12">
        <f>IF(ALL!G9&gt;0,ALL!G9,"")</f>
        <v>116</v>
      </c>
      <c r="G12">
        <f>IF(ALL!H9&gt;0,ALL!H9,"")</f>
        <v>116</v>
      </c>
      <c r="H12">
        <f>IF(ALL!I9&gt;0,ALL!I9,"")</f>
        <v>115</v>
      </c>
      <c r="I12">
        <f>IF(ALL!J9&gt;0,ALL!J9,"")</f>
        <v>115</v>
      </c>
      <c r="J12">
        <f>IF(ALL!K9&gt;0,ALL!K9,"")</f>
        <v>115</v>
      </c>
      <c r="K12">
        <f>IF(ALL!L9&gt;0,ALL!L9,"")</f>
        <v>117</v>
      </c>
      <c r="L12">
        <f>IF(ALL!M9&gt;0,ALL!M9,"")</f>
        <v>118</v>
      </c>
      <c r="M12">
        <f>IF(ALL!N9&gt;0,ALL!N9,"")</f>
        <v>118</v>
      </c>
      <c r="N12">
        <f>IF(ALL!O9&gt;0,ALL!O9,"")</f>
        <v>118</v>
      </c>
      <c r="O12">
        <f>IF(ALL!P9&gt;0,ALL!P9,"")</f>
        <v>118</v>
      </c>
      <c r="P12">
        <f>IF(ALL!Q9&gt;0,ALL!Q9,"")</f>
        <v>118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117</v>
      </c>
      <c r="F13">
        <f>IF(ALL!G10&gt;0,ALL!G10,"")</f>
        <v>117</v>
      </c>
      <c r="G13">
        <f>IF(ALL!H10&gt;0,ALL!H10,"")</f>
        <v>117</v>
      </c>
      <c r="H13">
        <f>IF(ALL!I10&gt;0,ALL!I10,"")</f>
        <v>117</v>
      </c>
      <c r="I13">
        <f>IF(ALL!J10&gt;0,ALL!J10,"")</f>
        <v>117</v>
      </c>
      <c r="J13">
        <f>IF(ALL!K10&gt;0,ALL!K10,"")</f>
        <v>117</v>
      </c>
      <c r="K13">
        <f>IF(ALL!L10&gt;0,ALL!L10,"")</f>
        <v>117</v>
      </c>
      <c r="L13">
        <f>IF(ALL!M10&gt;0,ALL!M10,"")</f>
        <v>117</v>
      </c>
      <c r="M13">
        <f>IF(ALL!N10&gt;0,ALL!N10,"")</f>
        <v>117</v>
      </c>
      <c r="N13">
        <f>IF(ALL!O10&gt;0,ALL!O10,"")</f>
        <v>117</v>
      </c>
      <c r="O13">
        <f>IF(ALL!P10&gt;0,ALL!P10,"")</f>
        <v>117</v>
      </c>
      <c r="P13">
        <f>IF(ALL!Q10&gt;0,ALL!Q10,"")</f>
        <v>117</v>
      </c>
    </row>
    <row r="14" spans="1:16" x14ac:dyDescent="0.2">
      <c r="A14" t="str">
        <f>IF(ALL!A11&gt;0,ALL!A11,"")</f>
        <v>Plan</v>
      </c>
      <c r="B14">
        <f>IF(ALL!C11&gt;0,ALL!C11,"")</f>
        <v>110</v>
      </c>
      <c r="C14">
        <f>IF(ALL!D11&gt;0,ALL!D11,"")</f>
        <v>111</v>
      </c>
      <c r="D14">
        <f>IF(ALL!E11&gt;0,ALL!E11,"")</f>
        <v>107</v>
      </c>
      <c r="E14">
        <f>IF(ALL!F11&gt;0,ALL!F11,"")</f>
        <v>104</v>
      </c>
      <c r="F14">
        <f>IF(ALL!G11&gt;0,ALL!G11,"")</f>
        <v>107</v>
      </c>
      <c r="G14">
        <f>IF(ALL!H11&gt;0,ALL!H11,"")</f>
        <v>103</v>
      </c>
      <c r="H14">
        <f>IF(ALL!I11&gt;0,ALL!I11,"")</f>
        <v>102</v>
      </c>
      <c r="I14">
        <f>IF(ALL!J11&gt;0,ALL!J11,"")</f>
        <v>100</v>
      </c>
      <c r="J14">
        <f>IF(ALL!K11&gt;0,ALL!K11,"")</f>
        <v>99</v>
      </c>
      <c r="K14">
        <f>IF(ALL!L11&gt;0,ALL!L11,"")</f>
        <v>85</v>
      </c>
      <c r="L14">
        <f>IF(ALL!M11&gt;0,ALL!M11,"")</f>
        <v>85</v>
      </c>
      <c r="M14">
        <f>IF(ALL!N11&gt;0,ALL!N11,"")</f>
        <v>84</v>
      </c>
      <c r="N14">
        <f>IF(ALL!O11&gt;0,ALL!O11,"")</f>
        <v>75</v>
      </c>
      <c r="O14">
        <f>IF(ALL!P11&gt;0,ALL!P11,"")</f>
        <v>73</v>
      </c>
      <c r="P14">
        <f>IF(ALL!Q11&gt;0,ALL!Q11,"")</f>
        <v>72</v>
      </c>
    </row>
    <row r="21" spans="1:16" x14ac:dyDescent="0.2">
      <c r="B21" t="str">
        <f>IF(ALL!C1&gt;0,ALL!C1,"")</f>
        <v>APR</v>
      </c>
      <c r="C21" t="str">
        <f>IF(ALL!D1&gt;0,ALL!D1,"")</f>
        <v>MAY</v>
      </c>
      <c r="D21" t="str">
        <f>IF(ALL!E1&gt;0,ALL!E1,"")</f>
        <v>JUN</v>
      </c>
      <c r="E21" t="str">
        <f>IF(ALL!F1&gt;0,ALL!F1,"")</f>
        <v>JUL</v>
      </c>
      <c r="F21" t="str">
        <f>IF(ALL!G1&gt;0,ALL!G1,"")</f>
        <v>AUG</v>
      </c>
      <c r="G21" t="str">
        <f>IF(ALL!H1&gt;0,ALL!H1,"")</f>
        <v>SEP</v>
      </c>
      <c r="H21" t="str">
        <f>IF(ALL!I1&gt;0,ALL!I1,"")</f>
        <v>OCT</v>
      </c>
      <c r="I21" t="str">
        <f>IF(ALL!J1&gt;0,ALL!J1,"")</f>
        <v>NOV</v>
      </c>
      <c r="J21" t="str">
        <f>IF(ALL!K1&gt;0,ALL!K1,"")</f>
        <v>DEC</v>
      </c>
      <c r="K21" t="str">
        <f>IF(ALL!L1&gt;0,ALL!L1,"")</f>
        <v>JAN'27</v>
      </c>
      <c r="L21" t="str">
        <f>IF(ALL!M1&gt;0,ALL!M1,"")</f>
        <v>FEB'27</v>
      </c>
      <c r="M21" t="str">
        <f>IF(ALL!N1&gt;0,ALL!N1,"")</f>
        <v>MAR'27</v>
      </c>
      <c r="N21" t="str">
        <f>IF(ALL!O1&gt;0,ALL!O1,"")</f>
        <v>APR'27</v>
      </c>
      <c r="O21" t="str">
        <f>IF(ALL!P1&gt;0,ALL!P1,"")</f>
        <v>MAY'27</v>
      </c>
      <c r="P21" t="str">
        <f>IF(ALL!Q1&gt;0,ALL!Q1,"")</f>
        <v>JUN'27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21</v>
      </c>
      <c r="C24">
        <f>IF(ALL!D15&gt;0,ALL!D15,"")</f>
        <v>21</v>
      </c>
      <c r="D24">
        <f>IF(ALL!E15&gt;0,ALL!E15,"")</f>
        <v>20</v>
      </c>
      <c r="E24">
        <f>IF(ALL!F15&gt;0,ALL!F15,"")</f>
        <v>18</v>
      </c>
      <c r="F24">
        <f>IF(ALL!G15&gt;0,ALL!G15,"")</f>
        <v>19</v>
      </c>
      <c r="G24">
        <f>IF(ALL!H15&gt;0,ALL!H15,"")</f>
        <v>18</v>
      </c>
      <c r="H24">
        <f>IF(ALL!I15&gt;0,ALL!I15,"")</f>
        <v>18</v>
      </c>
      <c r="I24">
        <f>IF(ALL!J15&gt;0,ALL!J15,"")</f>
        <v>18</v>
      </c>
      <c r="J24">
        <f>IF(ALL!K15&gt;0,ALL!K15,"")</f>
        <v>18</v>
      </c>
      <c r="K24">
        <f>IF(ALL!L15&gt;0,ALL!L15,"")</f>
        <v>11</v>
      </c>
      <c r="L24">
        <f>IF(ALL!M15&gt;0,ALL!M15,"")</f>
        <v>11</v>
      </c>
      <c r="M24">
        <f>IF(ALL!N15&gt;0,ALL!N15,"")</f>
        <v>11</v>
      </c>
      <c r="N24">
        <f>IF(ALL!O15&gt;0,ALL!O15,"")</f>
        <v>10</v>
      </c>
      <c r="O24">
        <f>IF(ALL!P15&gt;0,ALL!P15,"")</f>
        <v>10</v>
      </c>
      <c r="P24">
        <f>IF(ALL!Q15&gt;0,ALL!Q15,"")</f>
        <v>10</v>
      </c>
    </row>
    <row r="31" spans="1:16" x14ac:dyDescent="0.2">
      <c r="B31" t="str">
        <f>IF(ALL!C1&gt;0,ALL!C1,"")</f>
        <v>APR</v>
      </c>
      <c r="C31" t="str">
        <f>IF(ALL!D1&gt;0,ALL!D1,"")</f>
        <v>MAY</v>
      </c>
      <c r="D31" t="str">
        <f>IF(ALL!E1&gt;0,ALL!E1,"")</f>
        <v>JUN</v>
      </c>
      <c r="E31" t="str">
        <f>IF(ALL!F1&gt;0,ALL!F1,"")</f>
        <v>JUL</v>
      </c>
      <c r="F31" t="str">
        <f>IF(ALL!G1&gt;0,ALL!G1,"")</f>
        <v>AUG</v>
      </c>
      <c r="G31" t="str">
        <f>IF(ALL!H1&gt;0,ALL!H1,"")</f>
        <v>SEP</v>
      </c>
      <c r="H31" t="str">
        <f>IF(ALL!I1&gt;0,ALL!I1,"")</f>
        <v>OCT</v>
      </c>
      <c r="I31" t="str">
        <f>IF(ALL!J1&gt;0,ALL!J1,"")</f>
        <v>NOV</v>
      </c>
      <c r="J31" t="str">
        <f>IF(ALL!K1&gt;0,ALL!K1,"")</f>
        <v>DEC</v>
      </c>
      <c r="K31" t="str">
        <f>IF(ALL!L1&gt;0,ALL!L1,"")</f>
        <v>JAN'27</v>
      </c>
      <c r="L31" t="str">
        <f>IF(ALL!M1&gt;0,ALL!M1,"")</f>
        <v>FEB'27</v>
      </c>
      <c r="M31" t="str">
        <f>IF(ALL!N1&gt;0,ALL!N1,"")</f>
        <v>MAR'27</v>
      </c>
      <c r="N31" t="str">
        <f>IF(ALL!O1&gt;0,ALL!O1,"")</f>
        <v>APR'27</v>
      </c>
      <c r="O31" t="str">
        <f>IF(ALL!P1&gt;0,ALL!P1,"")</f>
        <v>MAY'27</v>
      </c>
      <c r="P31" t="str">
        <f>IF(ALL!Q1&gt;0,ALL!Q1,"")</f>
        <v>JUN'27</v>
      </c>
    </row>
    <row r="32" spans="1:16" x14ac:dyDescent="0.2">
      <c r="A32" t="str">
        <f>IF(ALL!A17&gt;0,ALL!A17,"")</f>
        <v>Staff</v>
      </c>
      <c r="B32">
        <f>IF(ALL!C17&gt;0,ALL!C17,"")</f>
        <v>12</v>
      </c>
      <c r="C32">
        <f>IF(ALL!D17&gt;0,ALL!D17,"")</f>
        <v>14</v>
      </c>
      <c r="D32">
        <f>IF(ALL!E17&gt;0,ALL!E17,"")</f>
        <v>17</v>
      </c>
      <c r="E32">
        <f>IF(ALL!F17&gt;0,ALL!F17,"")</f>
        <v>18</v>
      </c>
      <c r="F32">
        <f>IF(ALL!G17&gt;0,ALL!G17,"")</f>
        <v>18</v>
      </c>
      <c r="G32">
        <f>IF(ALL!H17&gt;0,ALL!H17,"")</f>
        <v>18</v>
      </c>
      <c r="H32">
        <f>IF(ALL!I17&gt;0,ALL!I17,"")</f>
        <v>18</v>
      </c>
      <c r="I32">
        <f>IF(ALL!J17&gt;0,ALL!J17,"")</f>
        <v>18</v>
      </c>
      <c r="J32">
        <f>IF(ALL!K17&gt;0,ALL!K17,"")</f>
        <v>18</v>
      </c>
      <c r="K32">
        <f>IF(ALL!L17&gt;0,ALL!L17,"")</f>
        <v>18</v>
      </c>
      <c r="L32">
        <f>IF(ALL!M17&gt;0,ALL!M17,"")</f>
        <v>18</v>
      </c>
      <c r="M32">
        <f>IF(ALL!N17&gt;0,ALL!N17,"")</f>
        <v>18</v>
      </c>
      <c r="N32">
        <f>IF(ALL!O17&gt;0,ALL!O17,"")</f>
        <v>18</v>
      </c>
      <c r="O32">
        <f>IF(ALL!P17&gt;0,ALL!P17,"")</f>
        <v>18</v>
      </c>
      <c r="P32">
        <f>IF(ALL!Q17&gt;0,ALL!Q17,"")</f>
        <v>18</v>
      </c>
    </row>
    <row r="33" spans="1:16" x14ac:dyDescent="0.2">
      <c r="A33" t="str">
        <f>IF(ALL!A18&gt;0,ALL!A18,"")</f>
        <v>Staff AVG</v>
      </c>
      <c r="B33">
        <f>IF(ALL!C18&gt;0,ALL!C18,"")</f>
        <v>15</v>
      </c>
      <c r="C33">
        <f>IF(ALL!D18&gt;0,ALL!D18,"")</f>
        <v>15</v>
      </c>
      <c r="D33">
        <f>IF(ALL!E18&gt;0,ALL!E18,"")</f>
        <v>15</v>
      </c>
      <c r="E33">
        <f>IF(ALL!F18&gt;0,ALL!F18,"")</f>
        <v>15</v>
      </c>
      <c r="F33">
        <f>IF(ALL!G18&gt;0,ALL!G18,"")</f>
        <v>15</v>
      </c>
      <c r="G33">
        <f>IF(ALL!H18&gt;0,ALL!H18,"")</f>
        <v>15</v>
      </c>
      <c r="H33">
        <f>IF(ALL!I18&gt;0,ALL!I18,"")</f>
        <v>15</v>
      </c>
      <c r="I33">
        <f>IF(ALL!J18&gt;0,ALL!J18,"")</f>
        <v>15</v>
      </c>
      <c r="J33">
        <f>IF(ALL!K18&gt;0,ALL!K18,"")</f>
        <v>15</v>
      </c>
      <c r="K33">
        <f>IF(ALL!L18&gt;0,ALL!L18,"")</f>
        <v>15</v>
      </c>
      <c r="L33">
        <f>IF(ALL!M18&gt;0,ALL!M18,"")</f>
        <v>15</v>
      </c>
      <c r="M33">
        <f>IF(ALL!N18&gt;0,ALL!N18,"")</f>
        <v>15</v>
      </c>
      <c r="N33">
        <f>IF(ALL!O18&gt;0,ALL!O18,"")</f>
        <v>15</v>
      </c>
      <c r="O33">
        <f>IF(ALL!P18&gt;0,ALL!P18,"")</f>
        <v>15</v>
      </c>
      <c r="P33">
        <f>IF(ALL!Q18&gt;0,ALL!Q18,"")</f>
        <v>15</v>
      </c>
    </row>
    <row r="34" spans="1:16" x14ac:dyDescent="0.2">
      <c r="A34" t="str">
        <f>IF(ALL!A19&gt;0,ALL!A19,"")</f>
        <v>Plan</v>
      </c>
      <c r="B34">
        <f>IF(ALL!C19&gt;0,ALL!C19,"")</f>
        <v>9</v>
      </c>
      <c r="C34">
        <f>IF(ALL!D19&gt;0,ALL!D19,"")</f>
        <v>13</v>
      </c>
      <c r="D34">
        <f>IF(ALL!E19&gt;0,ALL!E19,"")</f>
        <v>15</v>
      </c>
      <c r="E34">
        <f>IF(ALL!F19&gt;0,ALL!F19,"")</f>
        <v>16</v>
      </c>
      <c r="F34">
        <f>IF(ALL!G19&gt;0,ALL!G19,"")</f>
        <v>20</v>
      </c>
      <c r="G34">
        <f>IF(ALL!H19&gt;0,ALL!H19,"")</f>
        <v>20</v>
      </c>
      <c r="H34">
        <f>IF(ALL!I19&gt;0,ALL!I19,"")</f>
        <v>18</v>
      </c>
      <c r="I34">
        <f>IF(ALL!J19&gt;0,ALL!J19,"")</f>
        <v>16</v>
      </c>
      <c r="J34">
        <f>IF(ALL!K19&gt;0,ALL!K19,"")</f>
        <v>16</v>
      </c>
      <c r="K34">
        <f>IF(ALL!L19&gt;0,ALL!L19,"")</f>
        <v>11</v>
      </c>
      <c r="L34">
        <f>IF(ALL!M19&gt;0,ALL!M19,"")</f>
        <v>11</v>
      </c>
      <c r="M34">
        <f>IF(ALL!N19&gt;0,ALL!N19,"")</f>
        <v>11</v>
      </c>
      <c r="N34">
        <f>IF(ALL!O19&gt;0,ALL!O19,"")</f>
        <v>2</v>
      </c>
      <c r="O34">
        <f>IF(ALL!P19&gt;0,ALL!P19,"")</f>
        <v>2</v>
      </c>
      <c r="P34">
        <f>IF(ALL!Q19&gt;0,ALL!Q19,"")</f>
        <v>2</v>
      </c>
    </row>
    <row r="41" spans="1:16" x14ac:dyDescent="0.2">
      <c r="B41" t="str">
        <f>IF(ALL!C31&gt;0,ALL!C31,"")</f>
        <v>Q2</v>
      </c>
      <c r="C41" t="str">
        <f>IF(ALL!D31&gt;0,ALL!D31,"")</f>
        <v>Q3</v>
      </c>
      <c r="D41" t="str">
        <f>IF(ALL!E31&gt;0,ALL!E31,"")</f>
        <v>Q4</v>
      </c>
      <c r="E41" t="str">
        <f>IF(ALL!F31&gt;0,ALL!F31,"")</f>
        <v>Q1'27</v>
      </c>
      <c r="F41" t="str">
        <f>IF(ALL!G31&gt;0,ALL!G31,"")</f>
        <v>Q2'27</v>
      </c>
    </row>
    <row r="42" spans="1:16" x14ac:dyDescent="0.2">
      <c r="A42" t="str">
        <f>IF(ALL!B32&gt;0,ALL!B32,"")</f>
        <v>Staff</v>
      </c>
      <c r="B42">
        <f>IF(ALL!C32&gt;0,ALL!C32,"")</f>
        <v>153</v>
      </c>
      <c r="C42">
        <f>IF(ALL!D32&gt;0,ALL!D32,"")</f>
        <v>155</v>
      </c>
      <c r="D42">
        <f>IF(ALL!E32&gt;0,ALL!E32,"")</f>
        <v>154</v>
      </c>
      <c r="E42">
        <f>IF(ALL!F32&gt;0,ALL!F32,"")</f>
        <v>157</v>
      </c>
      <c r="F42">
        <f>IF(ALL!G32&gt;0,ALL!G32,"")</f>
        <v>157</v>
      </c>
    </row>
    <row r="43" spans="1:16" x14ac:dyDescent="0.2">
      <c r="A43" t="str">
        <f>IF(ALL!B33&gt;0,ALL!B33,"")</f>
        <v>Staff AVG</v>
      </c>
      <c r="B43">
        <f>IF(ALL!C33&gt;0,ALL!C33,"")</f>
        <v>155</v>
      </c>
      <c r="C43">
        <f>IF(ALL!D33&gt;0,ALL!D33,"")</f>
        <v>155</v>
      </c>
      <c r="D43">
        <f>IF(ALL!E33&gt;0,ALL!E33,"")</f>
        <v>155</v>
      </c>
      <c r="E43">
        <f>IF(ALL!F33&gt;0,ALL!F33,"")</f>
        <v>155</v>
      </c>
      <c r="F43">
        <f>IF(ALL!G33&gt;0,ALL!G33,"")</f>
        <v>155</v>
      </c>
    </row>
    <row r="44" spans="1:16" x14ac:dyDescent="0.2">
      <c r="A44" t="str">
        <f>IF(ALL!B34&gt;0,ALL!B34,"")</f>
        <v>Plan</v>
      </c>
      <c r="B44">
        <f>IF(ALL!C34&gt;0,ALL!C34,"")</f>
        <v>142</v>
      </c>
      <c r="C44">
        <f>IF(ALL!D34&gt;0,ALL!D34,"")</f>
        <v>142</v>
      </c>
      <c r="D44">
        <f>IF(ALL!E34&gt;0,ALL!E34,"")</f>
        <v>135</v>
      </c>
      <c r="E44">
        <f>IF(ALL!F34&gt;0,ALL!F34,"")</f>
        <v>107</v>
      </c>
      <c r="F44">
        <f>IF(ALL!G34&gt;0,ALL!G34,"")</f>
        <v>86</v>
      </c>
    </row>
    <row r="45" spans="1:16" x14ac:dyDescent="0.2">
      <c r="A45" t="str">
        <f>IF(ALL!B41&gt;0,ALL!B41,"")</f>
        <v>PAYROLL</v>
      </c>
      <c r="B45">
        <f>IF(ALL!C41&gt;0,ALL!C41,"")</f>
        <v>110</v>
      </c>
      <c r="C45">
        <f>IF(ALL!D41&gt;0,ALL!D41,"")</f>
        <v>105</v>
      </c>
      <c r="D45">
        <f>IF(ALL!E41&gt;0,ALL!E41,"")</f>
        <v>101</v>
      </c>
      <c r="E45">
        <f>IF(ALL!F41&gt;0,ALL!F41,"")</f>
        <v>85</v>
      </c>
      <c r="F45">
        <f>IF(ALL!G41&gt;0,ALL!G41,"")</f>
        <v>73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19</v>
      </c>
      <c r="D46">
        <f>IF(ALL!E45&gt;0,ALL!E45,"")</f>
        <v>18</v>
      </c>
      <c r="E46">
        <f>IF(ALL!F45&gt;0,ALL!F45,"")</f>
        <v>11</v>
      </c>
      <c r="F46">
        <f>IF(ALL!G45&gt;0,ALL!G45,"")</f>
        <v>10</v>
      </c>
    </row>
    <row r="47" spans="1:16" x14ac:dyDescent="0.2">
      <c r="A47" t="str">
        <f>IF(ALL!B49&gt;0,ALL!B49,"")</f>
        <v>OUTSOURCE</v>
      </c>
      <c r="B47">
        <f>IF(ALL!C49&gt;0,ALL!C49,"")</f>
        <v>12</v>
      </c>
      <c r="C47">
        <f>IF(ALL!D49&gt;0,ALL!D49,"")</f>
        <v>19</v>
      </c>
      <c r="D47">
        <f>IF(ALL!E49&gt;0,ALL!E49,"")</f>
        <v>17</v>
      </c>
      <c r="E47">
        <f>IF(ALL!F49&gt;0,ALL!F49,"")</f>
        <v>11</v>
      </c>
      <c r="F47">
        <f>IF(ALL!G49&gt;0,ALL!G49,"")</f>
        <v>2</v>
      </c>
    </row>
    <row r="151" spans="1:16" x14ac:dyDescent="0.2">
      <c r="B151" t="str">
        <f>ALL!C1</f>
        <v>APR</v>
      </c>
      <c r="C151" t="str">
        <f>ALL!D1</f>
        <v>MAY</v>
      </c>
      <c r="D151" t="str">
        <f>ALL!E1</f>
        <v>JUN</v>
      </c>
      <c r="E151" t="str">
        <f>ALL!F1</f>
        <v>JUL</v>
      </c>
      <c r="F151" t="str">
        <f>ALL!G1</f>
        <v>AUG</v>
      </c>
      <c r="G151" t="str">
        <f>ALL!H1</f>
        <v>SEP</v>
      </c>
      <c r="H151" t="str">
        <f>ALL!I1</f>
        <v>OCT</v>
      </c>
      <c r="I151" t="str">
        <f>ALL!J1</f>
        <v>NOV</v>
      </c>
      <c r="J151" t="str">
        <f>ALL!K1</f>
        <v>DEC</v>
      </c>
      <c r="K151" t="str">
        <f>ALL!L1</f>
        <v>JAN'27</v>
      </c>
      <c r="L151" t="str">
        <f>ALL!M1</f>
        <v>FEB'27</v>
      </c>
      <c r="M151" t="str">
        <f>ALL!N1</f>
        <v>MAR'27</v>
      </c>
      <c r="N151" t="str">
        <f>ALL!O1</f>
        <v>APR'27</v>
      </c>
      <c r="O151" t="str">
        <f>ALL!P1</f>
        <v>MAY'27</v>
      </c>
      <c r="P151" t="str">
        <f>ALL!Q1</f>
        <v>JUN'27</v>
      </c>
    </row>
    <row r="152" spans="1:16" x14ac:dyDescent="0.2">
      <c r="A152" t="str">
        <f>ALL!B6</f>
        <v>% Plan</v>
      </c>
      <c r="B152">
        <f>ALL!C6*100</f>
        <v>93.81</v>
      </c>
      <c r="C152">
        <f>ALL!D6*100</f>
        <v>94.910000000000011</v>
      </c>
      <c r="D152">
        <f>ALL!E6*100</f>
        <v>91.320000000000007</v>
      </c>
      <c r="E152">
        <f>ALL!F6*100</f>
        <v>88.75</v>
      </c>
      <c r="F152">
        <f>ALL!G6*100</f>
        <v>94.45</v>
      </c>
      <c r="G152">
        <f>ALL!H6*100</f>
        <v>91.47</v>
      </c>
      <c r="H152">
        <f>ALL!I6*100</f>
        <v>89.88000000000001</v>
      </c>
      <c r="I152">
        <f>ALL!J6*100</f>
        <v>87.38</v>
      </c>
      <c r="J152">
        <f>ALL!K6*100</f>
        <v>86.3</v>
      </c>
      <c r="K152">
        <f>ALL!L6*100</f>
        <v>68.88</v>
      </c>
      <c r="L152">
        <f>ALL!M6*100</f>
        <v>68.320000000000007</v>
      </c>
      <c r="M152">
        <f>ALL!N6*100</f>
        <v>68.100000000000009</v>
      </c>
      <c r="N152">
        <f>ALL!O6*100</f>
        <v>56.06</v>
      </c>
      <c r="O152">
        <f>ALL!P6*100</f>
        <v>54.6</v>
      </c>
      <c r="P152">
        <f>ALL!Q6*100</f>
        <v>54.169999999999995</v>
      </c>
    </row>
    <row r="153" spans="1:16" x14ac:dyDescent="0.2">
      <c r="A153" t="str">
        <f>ALL!B7</f>
        <v>Available FTE</v>
      </c>
      <c r="B153">
        <f>ALL!C7</f>
        <v>9</v>
      </c>
      <c r="C153">
        <f>ALL!D7</f>
        <v>8</v>
      </c>
      <c r="D153">
        <f>ALL!E7</f>
        <v>13</v>
      </c>
      <c r="E153">
        <f>ALL!F7</f>
        <v>17</v>
      </c>
      <c r="F153">
        <f>ALL!G7</f>
        <v>9</v>
      </c>
      <c r="G153">
        <f>ALL!H7</f>
        <v>13</v>
      </c>
      <c r="H153">
        <f>ALL!I7</f>
        <v>16</v>
      </c>
      <c r="I153">
        <f>ALL!J7</f>
        <v>19</v>
      </c>
      <c r="J153">
        <f>ALL!K7</f>
        <v>21</v>
      </c>
      <c r="K153">
        <f>ALL!L7</f>
        <v>49</v>
      </c>
      <c r="L153">
        <f>ALL!M7</f>
        <v>50</v>
      </c>
      <c r="M153">
        <f>ALL!N7</f>
        <v>50</v>
      </c>
      <c r="N153">
        <f>ALL!O7</f>
        <v>69</v>
      </c>
      <c r="O153">
        <f>ALL!P7</f>
        <v>71</v>
      </c>
      <c r="P153">
        <f>ALL!Q7</f>
        <v>72</v>
      </c>
    </row>
    <row r="155" spans="1:16" x14ac:dyDescent="0.2">
      <c r="B155" t="str">
        <f>ALL!C31</f>
        <v>Q2</v>
      </c>
      <c r="C155" t="str">
        <f>ALL!D31</f>
        <v>Q3</v>
      </c>
      <c r="D155" t="str">
        <f>ALL!E31</f>
        <v>Q4</v>
      </c>
      <c r="E155" t="str">
        <f>ALL!F31</f>
        <v>Q1'27</v>
      </c>
      <c r="F155" t="str">
        <f>ALL!G31</f>
        <v>Q2'27</v>
      </c>
    </row>
    <row r="156" spans="1:16" x14ac:dyDescent="0.2">
      <c r="A156" t="str">
        <f>ALL!B6</f>
        <v>% Plan</v>
      </c>
      <c r="B156">
        <f>ALL!C36*100</f>
        <v>93.33</v>
      </c>
      <c r="C156">
        <f>ALL!D36*100</f>
        <v>91.56</v>
      </c>
      <c r="D156">
        <f>ALL!E36*100</f>
        <v>87.86</v>
      </c>
      <c r="E156">
        <f>ALL!F36*100</f>
        <v>68.430000000000007</v>
      </c>
      <c r="F156">
        <f>ALL!G36*100</f>
        <v>54.94</v>
      </c>
    </row>
    <row r="157" spans="1:16" x14ac:dyDescent="0.2">
      <c r="A157" t="str">
        <f>ALL!B7</f>
        <v>Available FTE</v>
      </c>
      <c r="B157">
        <f>ALL!C37</f>
        <v>10</v>
      </c>
      <c r="C157">
        <f>ALL!D37</f>
        <v>13</v>
      </c>
      <c r="D157">
        <f>ALL!E37</f>
        <v>19</v>
      </c>
      <c r="E157">
        <f>ALL!F37</f>
        <v>30</v>
      </c>
      <c r="F157">
        <f>ALL!G37</f>
        <v>71</v>
      </c>
    </row>
    <row r="161" spans="1:16" x14ac:dyDescent="0.2">
      <c r="B161" t="str">
        <f>ALL!C1</f>
        <v>APR</v>
      </c>
      <c r="C161" t="str">
        <f>ALL!D1</f>
        <v>MAY</v>
      </c>
      <c r="D161" t="str">
        <f>ALL!E1</f>
        <v>JUN</v>
      </c>
      <c r="E161" t="str">
        <f>ALL!F1</f>
        <v>JUL</v>
      </c>
      <c r="F161" t="str">
        <f>ALL!G1</f>
        <v>AUG</v>
      </c>
      <c r="G161" t="str">
        <f>ALL!H1</f>
        <v>SEP</v>
      </c>
      <c r="H161" t="str">
        <f>ALL!I1</f>
        <v>OCT</v>
      </c>
      <c r="I161" t="str">
        <f>ALL!J1</f>
        <v>NOV</v>
      </c>
      <c r="J161" t="str">
        <f>ALL!K1</f>
        <v>DEC</v>
      </c>
      <c r="K161" t="str">
        <f>ALL!L1</f>
        <v>JAN'27</v>
      </c>
      <c r="L161" t="str">
        <f>ALL!M1</f>
        <v>FEB'27</v>
      </c>
      <c r="M161" t="str">
        <f>ALL!N1</f>
        <v>MAR'27</v>
      </c>
      <c r="N161" t="str">
        <f>ALL!O1</f>
        <v>APR'27</v>
      </c>
      <c r="O161" t="str">
        <f>ALL!P1</f>
        <v>MAY'27</v>
      </c>
      <c r="P161" t="str">
        <f>ALL!Q1</f>
        <v>JUN'27</v>
      </c>
    </row>
    <row r="162" spans="1:16" x14ac:dyDescent="0.2">
      <c r="A162" t="str">
        <f>A2</f>
        <v>Staff</v>
      </c>
      <c r="B162">
        <f t="shared" ref="B162:P162" si="0">B2</f>
        <v>150</v>
      </c>
      <c r="C162">
        <f t="shared" si="0"/>
        <v>153</v>
      </c>
      <c r="D162">
        <f t="shared" si="0"/>
        <v>155</v>
      </c>
      <c r="E162">
        <f t="shared" si="0"/>
        <v>155</v>
      </c>
      <c r="F162">
        <f t="shared" si="0"/>
        <v>155</v>
      </c>
      <c r="G162">
        <f t="shared" si="0"/>
        <v>155</v>
      </c>
      <c r="H162">
        <f t="shared" si="0"/>
        <v>154</v>
      </c>
      <c r="I162">
        <f t="shared" si="0"/>
        <v>154</v>
      </c>
      <c r="J162">
        <f t="shared" si="0"/>
        <v>154</v>
      </c>
      <c r="K162">
        <f t="shared" si="0"/>
        <v>156</v>
      </c>
      <c r="L162">
        <f t="shared" si="0"/>
        <v>157</v>
      </c>
      <c r="M162">
        <f t="shared" si="0"/>
        <v>157</v>
      </c>
      <c r="N162">
        <f t="shared" si="0"/>
        <v>157</v>
      </c>
      <c r="O162">
        <f t="shared" si="0"/>
        <v>157</v>
      </c>
      <c r="P162">
        <f t="shared" si="0"/>
        <v>157</v>
      </c>
    </row>
    <row r="163" spans="1:16" x14ac:dyDescent="0.2">
      <c r="A163" t="str">
        <f>A4</f>
        <v>Plan</v>
      </c>
      <c r="E163">
        <f t="shared" ref="E163:P163" si="1">E4</f>
        <v>138</v>
      </c>
      <c r="F163">
        <f t="shared" si="1"/>
        <v>146</v>
      </c>
      <c r="G163">
        <f t="shared" si="1"/>
        <v>142</v>
      </c>
      <c r="H163">
        <f t="shared" si="1"/>
        <v>138</v>
      </c>
      <c r="I163">
        <f t="shared" si="1"/>
        <v>135</v>
      </c>
      <c r="J163">
        <f t="shared" si="1"/>
        <v>133</v>
      </c>
      <c r="K163">
        <f t="shared" si="1"/>
        <v>107</v>
      </c>
      <c r="L163">
        <f t="shared" si="1"/>
        <v>107</v>
      </c>
      <c r="M163">
        <f t="shared" si="1"/>
        <v>107</v>
      </c>
      <c r="N163">
        <f t="shared" si="1"/>
        <v>88</v>
      </c>
      <c r="O163">
        <f t="shared" si="1"/>
        <v>86</v>
      </c>
      <c r="P163">
        <f t="shared" si="1"/>
        <v>85</v>
      </c>
    </row>
    <row r="164" spans="1:16" x14ac:dyDescent="0.2">
      <c r="A164" t="s">
        <v>122</v>
      </c>
      <c r="B164">
        <f>SUM(ALL!C22:C23)</f>
        <v>137.80000000000001</v>
      </c>
      <c r="C164">
        <f>SUM(ALL!D22:D23)</f>
        <v>143.74</v>
      </c>
      <c r="D164">
        <f>SUM(ALL!E22:E23)</f>
        <v>143.78</v>
      </c>
      <c r="E164">
        <f>SUM(ALL!F22:F23)</f>
        <v>77.14</v>
      </c>
    </row>
    <row r="165" spans="1:16" x14ac:dyDescent="0.2">
      <c r="A165" s="79" t="s">
        <v>194</v>
      </c>
      <c r="B165" s="7">
        <v>143</v>
      </c>
      <c r="C165" s="7">
        <v>147</v>
      </c>
      <c r="D165" s="7">
        <v>144</v>
      </c>
      <c r="E165" s="7">
        <v>143</v>
      </c>
      <c r="F165" s="7">
        <v>140</v>
      </c>
      <c r="G165" s="7">
        <v>139</v>
      </c>
      <c r="H165" s="7">
        <v>132</v>
      </c>
      <c r="I165" s="7">
        <v>131</v>
      </c>
      <c r="J165" s="7">
        <v>130</v>
      </c>
      <c r="K165" s="7">
        <v>105</v>
      </c>
      <c r="L165" s="7">
        <v>104</v>
      </c>
      <c r="M165" s="7">
        <v>104</v>
      </c>
      <c r="N165" s="79"/>
      <c r="O165" s="79"/>
      <c r="P165" s="7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6F7B2-6C11-AE4B-8618-D7F66AEC2E75}">
  <sheetPr>
    <tabColor theme="4"/>
  </sheetPr>
  <dimension ref="A1:Q49"/>
  <sheetViews>
    <sheetView workbookViewId="0">
      <pane ySplit="1" topLeftCell="A2" activePane="bottomLeft" state="frozen"/>
      <selection pane="bottomLeft" activeCell="I23" sqref="I23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22</v>
      </c>
      <c r="B2" s="6" t="s">
        <v>16</v>
      </c>
      <c r="C2" s="7">
        <v>111</v>
      </c>
      <c r="D2" s="7">
        <v>114</v>
      </c>
      <c r="E2" s="7">
        <v>116</v>
      </c>
      <c r="F2" s="7">
        <v>118</v>
      </c>
      <c r="G2" s="7">
        <v>118</v>
      </c>
      <c r="H2" s="7">
        <v>118</v>
      </c>
      <c r="I2" s="7">
        <v>118</v>
      </c>
      <c r="J2" s="7">
        <v>118</v>
      </c>
      <c r="K2" s="7">
        <v>118</v>
      </c>
      <c r="L2" s="7">
        <v>118</v>
      </c>
      <c r="M2" s="7">
        <v>118</v>
      </c>
      <c r="N2" s="7">
        <v>118</v>
      </c>
      <c r="O2" s="7">
        <v>118</v>
      </c>
      <c r="P2" s="7">
        <v>118</v>
      </c>
      <c r="Q2" s="7">
        <v>118</v>
      </c>
    </row>
    <row r="3" spans="1:17" x14ac:dyDescent="0.2">
      <c r="A3" s="11" t="s">
        <v>22</v>
      </c>
      <c r="B3" s="8" t="s">
        <v>17</v>
      </c>
      <c r="C3" s="7">
        <v>117</v>
      </c>
      <c r="D3" s="7">
        <v>117</v>
      </c>
      <c r="E3" s="7">
        <v>117</v>
      </c>
      <c r="F3" s="7">
        <v>117</v>
      </c>
      <c r="G3" s="7">
        <v>117</v>
      </c>
      <c r="H3" s="7">
        <v>117</v>
      </c>
      <c r="I3" s="7">
        <v>117</v>
      </c>
      <c r="J3" s="7">
        <v>117</v>
      </c>
      <c r="K3" s="7">
        <v>117</v>
      </c>
      <c r="L3" s="7">
        <v>117</v>
      </c>
      <c r="M3" s="7">
        <v>117</v>
      </c>
      <c r="N3" s="7">
        <v>117</v>
      </c>
      <c r="O3" s="7">
        <v>117</v>
      </c>
      <c r="P3" s="7">
        <v>117</v>
      </c>
      <c r="Q3" s="7">
        <v>117</v>
      </c>
    </row>
    <row r="4" spans="1:17" x14ac:dyDescent="0.2">
      <c r="A4" s="12" t="s">
        <v>22</v>
      </c>
      <c r="B4" s="9" t="s">
        <v>18</v>
      </c>
      <c r="C4" s="7">
        <v>105</v>
      </c>
      <c r="D4" s="7">
        <v>110</v>
      </c>
      <c r="E4" s="7">
        <v>107</v>
      </c>
      <c r="F4" s="7">
        <v>104</v>
      </c>
      <c r="G4" s="7">
        <v>113</v>
      </c>
      <c r="H4" s="7">
        <v>109</v>
      </c>
      <c r="I4" s="7">
        <v>106</v>
      </c>
      <c r="J4" s="7">
        <v>102</v>
      </c>
      <c r="K4" s="7">
        <v>101</v>
      </c>
      <c r="L4" s="7">
        <v>77</v>
      </c>
      <c r="M4" s="7">
        <v>76</v>
      </c>
      <c r="N4" s="7">
        <v>76</v>
      </c>
      <c r="O4" s="7">
        <v>59</v>
      </c>
      <c r="P4" s="7">
        <v>56</v>
      </c>
      <c r="Q4" s="7">
        <v>56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0.94799999999999995</v>
      </c>
      <c r="D6" s="18">
        <v>0.9677</v>
      </c>
      <c r="E6" s="18">
        <v>0.92479999999999996</v>
      </c>
      <c r="F6" s="18">
        <v>0.87990000000000002</v>
      </c>
      <c r="G6" s="18">
        <v>0.95399999999999996</v>
      </c>
      <c r="H6" s="18">
        <v>0.92249999999999999</v>
      </c>
      <c r="I6" s="18">
        <v>0.8972</v>
      </c>
      <c r="J6" s="18">
        <v>0.8649</v>
      </c>
      <c r="K6" s="18">
        <v>0.85170000000000001</v>
      </c>
      <c r="L6" s="18">
        <v>0.6492</v>
      </c>
      <c r="M6" s="18">
        <v>0.64029999999999998</v>
      </c>
      <c r="N6" s="18">
        <v>0.64390000000000003</v>
      </c>
      <c r="O6" s="18">
        <v>0.49630000000000002</v>
      </c>
      <c r="P6" s="18">
        <v>0.47810000000000002</v>
      </c>
      <c r="Q6" s="18">
        <v>0.4723</v>
      </c>
    </row>
    <row r="7" spans="1:17" x14ac:dyDescent="0.2">
      <c r="A7" s="16"/>
      <c r="B7" s="17" t="s">
        <v>24</v>
      </c>
      <c r="C7" s="19">
        <v>6</v>
      </c>
      <c r="D7" s="19">
        <v>4</v>
      </c>
      <c r="E7" s="19">
        <v>9</v>
      </c>
      <c r="F7" s="19">
        <v>14</v>
      </c>
      <c r="G7" s="19">
        <v>5</v>
      </c>
      <c r="H7" s="19">
        <v>9</v>
      </c>
      <c r="I7" s="19">
        <v>12</v>
      </c>
      <c r="J7" s="19">
        <v>16</v>
      </c>
      <c r="K7" s="19">
        <v>17</v>
      </c>
      <c r="L7" s="19">
        <v>41</v>
      </c>
      <c r="M7" s="19">
        <v>42</v>
      </c>
      <c r="N7" s="19">
        <v>42</v>
      </c>
      <c r="O7" s="19">
        <v>59</v>
      </c>
      <c r="P7" s="19">
        <v>62</v>
      </c>
      <c r="Q7" s="19">
        <v>62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80</v>
      </c>
      <c r="D9" s="7">
        <v>81</v>
      </c>
      <c r="E9" s="7">
        <v>80</v>
      </c>
      <c r="F9" s="7">
        <v>81</v>
      </c>
      <c r="G9" s="7">
        <v>81</v>
      </c>
      <c r="H9" s="7">
        <v>81</v>
      </c>
      <c r="I9" s="7">
        <v>81</v>
      </c>
      <c r="J9" s="7">
        <v>81</v>
      </c>
      <c r="K9" s="7">
        <v>81</v>
      </c>
      <c r="L9" s="7">
        <v>81</v>
      </c>
      <c r="M9" s="7">
        <v>81</v>
      </c>
      <c r="N9" s="7">
        <v>81</v>
      </c>
      <c r="O9" s="7">
        <v>81</v>
      </c>
      <c r="P9" s="7">
        <v>81</v>
      </c>
      <c r="Q9" s="7">
        <v>81</v>
      </c>
    </row>
    <row r="10" spans="1:17" x14ac:dyDescent="0.2">
      <c r="A10" s="8" t="s">
        <v>17</v>
      </c>
      <c r="B10" s="11" t="s">
        <v>19</v>
      </c>
      <c r="C10" s="7">
        <v>81</v>
      </c>
      <c r="D10" s="7">
        <v>81</v>
      </c>
      <c r="E10" s="7">
        <v>81</v>
      </c>
      <c r="F10" s="7">
        <v>81</v>
      </c>
      <c r="G10" s="7">
        <v>81</v>
      </c>
      <c r="H10" s="7">
        <v>81</v>
      </c>
      <c r="I10" s="7">
        <v>81</v>
      </c>
      <c r="J10" s="7">
        <v>81</v>
      </c>
      <c r="K10" s="7">
        <v>81</v>
      </c>
      <c r="L10" s="7">
        <v>81</v>
      </c>
      <c r="M10" s="7">
        <v>81</v>
      </c>
      <c r="N10" s="7">
        <v>81</v>
      </c>
      <c r="O10" s="7">
        <v>81</v>
      </c>
      <c r="P10" s="7">
        <v>81</v>
      </c>
      <c r="Q10" s="7">
        <v>81</v>
      </c>
    </row>
    <row r="11" spans="1:17" x14ac:dyDescent="0.2">
      <c r="A11" s="15" t="s">
        <v>18</v>
      </c>
      <c r="B11" s="12" t="s">
        <v>19</v>
      </c>
      <c r="C11" s="7">
        <v>77</v>
      </c>
      <c r="D11" s="7">
        <v>78</v>
      </c>
      <c r="E11" s="7">
        <v>75</v>
      </c>
      <c r="F11" s="7">
        <v>72</v>
      </c>
      <c r="G11" s="7">
        <v>75</v>
      </c>
      <c r="H11" s="7">
        <v>72</v>
      </c>
      <c r="I11" s="7">
        <v>72</v>
      </c>
      <c r="J11" s="7">
        <v>70</v>
      </c>
      <c r="K11" s="7">
        <v>69</v>
      </c>
      <c r="L11" s="7">
        <v>56</v>
      </c>
      <c r="M11" s="7">
        <v>55</v>
      </c>
      <c r="N11" s="7">
        <v>56</v>
      </c>
      <c r="O11" s="7">
        <v>48</v>
      </c>
      <c r="P11" s="7">
        <v>45</v>
      </c>
      <c r="Q11" s="7">
        <v>45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19</v>
      </c>
      <c r="D13" s="7">
        <v>19</v>
      </c>
      <c r="E13" s="7">
        <v>19</v>
      </c>
      <c r="F13" s="7">
        <v>19</v>
      </c>
      <c r="G13" s="7">
        <v>19</v>
      </c>
      <c r="H13" s="7">
        <v>19</v>
      </c>
      <c r="I13" s="7">
        <v>19</v>
      </c>
      <c r="J13" s="7">
        <v>19</v>
      </c>
      <c r="K13" s="7">
        <v>19</v>
      </c>
      <c r="L13" s="7">
        <v>19</v>
      </c>
      <c r="M13" s="7">
        <v>19</v>
      </c>
      <c r="N13" s="7">
        <v>19</v>
      </c>
      <c r="O13" s="7">
        <v>19</v>
      </c>
      <c r="P13" s="7">
        <v>19</v>
      </c>
      <c r="Q13" s="7">
        <v>19</v>
      </c>
    </row>
    <row r="14" spans="1:17" x14ac:dyDescent="0.2">
      <c r="A14" s="8" t="s">
        <v>17</v>
      </c>
      <c r="B14" s="11" t="s">
        <v>20</v>
      </c>
      <c r="C14" s="7">
        <v>19</v>
      </c>
      <c r="D14" s="7">
        <v>19</v>
      </c>
      <c r="E14" s="7">
        <v>19</v>
      </c>
      <c r="F14" s="7">
        <v>19</v>
      </c>
      <c r="G14" s="7">
        <v>19</v>
      </c>
      <c r="H14" s="7">
        <v>19</v>
      </c>
      <c r="I14" s="7">
        <v>19</v>
      </c>
      <c r="J14" s="7">
        <v>19</v>
      </c>
      <c r="K14" s="7">
        <v>19</v>
      </c>
      <c r="L14" s="7">
        <v>19</v>
      </c>
      <c r="M14" s="7">
        <v>19</v>
      </c>
      <c r="N14" s="7">
        <v>19</v>
      </c>
      <c r="O14" s="7">
        <v>19</v>
      </c>
      <c r="P14" s="7">
        <v>19</v>
      </c>
      <c r="Q14" s="7">
        <v>19</v>
      </c>
    </row>
    <row r="15" spans="1:17" x14ac:dyDescent="0.2">
      <c r="A15" s="15" t="s">
        <v>18</v>
      </c>
      <c r="B15" s="12" t="s">
        <v>20</v>
      </c>
      <c r="C15" s="7">
        <v>19</v>
      </c>
      <c r="D15" s="7">
        <v>19</v>
      </c>
      <c r="E15" s="7">
        <v>18</v>
      </c>
      <c r="F15" s="7">
        <v>16</v>
      </c>
      <c r="G15" s="7">
        <v>17</v>
      </c>
      <c r="H15" s="7">
        <v>16</v>
      </c>
      <c r="I15" s="7">
        <v>16</v>
      </c>
      <c r="J15" s="7">
        <v>16</v>
      </c>
      <c r="K15" s="7">
        <v>16</v>
      </c>
      <c r="L15" s="7">
        <v>9</v>
      </c>
      <c r="M15" s="7">
        <v>9</v>
      </c>
      <c r="N15" s="7">
        <v>9</v>
      </c>
      <c r="O15" s="7">
        <v>8</v>
      </c>
      <c r="P15" s="7">
        <v>8</v>
      </c>
      <c r="Q15" s="7">
        <v>8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12</v>
      </c>
      <c r="D17" s="7">
        <v>14</v>
      </c>
      <c r="E17" s="7">
        <v>17</v>
      </c>
      <c r="F17" s="7">
        <v>18</v>
      </c>
      <c r="G17" s="7">
        <v>18</v>
      </c>
      <c r="H17" s="7">
        <v>18</v>
      </c>
      <c r="I17" s="7">
        <v>18</v>
      </c>
      <c r="J17" s="7">
        <v>18</v>
      </c>
      <c r="K17" s="7">
        <v>18</v>
      </c>
      <c r="L17" s="7">
        <v>18</v>
      </c>
      <c r="M17" s="7">
        <v>18</v>
      </c>
      <c r="N17" s="7">
        <v>18</v>
      </c>
      <c r="O17" s="7">
        <v>18</v>
      </c>
      <c r="P17" s="7">
        <v>18</v>
      </c>
      <c r="Q17" s="7">
        <v>18</v>
      </c>
    </row>
    <row r="18" spans="1:17" x14ac:dyDescent="0.2">
      <c r="A18" s="8" t="s">
        <v>17</v>
      </c>
      <c r="B18" s="11" t="s">
        <v>21</v>
      </c>
      <c r="C18" s="7">
        <v>15</v>
      </c>
      <c r="D18" s="7">
        <v>15</v>
      </c>
      <c r="E18" s="7">
        <v>15</v>
      </c>
      <c r="F18" s="7">
        <v>15</v>
      </c>
      <c r="G18" s="7">
        <v>15</v>
      </c>
      <c r="H18" s="7">
        <v>15</v>
      </c>
      <c r="I18" s="7">
        <v>15</v>
      </c>
      <c r="J18" s="7">
        <v>15</v>
      </c>
      <c r="K18" s="7">
        <v>15</v>
      </c>
      <c r="L18" s="7">
        <v>15</v>
      </c>
      <c r="M18" s="7">
        <v>15</v>
      </c>
      <c r="N18" s="7">
        <v>15</v>
      </c>
      <c r="O18" s="7">
        <v>15</v>
      </c>
      <c r="P18" s="7">
        <v>15</v>
      </c>
      <c r="Q18" s="7">
        <v>15</v>
      </c>
    </row>
    <row r="19" spans="1:17" x14ac:dyDescent="0.2">
      <c r="A19" s="15" t="s">
        <v>18</v>
      </c>
      <c r="B19" s="12" t="s">
        <v>21</v>
      </c>
      <c r="C19" s="7">
        <v>9</v>
      </c>
      <c r="D19" s="7">
        <v>13</v>
      </c>
      <c r="E19" s="7">
        <v>15</v>
      </c>
      <c r="F19" s="7">
        <v>16</v>
      </c>
      <c r="G19" s="13">
        <v>20</v>
      </c>
      <c r="H19" s="13">
        <v>20</v>
      </c>
      <c r="I19" s="13">
        <v>18</v>
      </c>
      <c r="J19" s="7">
        <v>16</v>
      </c>
      <c r="K19" s="7">
        <v>16</v>
      </c>
      <c r="L19" s="7">
        <v>11</v>
      </c>
      <c r="M19" s="7">
        <v>11</v>
      </c>
      <c r="N19" s="7">
        <v>11</v>
      </c>
      <c r="O19" s="7">
        <v>2</v>
      </c>
      <c r="P19" s="7">
        <v>2</v>
      </c>
      <c r="Q19" s="7">
        <v>2</v>
      </c>
    </row>
    <row r="22" spans="1:17" x14ac:dyDescent="0.2">
      <c r="A22" s="65" t="s">
        <v>22</v>
      </c>
      <c r="B22" s="66" t="s">
        <v>123</v>
      </c>
      <c r="C22" s="67">
        <v>6</v>
      </c>
      <c r="D22" s="67">
        <v>6</v>
      </c>
      <c r="E22" s="67">
        <v>6</v>
      </c>
      <c r="F22" s="67">
        <v>6</v>
      </c>
      <c r="G22" s="67"/>
      <c r="H22" s="7"/>
      <c r="I22" s="7"/>
      <c r="J22" s="7"/>
      <c r="K22" s="7"/>
      <c r="L22" s="7"/>
      <c r="M22" s="7"/>
      <c r="N22" s="7"/>
      <c r="O22" s="7"/>
      <c r="P22" s="7"/>
      <c r="Q22" s="7"/>
    </row>
    <row r="23" spans="1:17" x14ac:dyDescent="0.2">
      <c r="A23" s="65" t="s">
        <v>22</v>
      </c>
      <c r="B23" s="66" t="s">
        <v>124</v>
      </c>
      <c r="C23" s="67">
        <v>94.74</v>
      </c>
      <c r="D23" s="67">
        <v>99.94</v>
      </c>
      <c r="E23" s="67">
        <v>100.63</v>
      </c>
      <c r="F23" s="67">
        <v>50.11</v>
      </c>
      <c r="G23" s="67"/>
    </row>
    <row r="31" spans="1:17" x14ac:dyDescent="0.2">
      <c r="A31" s="16"/>
      <c r="B31" s="1" t="s">
        <v>0</v>
      </c>
      <c r="C31" s="21" t="s">
        <v>25</v>
      </c>
      <c r="D31" s="22" t="s">
        <v>26</v>
      </c>
      <c r="E31" s="22" t="s">
        <v>27</v>
      </c>
      <c r="F31" s="22" t="s">
        <v>28</v>
      </c>
      <c r="G31" s="23" t="s">
        <v>29</v>
      </c>
      <c r="H31" s="24"/>
    </row>
    <row r="32" spans="1:17" x14ac:dyDescent="0.2">
      <c r="A32" s="10" t="s">
        <v>22</v>
      </c>
      <c r="B32" s="6" t="s">
        <v>16</v>
      </c>
      <c r="C32" s="25">
        <v>108</v>
      </c>
      <c r="D32" s="20">
        <v>111</v>
      </c>
      <c r="E32" s="20">
        <v>111</v>
      </c>
      <c r="F32" s="20">
        <v>111</v>
      </c>
      <c r="G32" s="20">
        <v>111</v>
      </c>
      <c r="H32" s="20"/>
    </row>
    <row r="33" spans="1:8" x14ac:dyDescent="0.2">
      <c r="A33" s="11" t="s">
        <v>22</v>
      </c>
      <c r="B33" s="8" t="s">
        <v>17</v>
      </c>
      <c r="C33" s="25">
        <v>110</v>
      </c>
      <c r="D33" s="20">
        <v>110</v>
      </c>
      <c r="E33" s="20">
        <v>110</v>
      </c>
      <c r="F33" s="20">
        <v>110</v>
      </c>
      <c r="G33" s="20">
        <v>110</v>
      </c>
      <c r="H33" s="20"/>
    </row>
    <row r="34" spans="1:8" x14ac:dyDescent="0.2">
      <c r="A34" s="12" t="s">
        <v>22</v>
      </c>
      <c r="B34" s="9" t="s">
        <v>18</v>
      </c>
      <c r="C34" s="25">
        <v>104</v>
      </c>
      <c r="D34" s="20">
        <v>108</v>
      </c>
      <c r="E34" s="20">
        <v>107</v>
      </c>
      <c r="F34" s="20">
        <v>100</v>
      </c>
      <c r="G34" s="20">
        <v>78</v>
      </c>
      <c r="H34" s="20"/>
    </row>
    <row r="35" spans="1:8" x14ac:dyDescent="0.2">
      <c r="A35" s="16"/>
      <c r="B35" s="7"/>
      <c r="C35" s="26">
        <v>3.5799999999999998E-2</v>
      </c>
      <c r="D35" s="27">
        <v>2.9399999999999999E-2</v>
      </c>
      <c r="E35" s="27">
        <v>3.1899999999999998E-2</v>
      </c>
      <c r="F35" s="27">
        <v>0.1032</v>
      </c>
      <c r="G35" s="27">
        <v>0.29670000000000002</v>
      </c>
      <c r="H35" s="7"/>
    </row>
    <row r="36" spans="1:8" x14ac:dyDescent="0.2">
      <c r="A36" s="7"/>
      <c r="B36" s="17" t="s">
        <v>23</v>
      </c>
      <c r="C36" s="28">
        <v>0.96419999999999995</v>
      </c>
      <c r="D36" s="18">
        <v>0.97060000000000002</v>
      </c>
      <c r="E36" s="18">
        <v>0.96809999999999996</v>
      </c>
      <c r="F36" s="18">
        <v>0.89680000000000004</v>
      </c>
      <c r="G36" s="18">
        <v>0.70330000000000004</v>
      </c>
      <c r="H36" s="19"/>
    </row>
    <row r="37" spans="1:8" x14ac:dyDescent="0.2">
      <c r="A37" s="16"/>
      <c r="B37" s="17" t="s">
        <v>24</v>
      </c>
      <c r="C37" s="29">
        <v>4</v>
      </c>
      <c r="D37" s="19">
        <v>3</v>
      </c>
      <c r="E37" s="19">
        <v>4</v>
      </c>
      <c r="F37" s="19">
        <v>11</v>
      </c>
      <c r="G37" s="19">
        <v>19</v>
      </c>
      <c r="H37" s="19"/>
    </row>
    <row r="38" spans="1:8" x14ac:dyDescent="0.2">
      <c r="A38" s="16"/>
      <c r="B38" s="7"/>
      <c r="C38" s="30"/>
      <c r="D38" s="20"/>
      <c r="E38" s="20"/>
      <c r="F38" s="20"/>
      <c r="G38" s="20"/>
      <c r="H38" s="20"/>
    </row>
    <row r="39" spans="1:8" x14ac:dyDescent="0.2">
      <c r="A39" s="14" t="s">
        <v>16</v>
      </c>
      <c r="B39" s="10" t="s">
        <v>19</v>
      </c>
      <c r="C39" s="25">
        <v>81</v>
      </c>
      <c r="D39" s="20">
        <v>80</v>
      </c>
      <c r="E39" s="20">
        <v>80</v>
      </c>
      <c r="F39" s="20">
        <v>80</v>
      </c>
      <c r="G39" s="20">
        <v>80</v>
      </c>
      <c r="H39" s="20"/>
    </row>
    <row r="40" spans="1:8" x14ac:dyDescent="0.2">
      <c r="A40" s="8" t="s">
        <v>17</v>
      </c>
      <c r="B40" s="11" t="s">
        <v>19</v>
      </c>
      <c r="C40" s="25">
        <v>80</v>
      </c>
      <c r="D40" s="20">
        <v>80</v>
      </c>
      <c r="E40" s="20">
        <v>80</v>
      </c>
      <c r="F40" s="20">
        <v>80</v>
      </c>
      <c r="G40" s="20">
        <v>80</v>
      </c>
      <c r="H40" s="20"/>
    </row>
    <row r="41" spans="1:8" x14ac:dyDescent="0.2">
      <c r="A41" s="15" t="s">
        <v>18</v>
      </c>
      <c r="B41" s="12" t="s">
        <v>19</v>
      </c>
      <c r="C41" s="25">
        <v>77</v>
      </c>
      <c r="D41" s="20">
        <v>78</v>
      </c>
      <c r="E41" s="20">
        <v>75</v>
      </c>
      <c r="F41" s="20">
        <v>70</v>
      </c>
      <c r="G41" s="20">
        <v>57</v>
      </c>
      <c r="H41" s="20"/>
    </row>
    <row r="42" spans="1:8" x14ac:dyDescent="0.2">
      <c r="A42" s="7"/>
      <c r="B42" s="16"/>
      <c r="C42" s="25"/>
      <c r="D42" s="20"/>
      <c r="E42" s="20"/>
      <c r="F42" s="20"/>
      <c r="G42" s="20"/>
      <c r="H42" s="20"/>
    </row>
    <row r="43" spans="1:8" x14ac:dyDescent="0.2">
      <c r="A43" s="14" t="s">
        <v>16</v>
      </c>
      <c r="B43" s="10" t="s">
        <v>20</v>
      </c>
      <c r="C43" s="25">
        <v>19</v>
      </c>
      <c r="D43" s="20">
        <v>19</v>
      </c>
      <c r="E43" s="20">
        <v>19</v>
      </c>
      <c r="F43" s="20">
        <v>19</v>
      </c>
      <c r="G43" s="20">
        <v>19</v>
      </c>
      <c r="H43" s="20"/>
    </row>
    <row r="44" spans="1:8" x14ac:dyDescent="0.2">
      <c r="A44" s="8" t="s">
        <v>17</v>
      </c>
      <c r="B44" s="11" t="s">
        <v>20</v>
      </c>
      <c r="C44" s="25">
        <v>19</v>
      </c>
      <c r="D44" s="20">
        <v>19</v>
      </c>
      <c r="E44" s="20">
        <v>19</v>
      </c>
      <c r="F44" s="20">
        <v>19</v>
      </c>
      <c r="G44" s="20">
        <v>19</v>
      </c>
      <c r="H44" s="20"/>
    </row>
    <row r="45" spans="1:8" x14ac:dyDescent="0.2">
      <c r="A45" s="15" t="s">
        <v>18</v>
      </c>
      <c r="B45" s="12" t="s">
        <v>20</v>
      </c>
      <c r="C45" s="25">
        <v>19</v>
      </c>
      <c r="D45" s="20">
        <v>19</v>
      </c>
      <c r="E45" s="20">
        <v>17</v>
      </c>
      <c r="F45" s="20">
        <v>17</v>
      </c>
      <c r="G45" s="20">
        <v>15</v>
      </c>
      <c r="H45" s="20"/>
    </row>
    <row r="46" spans="1:8" x14ac:dyDescent="0.2">
      <c r="A46" s="7"/>
      <c r="B46" s="16"/>
      <c r="C46" s="25"/>
      <c r="D46" s="20"/>
      <c r="E46" s="20"/>
      <c r="F46" s="20"/>
      <c r="G46" s="20"/>
      <c r="H46" s="20"/>
    </row>
    <row r="47" spans="1:8" x14ac:dyDescent="0.2">
      <c r="A47" s="14" t="s">
        <v>16</v>
      </c>
      <c r="B47" s="10" t="s">
        <v>21</v>
      </c>
      <c r="C47" s="25">
        <v>8</v>
      </c>
      <c r="D47" s="20">
        <v>12</v>
      </c>
      <c r="E47" s="20">
        <v>12</v>
      </c>
      <c r="F47" s="20">
        <v>12</v>
      </c>
      <c r="G47" s="20">
        <v>12</v>
      </c>
      <c r="H47" s="20"/>
    </row>
    <row r="48" spans="1:8" x14ac:dyDescent="0.2">
      <c r="A48" s="8" t="s">
        <v>17</v>
      </c>
      <c r="B48" s="11" t="s">
        <v>21</v>
      </c>
      <c r="C48" s="25">
        <v>11</v>
      </c>
      <c r="D48" s="20">
        <v>11</v>
      </c>
      <c r="E48" s="20">
        <v>11</v>
      </c>
      <c r="F48" s="20">
        <v>11</v>
      </c>
      <c r="G48" s="20">
        <v>11</v>
      </c>
      <c r="H48" s="20"/>
    </row>
    <row r="49" spans="1:8" x14ac:dyDescent="0.2">
      <c r="A49" s="15" t="s">
        <v>18</v>
      </c>
      <c r="B49" s="12" t="s">
        <v>21</v>
      </c>
      <c r="C49" s="25">
        <v>8</v>
      </c>
      <c r="D49" s="20">
        <v>12</v>
      </c>
      <c r="E49" s="13">
        <v>15</v>
      </c>
      <c r="F49" s="13">
        <v>12</v>
      </c>
      <c r="G49" s="20">
        <v>7</v>
      </c>
      <c r="H49" s="2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B1D0-DC7F-A34E-9D59-259343E357D7}">
  <sheetPr>
    <tabColor theme="4" tint="0.79998168889431442"/>
  </sheetPr>
  <dimension ref="A1:P165"/>
  <sheetViews>
    <sheetView topLeftCell="A147" workbookViewId="0">
      <selection activeCell="V151" sqref="V1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IF(DV!C1&gt;0,DV!C1,"")</f>
        <v>APR</v>
      </c>
      <c r="C1" t="str">
        <f>IF(DV!D1&gt;0,DV!D1,"")</f>
        <v>MAY</v>
      </c>
      <c r="D1" t="str">
        <f>IF(DV!E1&gt;0,DV!E1,"")</f>
        <v>JUN</v>
      </c>
      <c r="E1" t="str">
        <f>IF(DV!F1&gt;0,DV!F1,"")</f>
        <v>JUL</v>
      </c>
      <c r="F1" t="str">
        <f>IF(DV!G1&gt;0,DV!G1,"")</f>
        <v>AUG</v>
      </c>
      <c r="G1" t="str">
        <f>IF(DV!H1&gt;0,DV!H1,"")</f>
        <v>SEP</v>
      </c>
      <c r="H1" t="str">
        <f>IF(DV!I1&gt;0,DV!I1,"")</f>
        <v>OCT</v>
      </c>
      <c r="I1" t="str">
        <f>IF(DV!J1&gt;0,DV!J1,"")</f>
        <v>NOV</v>
      </c>
      <c r="J1" t="str">
        <f>IF(DV!K1&gt;0,DV!K1,"")</f>
        <v>DEC</v>
      </c>
      <c r="K1" t="str">
        <f>IF(DV!L1&gt;0,DV!L1,"")</f>
        <v>JAN'27</v>
      </c>
      <c r="L1" t="str">
        <f>IF(DV!M1&gt;0,DV!M1,"")</f>
        <v>FEB'27</v>
      </c>
      <c r="M1" t="str">
        <f>IF(DV!N1&gt;0,DV!N1,"")</f>
        <v>MAR'27</v>
      </c>
      <c r="N1" t="str">
        <f>IF(DV!O1&gt;0,DV!O1,"")</f>
        <v>APR'27</v>
      </c>
      <c r="O1" t="str">
        <f>IF(DV!P1&gt;0,DV!P1,"")</f>
        <v>MAY'27</v>
      </c>
      <c r="P1" t="str">
        <f>IF(DV!Q1&gt;0,DV!Q1,"")</f>
        <v>JUN'27</v>
      </c>
    </row>
    <row r="2" spans="1:16" x14ac:dyDescent="0.2">
      <c r="A2" t="str">
        <f>IF(DV!B2&gt;0,DV!B2,"")</f>
        <v>Staff</v>
      </c>
      <c r="B2">
        <f>IF(DV!C2&gt;0,DV!C2,"")</f>
        <v>111</v>
      </c>
      <c r="C2">
        <f>IF(DV!D2&gt;0,DV!D2,"")</f>
        <v>114</v>
      </c>
      <c r="D2">
        <f>IF(DV!E2&gt;0,DV!E2,"")</f>
        <v>116</v>
      </c>
      <c r="E2">
        <f>IF(DV!F2&gt;0,DV!F2,"")</f>
        <v>118</v>
      </c>
      <c r="F2">
        <f>IF(DV!G2&gt;0,DV!G2,"")</f>
        <v>118</v>
      </c>
      <c r="G2">
        <f>IF(DV!H2&gt;0,DV!H2,"")</f>
        <v>118</v>
      </c>
      <c r="H2">
        <f>IF(DV!I2&gt;0,DV!I2,"")</f>
        <v>118</v>
      </c>
      <c r="I2">
        <f>IF(DV!J2&gt;0,DV!J2,"")</f>
        <v>118</v>
      </c>
      <c r="J2">
        <f>IF(DV!K2&gt;0,DV!K2,"")</f>
        <v>118</v>
      </c>
      <c r="K2">
        <f>IF(DV!L2&gt;0,DV!L2,"")</f>
        <v>118</v>
      </c>
      <c r="L2">
        <f>IF(DV!M2&gt;0,DV!M2,"")</f>
        <v>118</v>
      </c>
      <c r="M2">
        <f>IF(DV!N2&gt;0,DV!N2,"")</f>
        <v>118</v>
      </c>
      <c r="N2">
        <f>IF(DV!O2&gt;0,DV!O2,"")</f>
        <v>118</v>
      </c>
      <c r="O2">
        <f>IF(DV!P2&gt;0,DV!P2,"")</f>
        <v>118</v>
      </c>
      <c r="P2">
        <f>IF(DV!Q2&gt;0,DV!Q2,"")</f>
        <v>118</v>
      </c>
    </row>
    <row r="3" spans="1:16" x14ac:dyDescent="0.2">
      <c r="A3" t="str">
        <f>IF(DV!B3&gt;0,DV!B3,"")</f>
        <v>Staff AVG</v>
      </c>
      <c r="B3">
        <f>IF(DV!C3&gt;0,DV!C3,"")</f>
        <v>117</v>
      </c>
      <c r="C3">
        <f>IF(DV!D3&gt;0,DV!D3,"")</f>
        <v>117</v>
      </c>
      <c r="D3">
        <f>IF(DV!E3&gt;0,DV!E3,"")</f>
        <v>117</v>
      </c>
      <c r="E3">
        <f>IF(DV!F3&gt;0,DV!F3,"")</f>
        <v>117</v>
      </c>
      <c r="F3">
        <f>IF(DV!G3&gt;0,DV!G3,"")</f>
        <v>117</v>
      </c>
      <c r="G3">
        <f>IF(DV!H3&gt;0,DV!H3,"")</f>
        <v>117</v>
      </c>
      <c r="H3">
        <f>IF(DV!I3&gt;0,DV!I3,"")</f>
        <v>117</v>
      </c>
      <c r="I3">
        <f>IF(DV!J3&gt;0,DV!J3,"")</f>
        <v>117</v>
      </c>
      <c r="J3">
        <f>IF(DV!K3&gt;0,DV!K3,"")</f>
        <v>117</v>
      </c>
      <c r="K3">
        <f>IF(DV!L3&gt;0,DV!L3,"")</f>
        <v>117</v>
      </c>
      <c r="L3">
        <f>IF(DV!M3&gt;0,DV!M3,"")</f>
        <v>117</v>
      </c>
      <c r="M3">
        <f>IF(DV!N3&gt;0,DV!N3,"")</f>
        <v>117</v>
      </c>
      <c r="N3">
        <f>IF(DV!O3&gt;0,DV!O3,"")</f>
        <v>117</v>
      </c>
      <c r="O3">
        <f>IF(DV!P3&gt;0,DV!P3,"")</f>
        <v>117</v>
      </c>
      <c r="P3">
        <f>IF(DV!Q3&gt;0,DV!Q3,"")</f>
        <v>117</v>
      </c>
    </row>
    <row r="4" spans="1:16" x14ac:dyDescent="0.2">
      <c r="A4" t="str">
        <f>IF(DV!B4&gt;0,DV!B4,"")</f>
        <v>Plan</v>
      </c>
      <c r="B4">
        <f>IF(DV!C4&gt;0,DV!C4,"")</f>
        <v>105</v>
      </c>
      <c r="C4">
        <f>IF(DV!D4&gt;0,DV!D4,"")</f>
        <v>110</v>
      </c>
      <c r="D4">
        <f>IF(DV!E4&gt;0,DV!E4,"")</f>
        <v>107</v>
      </c>
      <c r="E4">
        <f>IF(DV!F4&gt;0,DV!F4,"")</f>
        <v>104</v>
      </c>
      <c r="F4">
        <f>IF(DV!G4&gt;0,DV!G4,"")</f>
        <v>113</v>
      </c>
      <c r="G4">
        <f>IF(DV!H4&gt;0,DV!H4,"")</f>
        <v>109</v>
      </c>
      <c r="H4">
        <f>IF(DV!I4&gt;0,DV!I4,"")</f>
        <v>106</v>
      </c>
      <c r="I4">
        <f>IF(DV!J4&gt;0,DV!J4,"")</f>
        <v>102</v>
      </c>
      <c r="J4">
        <f>IF(DV!K4&gt;0,DV!K4,"")</f>
        <v>101</v>
      </c>
      <c r="K4">
        <f>IF(DV!L4&gt;0,DV!L4,"")</f>
        <v>77</v>
      </c>
      <c r="L4">
        <f>IF(DV!M4&gt;0,DV!M4,"")</f>
        <v>76</v>
      </c>
      <c r="M4">
        <f>IF(DV!N4&gt;0,DV!N4,"")</f>
        <v>76</v>
      </c>
      <c r="N4">
        <f>IF(DV!O4&gt;0,DV!O4,"")</f>
        <v>59</v>
      </c>
      <c r="O4">
        <f>IF(DV!P4&gt;0,DV!P4,"")</f>
        <v>56</v>
      </c>
      <c r="P4">
        <f>IF(DV!Q4&gt;0,DV!Q4,"")</f>
        <v>56</v>
      </c>
    </row>
    <row r="5" spans="1:16" x14ac:dyDescent="0.2">
      <c r="A5" t="str">
        <f>IF(DV!B11&gt;0,DV!B11,"")</f>
        <v>PAYROLL</v>
      </c>
      <c r="B5">
        <f>IF(DV!C11&gt;0,DV!C11,"")</f>
        <v>77</v>
      </c>
      <c r="C5">
        <f>IF(DV!D11&gt;0,DV!D11,"")</f>
        <v>78</v>
      </c>
      <c r="D5">
        <f>IF(DV!E11&gt;0,DV!E11,"")</f>
        <v>75</v>
      </c>
      <c r="E5">
        <f>IF(DV!F11&gt;0,DV!F11,"")</f>
        <v>72</v>
      </c>
      <c r="F5">
        <f>IF(DV!G11&gt;0,DV!G11,"")</f>
        <v>75</v>
      </c>
      <c r="G5">
        <f>IF(DV!H11&gt;0,DV!H11,"")</f>
        <v>72</v>
      </c>
      <c r="H5">
        <f>IF(DV!I11&gt;0,DV!I11,"")</f>
        <v>72</v>
      </c>
      <c r="I5">
        <f>IF(DV!J11&gt;0,DV!J11,"")</f>
        <v>70</v>
      </c>
      <c r="J5">
        <f>IF(DV!K11&gt;0,DV!K11,"")</f>
        <v>69</v>
      </c>
      <c r="K5">
        <f>IF(DV!L11&gt;0,DV!L11,"")</f>
        <v>56</v>
      </c>
      <c r="L5">
        <f>IF(DV!M11&gt;0,DV!M11,"")</f>
        <v>55</v>
      </c>
      <c r="M5">
        <f>IF(DV!N11&gt;0,DV!N11,"")</f>
        <v>56</v>
      </c>
      <c r="N5">
        <f>IF(DV!O11&gt;0,DV!O11,"")</f>
        <v>48</v>
      </c>
      <c r="O5">
        <f>IF(DV!P11&gt;0,DV!P11,"")</f>
        <v>45</v>
      </c>
      <c r="P5">
        <f>IF(DV!Q11&gt;0,DV!Q11,"")</f>
        <v>45</v>
      </c>
    </row>
    <row r="6" spans="1:16" x14ac:dyDescent="0.2">
      <c r="A6" t="str">
        <f>IF(DV!B15&gt;0,DV!B15,"")</f>
        <v>CONTRACTOR</v>
      </c>
      <c r="B6">
        <f>IF(DV!C15&gt;0,DV!C15,"")</f>
        <v>19</v>
      </c>
      <c r="C6">
        <f>IF(DV!D15&gt;0,DV!D15,"")</f>
        <v>19</v>
      </c>
      <c r="D6">
        <f>IF(DV!E15&gt;0,DV!E15,"")</f>
        <v>18</v>
      </c>
      <c r="E6">
        <f>IF(DV!F15&gt;0,DV!F15,"")</f>
        <v>16</v>
      </c>
      <c r="F6">
        <f>IF(DV!G15&gt;0,DV!G15,"")</f>
        <v>17</v>
      </c>
      <c r="G6">
        <f>IF(DV!H15&gt;0,DV!H15,"")</f>
        <v>16</v>
      </c>
      <c r="H6">
        <f>IF(DV!I15&gt;0,DV!I15,"")</f>
        <v>16</v>
      </c>
      <c r="I6">
        <f>IF(DV!J15&gt;0,DV!J15,"")</f>
        <v>16</v>
      </c>
      <c r="J6">
        <f>IF(DV!K15&gt;0,DV!K15,"")</f>
        <v>16</v>
      </c>
      <c r="K6">
        <f>IF(DV!L15&gt;0,DV!L15,"")</f>
        <v>9</v>
      </c>
      <c r="L6">
        <f>IF(DV!M15&gt;0,DV!M15,"")</f>
        <v>9</v>
      </c>
      <c r="M6">
        <f>IF(DV!N15&gt;0,DV!N15,"")</f>
        <v>9</v>
      </c>
      <c r="N6">
        <f>IF(DV!O15&gt;0,DV!O15,"")</f>
        <v>8</v>
      </c>
      <c r="O6">
        <f>IF(DV!P15&gt;0,DV!P15,"")</f>
        <v>8</v>
      </c>
      <c r="P6">
        <f>IF(DV!Q15&gt;0,DV!Q15,"")</f>
        <v>8</v>
      </c>
    </row>
    <row r="7" spans="1:16" x14ac:dyDescent="0.2">
      <c r="A7" t="str">
        <f>IF(DV!B19&gt;0,DV!B19,"")</f>
        <v>OUTSOURCE</v>
      </c>
      <c r="B7">
        <f>IF(DV!C19&gt;0,DV!C19,"")</f>
        <v>9</v>
      </c>
      <c r="C7">
        <f>IF(DV!D19&gt;0,DV!D19,"")</f>
        <v>13</v>
      </c>
      <c r="D7">
        <f>IF(DV!E19&gt;0,DV!E19,"")</f>
        <v>15</v>
      </c>
      <c r="E7">
        <f>IF(DV!F19&gt;0,DV!F19,"")</f>
        <v>16</v>
      </c>
      <c r="F7">
        <f>IF(DV!G19&gt;0,DV!G19,"")</f>
        <v>20</v>
      </c>
      <c r="G7">
        <f>IF(DV!H19&gt;0,DV!H19,"")</f>
        <v>20</v>
      </c>
      <c r="H7">
        <f>IF(DV!I19&gt;0,DV!I19,"")</f>
        <v>18</v>
      </c>
      <c r="I7">
        <f>IF(DV!J19&gt;0,DV!J19,"")</f>
        <v>16</v>
      </c>
      <c r="J7">
        <f>IF(DV!K19&gt;0,DV!K19,"")</f>
        <v>16</v>
      </c>
      <c r="K7">
        <f>IF(DV!L19&gt;0,DV!L19,"")</f>
        <v>11</v>
      </c>
      <c r="L7">
        <f>IF(DV!M19&gt;0,DV!M19,"")</f>
        <v>11</v>
      </c>
      <c r="M7">
        <f>IF(DV!N19&gt;0,DV!N19,"")</f>
        <v>11</v>
      </c>
      <c r="N7">
        <f>IF(DV!O19&gt;0,DV!O19,"")</f>
        <v>2</v>
      </c>
      <c r="O7">
        <f>IF(DV!P19&gt;0,DV!P19,"")</f>
        <v>2</v>
      </c>
      <c r="P7">
        <f>IF(DV!Q19&gt;0,DV!Q19,"")</f>
        <v>2</v>
      </c>
    </row>
    <row r="11" spans="1:16" x14ac:dyDescent="0.2">
      <c r="B11" t="str">
        <f>IF(DV!C1&gt;0,DV!C1,"")</f>
        <v>APR</v>
      </c>
      <c r="C11" t="str">
        <f>IF(DV!D1&gt;0,DV!D1,"")</f>
        <v>MAY</v>
      </c>
      <c r="D11" t="str">
        <f>IF(DV!E1&gt;0,DV!E1,"")</f>
        <v>JUN</v>
      </c>
      <c r="E11" t="str">
        <f>IF(DV!F1&gt;0,DV!F1,"")</f>
        <v>JUL</v>
      </c>
      <c r="F11" t="str">
        <f>IF(DV!G1&gt;0,DV!G1,"")</f>
        <v>AUG</v>
      </c>
      <c r="G11" t="str">
        <f>IF(DV!H1&gt;0,DV!H1,"")</f>
        <v>SEP</v>
      </c>
      <c r="H11" t="str">
        <f>IF(DV!I1&gt;0,DV!I1,"")</f>
        <v>OCT</v>
      </c>
      <c r="I11" t="str">
        <f>IF(DV!J1&gt;0,DV!J1,"")</f>
        <v>NOV</v>
      </c>
      <c r="J11" t="str">
        <f>IF(DV!K1&gt;0,DV!K1,"")</f>
        <v>DEC</v>
      </c>
      <c r="K11" t="str">
        <f>IF(DV!L1&gt;0,DV!L1,"")</f>
        <v>JAN'27</v>
      </c>
      <c r="L11" t="str">
        <f>IF(DV!M1&gt;0,DV!M1,"")</f>
        <v>FEB'27</v>
      </c>
      <c r="M11" t="str">
        <f>IF(DV!N1&gt;0,DV!N1,"")</f>
        <v>MAR'27</v>
      </c>
      <c r="N11" t="str">
        <f>IF(DV!O1&gt;0,DV!O1,"")</f>
        <v>APR'27</v>
      </c>
      <c r="O11" t="str">
        <f>IF(DV!P1&gt;0,DV!P1,"")</f>
        <v>MAY'27</v>
      </c>
      <c r="P11" t="str">
        <f>IF(DV!Q1&gt;0,DV!Q1,"")</f>
        <v>JUN'27</v>
      </c>
    </row>
    <row r="12" spans="1:16" x14ac:dyDescent="0.2">
      <c r="A12" t="str">
        <f>IF(DV!A9&gt;0,DV!A9,"")</f>
        <v>Staff</v>
      </c>
      <c r="B12">
        <f>IF(DV!C9&gt;0,DV!C9,"")</f>
        <v>80</v>
      </c>
      <c r="C12">
        <f>IF(DV!D9&gt;0,DV!D9,"")</f>
        <v>81</v>
      </c>
      <c r="D12">
        <f>IF(DV!E9&gt;0,DV!E9,"")</f>
        <v>80</v>
      </c>
      <c r="E12">
        <f>IF(DV!F9&gt;0,DV!F9,"")</f>
        <v>81</v>
      </c>
      <c r="F12">
        <f>IF(DV!G9&gt;0,DV!G9,"")</f>
        <v>81</v>
      </c>
      <c r="G12">
        <f>IF(DV!H9&gt;0,DV!H9,"")</f>
        <v>81</v>
      </c>
      <c r="H12">
        <f>IF(DV!I9&gt;0,DV!I9,"")</f>
        <v>81</v>
      </c>
      <c r="I12">
        <f>IF(DV!J9&gt;0,DV!J9,"")</f>
        <v>81</v>
      </c>
      <c r="J12">
        <f>IF(DV!K9&gt;0,DV!K9,"")</f>
        <v>81</v>
      </c>
      <c r="K12">
        <f>IF(DV!L9&gt;0,DV!L9,"")</f>
        <v>81</v>
      </c>
      <c r="L12">
        <f>IF(DV!M9&gt;0,DV!M9,"")</f>
        <v>81</v>
      </c>
      <c r="M12">
        <f>IF(DV!N9&gt;0,DV!N9,"")</f>
        <v>81</v>
      </c>
      <c r="N12">
        <f>IF(DV!O9&gt;0,DV!O9,"")</f>
        <v>81</v>
      </c>
      <c r="O12">
        <f>IF(DV!P9&gt;0,DV!P9,"")</f>
        <v>81</v>
      </c>
      <c r="P12">
        <f>IF(DV!Q9&gt;0,DV!Q9,"")</f>
        <v>81</v>
      </c>
    </row>
    <row r="13" spans="1:16" x14ac:dyDescent="0.2">
      <c r="A13" t="str">
        <f>IF(DV!A10&gt;0,DV!A10,"")</f>
        <v>Staff AVG</v>
      </c>
      <c r="B13">
        <f>IF(DV!C10&gt;0,DV!C10,"")</f>
        <v>81</v>
      </c>
      <c r="C13">
        <f>IF(DV!D10&gt;0,DV!D10,"")</f>
        <v>81</v>
      </c>
      <c r="D13">
        <f>IF(DV!E10&gt;0,DV!E10,"")</f>
        <v>81</v>
      </c>
      <c r="E13">
        <f>IF(DV!F10&gt;0,DV!F10,"")</f>
        <v>81</v>
      </c>
      <c r="F13">
        <f>IF(DV!G10&gt;0,DV!G10,"")</f>
        <v>81</v>
      </c>
      <c r="G13">
        <f>IF(DV!H10&gt;0,DV!H10,"")</f>
        <v>81</v>
      </c>
      <c r="H13">
        <f>IF(DV!I10&gt;0,DV!I10,"")</f>
        <v>81</v>
      </c>
      <c r="I13">
        <f>IF(DV!J10&gt;0,DV!J10,"")</f>
        <v>81</v>
      </c>
      <c r="J13">
        <f>IF(DV!K10&gt;0,DV!K10,"")</f>
        <v>81</v>
      </c>
      <c r="K13">
        <f>IF(DV!L10&gt;0,DV!L10,"")</f>
        <v>81</v>
      </c>
      <c r="L13">
        <f>IF(DV!M10&gt;0,DV!M10,"")</f>
        <v>81</v>
      </c>
      <c r="M13">
        <f>IF(DV!N10&gt;0,DV!N10,"")</f>
        <v>81</v>
      </c>
      <c r="N13">
        <f>IF(DV!O10&gt;0,DV!O10,"")</f>
        <v>81</v>
      </c>
      <c r="O13">
        <f>IF(DV!P10&gt;0,DV!P10,"")</f>
        <v>81</v>
      </c>
      <c r="P13">
        <f>IF(DV!Q10&gt;0,DV!Q10,"")</f>
        <v>81</v>
      </c>
    </row>
    <row r="14" spans="1:16" x14ac:dyDescent="0.2">
      <c r="A14" t="str">
        <f>IF(DV!A11&gt;0,DV!A11,"")</f>
        <v>Plan</v>
      </c>
      <c r="B14">
        <f>IF(DV!C11&gt;0,DV!C11,"")</f>
        <v>77</v>
      </c>
      <c r="C14">
        <f>IF(DV!D11&gt;0,DV!D11,"")</f>
        <v>78</v>
      </c>
      <c r="D14">
        <f>IF(DV!E11&gt;0,DV!E11,"")</f>
        <v>75</v>
      </c>
      <c r="E14">
        <f>IF(DV!F11&gt;0,DV!F11,"")</f>
        <v>72</v>
      </c>
      <c r="F14">
        <f>IF(DV!G11&gt;0,DV!G11,"")</f>
        <v>75</v>
      </c>
      <c r="G14">
        <f>IF(DV!H11&gt;0,DV!H11,"")</f>
        <v>72</v>
      </c>
      <c r="H14">
        <f>IF(DV!I11&gt;0,DV!I11,"")</f>
        <v>72</v>
      </c>
      <c r="I14">
        <f>IF(DV!J11&gt;0,DV!J11,"")</f>
        <v>70</v>
      </c>
      <c r="J14">
        <f>IF(DV!K11&gt;0,DV!K11,"")</f>
        <v>69</v>
      </c>
      <c r="K14">
        <f>IF(DV!L11&gt;0,DV!L11,"")</f>
        <v>56</v>
      </c>
      <c r="L14">
        <f>IF(DV!M11&gt;0,DV!M11,"")</f>
        <v>55</v>
      </c>
      <c r="M14">
        <f>IF(DV!N11&gt;0,DV!N11,"")</f>
        <v>56</v>
      </c>
      <c r="N14">
        <f>IF(DV!O11&gt;0,DV!O11,"")</f>
        <v>48</v>
      </c>
      <c r="O14">
        <f>IF(DV!P11&gt;0,DV!P11,"")</f>
        <v>45</v>
      </c>
      <c r="P14">
        <f>IF(DV!Q11&gt;0,DV!Q11,"")</f>
        <v>45</v>
      </c>
    </row>
    <row r="21" spans="1:16" x14ac:dyDescent="0.2">
      <c r="B21" t="str">
        <f>IF(DV!C1&gt;0,DV!C1,"")</f>
        <v>APR</v>
      </c>
      <c r="C21" t="str">
        <f>IF(DV!D1&gt;0,DV!D1,"")</f>
        <v>MAY</v>
      </c>
      <c r="D21" t="str">
        <f>IF(DV!E1&gt;0,DV!E1,"")</f>
        <v>JUN</v>
      </c>
      <c r="E21" t="str">
        <f>IF(DV!F1&gt;0,DV!F1,"")</f>
        <v>JUL</v>
      </c>
      <c r="F21" t="str">
        <f>IF(DV!G1&gt;0,DV!G1,"")</f>
        <v>AUG</v>
      </c>
      <c r="G21" t="str">
        <f>IF(DV!H1&gt;0,DV!H1,"")</f>
        <v>SEP</v>
      </c>
      <c r="H21" t="str">
        <f>IF(DV!I1&gt;0,DV!I1,"")</f>
        <v>OCT</v>
      </c>
      <c r="I21" t="str">
        <f>IF(DV!J1&gt;0,DV!J1,"")</f>
        <v>NOV</v>
      </c>
      <c r="J21" t="str">
        <f>IF(DV!K1&gt;0,DV!K1,"")</f>
        <v>DEC</v>
      </c>
      <c r="K21" t="str">
        <f>IF(DV!L1&gt;0,DV!L1,"")</f>
        <v>JAN'27</v>
      </c>
      <c r="L21" t="str">
        <f>IF(DV!M1&gt;0,DV!M1,"")</f>
        <v>FEB'27</v>
      </c>
      <c r="M21" t="str">
        <f>IF(DV!N1&gt;0,DV!N1,"")</f>
        <v>MAR'27</v>
      </c>
      <c r="N21" t="str">
        <f>IF(DV!O1&gt;0,DV!O1,"")</f>
        <v>APR'27</v>
      </c>
      <c r="O21" t="str">
        <f>IF(DV!P1&gt;0,DV!P1,"")</f>
        <v>MAY'27</v>
      </c>
      <c r="P21" t="str">
        <f>IF(DV!Q1&gt;0,DV!Q1,"")</f>
        <v>JUN'27</v>
      </c>
    </row>
    <row r="22" spans="1:16" x14ac:dyDescent="0.2">
      <c r="A22" t="str">
        <f>IF(DV!A13&gt;0,DV!A13,"")</f>
        <v>Staff</v>
      </c>
      <c r="B22">
        <f>IF(DV!C13&gt;0,DV!C13,"")</f>
        <v>19</v>
      </c>
      <c r="C22">
        <f>IF(DV!D13&gt;0,DV!D13,"")</f>
        <v>19</v>
      </c>
      <c r="D22">
        <f>IF(DV!E13&gt;0,DV!E13,"")</f>
        <v>19</v>
      </c>
      <c r="E22">
        <f>IF(DV!F13&gt;0,DV!F13,"")</f>
        <v>19</v>
      </c>
      <c r="F22">
        <f>IF(DV!G13&gt;0,DV!G13,"")</f>
        <v>19</v>
      </c>
      <c r="G22">
        <f>IF(DV!H13&gt;0,DV!H13,"")</f>
        <v>19</v>
      </c>
      <c r="H22">
        <f>IF(DV!I13&gt;0,DV!I13,"")</f>
        <v>19</v>
      </c>
      <c r="I22">
        <f>IF(DV!J13&gt;0,DV!J13,"")</f>
        <v>19</v>
      </c>
      <c r="J22">
        <f>IF(DV!K13&gt;0,DV!K13,"")</f>
        <v>19</v>
      </c>
      <c r="K22">
        <f>IF(DV!L13&gt;0,DV!L13,"")</f>
        <v>19</v>
      </c>
      <c r="L22">
        <f>IF(DV!M13&gt;0,DV!M13,"")</f>
        <v>19</v>
      </c>
      <c r="M22">
        <f>IF(DV!N13&gt;0,DV!N13,"")</f>
        <v>19</v>
      </c>
      <c r="N22">
        <f>IF(DV!O13&gt;0,DV!O13,"")</f>
        <v>19</v>
      </c>
      <c r="O22">
        <f>IF(DV!P13&gt;0,DV!P13,"")</f>
        <v>19</v>
      </c>
      <c r="P22">
        <f>IF(DV!Q13&gt;0,DV!Q13,"")</f>
        <v>19</v>
      </c>
    </row>
    <row r="23" spans="1:16" x14ac:dyDescent="0.2">
      <c r="A23" t="str">
        <f>IF(DV!A14&gt;0,DV!A14,"")</f>
        <v>Staff AVG</v>
      </c>
      <c r="B23">
        <f>IF(DV!C14&gt;0,DV!C14,"")</f>
        <v>19</v>
      </c>
      <c r="C23">
        <f>IF(DV!D14&gt;0,DV!D14,"")</f>
        <v>19</v>
      </c>
      <c r="D23">
        <f>IF(DV!E14&gt;0,DV!E14,"")</f>
        <v>19</v>
      </c>
      <c r="E23">
        <f>IF(DV!F14&gt;0,DV!F14,"")</f>
        <v>19</v>
      </c>
      <c r="F23">
        <f>IF(DV!G14&gt;0,DV!G14,"")</f>
        <v>19</v>
      </c>
      <c r="G23">
        <f>IF(DV!H14&gt;0,DV!H14,"")</f>
        <v>19</v>
      </c>
      <c r="H23">
        <f>IF(DV!I14&gt;0,DV!I14,"")</f>
        <v>19</v>
      </c>
      <c r="I23">
        <f>IF(DV!J14&gt;0,DV!J14,"")</f>
        <v>19</v>
      </c>
      <c r="J23">
        <f>IF(DV!K14&gt;0,DV!K14,"")</f>
        <v>19</v>
      </c>
      <c r="K23">
        <f>IF(DV!L14&gt;0,DV!L14,"")</f>
        <v>19</v>
      </c>
      <c r="L23">
        <f>IF(DV!M14&gt;0,DV!M14,"")</f>
        <v>19</v>
      </c>
      <c r="M23">
        <f>IF(DV!N14&gt;0,DV!N14,"")</f>
        <v>19</v>
      </c>
      <c r="N23">
        <f>IF(DV!O14&gt;0,DV!O14,"")</f>
        <v>19</v>
      </c>
      <c r="O23">
        <f>IF(DV!P14&gt;0,DV!P14,"")</f>
        <v>19</v>
      </c>
      <c r="P23">
        <f>IF(DV!Q14&gt;0,DV!Q14,"")</f>
        <v>19</v>
      </c>
    </row>
    <row r="24" spans="1:16" x14ac:dyDescent="0.2">
      <c r="A24" t="str">
        <f>IF(DV!A15&gt;0,DV!A15,"")</f>
        <v>Plan</v>
      </c>
      <c r="B24">
        <f>IF(DV!C15&gt;0,DV!C15,"")</f>
        <v>19</v>
      </c>
      <c r="C24">
        <f>IF(DV!D15&gt;0,DV!D15,"")</f>
        <v>19</v>
      </c>
      <c r="D24">
        <f>IF(DV!E15&gt;0,DV!E15,"")</f>
        <v>18</v>
      </c>
      <c r="E24">
        <f>IF(DV!F15&gt;0,DV!F15,"")</f>
        <v>16</v>
      </c>
      <c r="F24">
        <f>IF(DV!G15&gt;0,DV!G15,"")</f>
        <v>17</v>
      </c>
      <c r="G24">
        <f>IF(DV!H15&gt;0,DV!H15,"")</f>
        <v>16</v>
      </c>
      <c r="H24">
        <f>IF(DV!I15&gt;0,DV!I15,"")</f>
        <v>16</v>
      </c>
      <c r="I24">
        <f>IF(DV!J15&gt;0,DV!J15,"")</f>
        <v>16</v>
      </c>
      <c r="J24">
        <f>IF(DV!K15&gt;0,DV!K15,"")</f>
        <v>16</v>
      </c>
      <c r="K24">
        <f>IF(DV!L15&gt;0,DV!L15,"")</f>
        <v>9</v>
      </c>
      <c r="L24">
        <f>IF(DV!M15&gt;0,DV!M15,"")</f>
        <v>9</v>
      </c>
      <c r="M24">
        <f>IF(DV!N15&gt;0,DV!N15,"")</f>
        <v>9</v>
      </c>
      <c r="N24">
        <f>IF(DV!O15&gt;0,DV!O15,"")</f>
        <v>8</v>
      </c>
      <c r="O24">
        <f>IF(DV!P15&gt;0,DV!P15,"")</f>
        <v>8</v>
      </c>
      <c r="P24">
        <f>IF(DV!Q15&gt;0,DV!Q15,"")</f>
        <v>8</v>
      </c>
    </row>
    <row r="31" spans="1:16" x14ac:dyDescent="0.2">
      <c r="B31" t="str">
        <f>IF(DV!C1&gt;0,DV!C1,"")</f>
        <v>APR</v>
      </c>
      <c r="C31" t="str">
        <f>IF(DV!D1&gt;0,DV!D1,"")</f>
        <v>MAY</v>
      </c>
      <c r="D31" t="str">
        <f>IF(DV!E1&gt;0,DV!E1,"")</f>
        <v>JUN</v>
      </c>
      <c r="E31" t="str">
        <f>IF(DV!F1&gt;0,DV!F1,"")</f>
        <v>JUL</v>
      </c>
      <c r="F31" t="str">
        <f>IF(DV!G1&gt;0,DV!G1,"")</f>
        <v>AUG</v>
      </c>
      <c r="G31" t="str">
        <f>IF(DV!H1&gt;0,DV!H1,"")</f>
        <v>SEP</v>
      </c>
      <c r="H31" t="str">
        <f>IF(DV!I1&gt;0,DV!I1,"")</f>
        <v>OCT</v>
      </c>
      <c r="I31" t="str">
        <f>IF(DV!J1&gt;0,DV!J1,"")</f>
        <v>NOV</v>
      </c>
      <c r="J31" t="str">
        <f>IF(DV!K1&gt;0,DV!K1,"")</f>
        <v>DEC</v>
      </c>
      <c r="K31" t="str">
        <f>IF(DV!L1&gt;0,DV!L1,"")</f>
        <v>JAN'27</v>
      </c>
      <c r="L31" t="str">
        <f>IF(DV!M1&gt;0,DV!M1,"")</f>
        <v>FEB'27</v>
      </c>
      <c r="M31" t="str">
        <f>IF(DV!N1&gt;0,DV!N1,"")</f>
        <v>MAR'27</v>
      </c>
      <c r="N31" t="str">
        <f>IF(DV!O1&gt;0,DV!O1,"")</f>
        <v>APR'27</v>
      </c>
      <c r="O31" t="str">
        <f>IF(DV!P1&gt;0,DV!P1,"")</f>
        <v>MAY'27</v>
      </c>
      <c r="P31" t="str">
        <f>IF(DV!Q1&gt;0,DV!Q1,"")</f>
        <v>JUN'27</v>
      </c>
    </row>
    <row r="32" spans="1:16" x14ac:dyDescent="0.2">
      <c r="A32" t="str">
        <f>IF(DV!A17&gt;0,DV!A17,"")</f>
        <v>Staff</v>
      </c>
      <c r="B32">
        <f>IF(DV!C17&gt;0,DV!C17,"")</f>
        <v>12</v>
      </c>
      <c r="C32">
        <f>IF(DV!D17&gt;0,DV!D17,"")</f>
        <v>14</v>
      </c>
      <c r="D32">
        <f>IF(DV!E17&gt;0,DV!E17,"")</f>
        <v>17</v>
      </c>
      <c r="E32">
        <f>IF(DV!F17&gt;0,DV!F17,"")</f>
        <v>18</v>
      </c>
      <c r="F32">
        <f>IF(DV!G17&gt;0,DV!G17,"")</f>
        <v>18</v>
      </c>
      <c r="G32">
        <f>IF(DV!H17&gt;0,DV!H17,"")</f>
        <v>18</v>
      </c>
      <c r="H32">
        <f>IF(DV!I17&gt;0,DV!I17,"")</f>
        <v>18</v>
      </c>
      <c r="I32">
        <f>IF(DV!J17&gt;0,DV!J17,"")</f>
        <v>18</v>
      </c>
      <c r="J32">
        <f>IF(DV!K17&gt;0,DV!K17,"")</f>
        <v>18</v>
      </c>
      <c r="K32">
        <f>IF(DV!L17&gt;0,DV!L17,"")</f>
        <v>18</v>
      </c>
      <c r="L32">
        <f>IF(DV!M17&gt;0,DV!M17,"")</f>
        <v>18</v>
      </c>
      <c r="M32">
        <f>IF(DV!N17&gt;0,DV!N17,"")</f>
        <v>18</v>
      </c>
      <c r="N32">
        <f>IF(DV!O17&gt;0,DV!O17,"")</f>
        <v>18</v>
      </c>
      <c r="O32">
        <f>IF(DV!P17&gt;0,DV!P17,"")</f>
        <v>18</v>
      </c>
      <c r="P32">
        <f>IF(DV!Q17&gt;0,DV!Q17,"")</f>
        <v>18</v>
      </c>
    </row>
    <row r="33" spans="1:16" x14ac:dyDescent="0.2">
      <c r="A33" t="str">
        <f>IF(DV!A18&gt;0,DV!A18,"")</f>
        <v>Staff AVG</v>
      </c>
      <c r="B33">
        <f>IF(DV!C18&gt;0,DV!C18,"")</f>
        <v>15</v>
      </c>
      <c r="C33">
        <f>IF(DV!D18&gt;0,DV!D18,"")</f>
        <v>15</v>
      </c>
      <c r="D33">
        <f>IF(DV!E18&gt;0,DV!E18,"")</f>
        <v>15</v>
      </c>
      <c r="E33">
        <f>IF(DV!F18&gt;0,DV!F18,"")</f>
        <v>15</v>
      </c>
      <c r="F33">
        <f>IF(DV!G18&gt;0,DV!G18,"")</f>
        <v>15</v>
      </c>
      <c r="G33">
        <f>IF(DV!H18&gt;0,DV!H18,"")</f>
        <v>15</v>
      </c>
      <c r="H33">
        <f>IF(DV!I18&gt;0,DV!I18,"")</f>
        <v>15</v>
      </c>
      <c r="I33">
        <f>IF(DV!J18&gt;0,DV!J18,"")</f>
        <v>15</v>
      </c>
      <c r="J33">
        <f>IF(DV!K18&gt;0,DV!K18,"")</f>
        <v>15</v>
      </c>
      <c r="K33">
        <f>IF(DV!L18&gt;0,DV!L18,"")</f>
        <v>15</v>
      </c>
      <c r="L33">
        <f>IF(DV!M18&gt;0,DV!M18,"")</f>
        <v>15</v>
      </c>
      <c r="M33">
        <f>IF(DV!N18&gt;0,DV!N18,"")</f>
        <v>15</v>
      </c>
      <c r="N33">
        <f>IF(DV!O18&gt;0,DV!O18,"")</f>
        <v>15</v>
      </c>
      <c r="O33">
        <f>IF(DV!P18&gt;0,DV!P18,"")</f>
        <v>15</v>
      </c>
      <c r="P33">
        <f>IF(DV!Q18&gt;0,DV!Q18,"")</f>
        <v>15</v>
      </c>
    </row>
    <row r="34" spans="1:16" x14ac:dyDescent="0.2">
      <c r="A34" t="str">
        <f>IF(DV!A19&gt;0,DV!A19,"")</f>
        <v>Plan</v>
      </c>
      <c r="B34">
        <f>IF(DV!C19&gt;0,DV!C19,"")</f>
        <v>9</v>
      </c>
      <c r="C34">
        <f>IF(DV!D19&gt;0,DV!D19,"")</f>
        <v>13</v>
      </c>
      <c r="D34">
        <f>IF(DV!E19&gt;0,DV!E19,"")</f>
        <v>15</v>
      </c>
      <c r="E34">
        <f>IF(DV!F19&gt;0,DV!F19,"")</f>
        <v>16</v>
      </c>
      <c r="F34">
        <f>IF(DV!G19&gt;0,DV!G19,"")</f>
        <v>20</v>
      </c>
      <c r="G34">
        <f>IF(DV!H19&gt;0,DV!H19,"")</f>
        <v>20</v>
      </c>
      <c r="H34">
        <f>IF(DV!I19&gt;0,DV!I19,"")</f>
        <v>18</v>
      </c>
      <c r="I34">
        <f>IF(DV!J19&gt;0,DV!J19,"")</f>
        <v>16</v>
      </c>
      <c r="J34">
        <f>IF(DV!K19&gt;0,DV!K19,"")</f>
        <v>16</v>
      </c>
      <c r="K34">
        <f>IF(DV!L19&gt;0,DV!L19,"")</f>
        <v>11</v>
      </c>
      <c r="L34">
        <f>IF(DV!M19&gt;0,DV!M19,"")</f>
        <v>11</v>
      </c>
      <c r="M34">
        <f>IF(DV!N19&gt;0,DV!N19,"")</f>
        <v>11</v>
      </c>
      <c r="N34">
        <f>IF(DV!O19&gt;0,DV!O19,"")</f>
        <v>2</v>
      </c>
      <c r="O34">
        <f>IF(DV!P19&gt;0,DV!P19,"")</f>
        <v>2</v>
      </c>
      <c r="P34">
        <f>IF(DV!Q19&gt;0,DV!Q19,"")</f>
        <v>2</v>
      </c>
    </row>
    <row r="41" spans="1:16" x14ac:dyDescent="0.2">
      <c r="B41" t="str">
        <f>IF(DV!C31&gt;0,DV!C31,"")</f>
        <v>Q1</v>
      </c>
      <c r="C41" t="str">
        <f>IF(DV!D31&gt;0,DV!D31,"")</f>
        <v>Q2</v>
      </c>
      <c r="D41" t="str">
        <f>IF(DV!E31&gt;0,DV!E31,"")</f>
        <v>Q3</v>
      </c>
      <c r="E41" t="str">
        <f>IF(DV!F31&gt;0,DV!F31,"")</f>
        <v>Q4</v>
      </c>
      <c r="F41" t="str">
        <f>IF(DV!G31&gt;0,DV!G31,"")</f>
        <v>Q1'27</v>
      </c>
    </row>
    <row r="42" spans="1:16" x14ac:dyDescent="0.2">
      <c r="A42" t="str">
        <f>IF(DV!B32&gt;0,DV!B32,"")</f>
        <v>Staff</v>
      </c>
      <c r="B42">
        <f>IF(DV!C32&gt;0,DV!C32,"")</f>
        <v>108</v>
      </c>
      <c r="C42">
        <f>IF(DV!D32&gt;0,DV!D32,"")</f>
        <v>111</v>
      </c>
      <c r="D42">
        <f>IF(DV!E32&gt;0,DV!E32,"")</f>
        <v>111</v>
      </c>
      <c r="E42">
        <f>IF(DV!F32&gt;0,DV!F32,"")</f>
        <v>111</v>
      </c>
      <c r="F42">
        <f>IF(DV!G32&gt;0,DV!G32,"")</f>
        <v>111</v>
      </c>
    </row>
    <row r="43" spans="1:16" x14ac:dyDescent="0.2">
      <c r="A43" t="str">
        <f>IF(DV!B33&gt;0,DV!B33,"")</f>
        <v>Staff AVG</v>
      </c>
      <c r="B43">
        <f>IF(DV!C33&gt;0,DV!C33,"")</f>
        <v>110</v>
      </c>
      <c r="C43">
        <f>IF(DV!D33&gt;0,DV!D33,"")</f>
        <v>110</v>
      </c>
      <c r="D43">
        <f>IF(DV!E33&gt;0,DV!E33,"")</f>
        <v>110</v>
      </c>
      <c r="E43">
        <f>IF(DV!F33&gt;0,DV!F33,"")</f>
        <v>110</v>
      </c>
      <c r="F43">
        <f>IF(DV!G33&gt;0,DV!G33,"")</f>
        <v>110</v>
      </c>
    </row>
    <row r="44" spans="1:16" x14ac:dyDescent="0.2">
      <c r="A44" t="str">
        <f>IF(DV!B34&gt;0,DV!B34,"")</f>
        <v>Plan</v>
      </c>
      <c r="B44">
        <f>IF(DV!C34&gt;0,DV!C34,"")</f>
        <v>104</v>
      </c>
      <c r="C44">
        <f>IF(DV!D34&gt;0,DV!D34,"")</f>
        <v>108</v>
      </c>
      <c r="D44">
        <f>IF(DV!E34&gt;0,DV!E34,"")</f>
        <v>107</v>
      </c>
      <c r="E44">
        <f>IF(DV!F34&gt;0,DV!F34,"")</f>
        <v>100</v>
      </c>
      <c r="F44">
        <f>IF(DV!G34&gt;0,DV!G34,"")</f>
        <v>78</v>
      </c>
    </row>
    <row r="45" spans="1:16" x14ac:dyDescent="0.2">
      <c r="A45" t="str">
        <f>IF(DV!B41&gt;0,DV!B41,"")</f>
        <v>PAYROLL</v>
      </c>
      <c r="B45">
        <f>IF(DV!C41&gt;0,DV!C41,"")</f>
        <v>77</v>
      </c>
      <c r="C45">
        <f>IF(DV!D41&gt;0,DV!D41,"")</f>
        <v>78</v>
      </c>
      <c r="D45">
        <f>IF(DV!E41&gt;0,DV!E41,"")</f>
        <v>75</v>
      </c>
      <c r="E45">
        <f>IF(DV!F41&gt;0,DV!F41,"")</f>
        <v>70</v>
      </c>
      <c r="F45">
        <f>IF(DV!G41&gt;0,DV!G41,"")</f>
        <v>57</v>
      </c>
    </row>
    <row r="46" spans="1:16" x14ac:dyDescent="0.2">
      <c r="A46" t="str">
        <f>IF(DV!B45&gt;0,DV!B45,"")</f>
        <v>CONTRACTOR</v>
      </c>
      <c r="B46">
        <f>IF(DV!C45&gt;0,DV!C45,"")</f>
        <v>19</v>
      </c>
      <c r="C46">
        <f>IF(DV!D45&gt;0,DV!D45,"")</f>
        <v>19</v>
      </c>
      <c r="D46">
        <f>IF(DV!E45&gt;0,DV!E45,"")</f>
        <v>17</v>
      </c>
      <c r="E46">
        <f>IF(DV!F45&gt;0,DV!F45,"")</f>
        <v>17</v>
      </c>
      <c r="F46">
        <f>IF(DV!G45&gt;0,DV!G45,"")</f>
        <v>15</v>
      </c>
    </row>
    <row r="47" spans="1:16" x14ac:dyDescent="0.2">
      <c r="A47" t="str">
        <f>IF(DV!B49&gt;0,DV!B49,"")</f>
        <v>OUTSOURCE</v>
      </c>
      <c r="B47">
        <f>IF(DV!C49&gt;0,DV!C49,"")</f>
        <v>8</v>
      </c>
      <c r="C47">
        <f>IF(DV!D49&gt;0,DV!D49,"")</f>
        <v>12</v>
      </c>
      <c r="D47">
        <f>IF(DV!E49&gt;0,DV!E49,"")</f>
        <v>15</v>
      </c>
      <c r="E47">
        <f>IF(DV!F49&gt;0,DV!F49,"")</f>
        <v>12</v>
      </c>
      <c r="F47">
        <f>IF(DV!G49&gt;0,DV!G49,"")</f>
        <v>7</v>
      </c>
    </row>
    <row r="151" spans="1:16" x14ac:dyDescent="0.2">
      <c r="B151" t="str">
        <f>DV!C1</f>
        <v>APR</v>
      </c>
      <c r="C151" t="str">
        <f>DV!D1</f>
        <v>MAY</v>
      </c>
      <c r="D151" t="str">
        <f>DV!E1</f>
        <v>JUN</v>
      </c>
      <c r="E151" t="str">
        <f>DV!F1</f>
        <v>JUL</v>
      </c>
      <c r="F151" t="str">
        <f>DV!G1</f>
        <v>AUG</v>
      </c>
      <c r="G151" t="str">
        <f>DV!H1</f>
        <v>SEP</v>
      </c>
      <c r="H151" t="str">
        <f>DV!I1</f>
        <v>OCT</v>
      </c>
      <c r="I151" t="str">
        <f>DV!J1</f>
        <v>NOV</v>
      </c>
      <c r="J151" t="str">
        <f>DV!K1</f>
        <v>DEC</v>
      </c>
      <c r="K151" t="str">
        <f>DV!L1</f>
        <v>JAN'27</v>
      </c>
      <c r="L151" t="str">
        <f>DV!M1</f>
        <v>FEB'27</v>
      </c>
      <c r="M151" t="str">
        <f>DV!N1</f>
        <v>MAR'27</v>
      </c>
      <c r="N151" t="str">
        <f>DV!O1</f>
        <v>APR'27</v>
      </c>
      <c r="O151" t="str">
        <f>DV!P1</f>
        <v>MAY'27</v>
      </c>
      <c r="P151" t="str">
        <f>DV!Q1</f>
        <v>JUN'27</v>
      </c>
    </row>
    <row r="152" spans="1:16" x14ac:dyDescent="0.2">
      <c r="A152" t="str">
        <f>DV!B6</f>
        <v>% Plan</v>
      </c>
      <c r="B152">
        <f>DV!C6*100</f>
        <v>94.8</v>
      </c>
      <c r="C152">
        <f>DV!D6*100</f>
        <v>96.77</v>
      </c>
      <c r="D152">
        <f>DV!E6*100</f>
        <v>92.47999999999999</v>
      </c>
      <c r="E152">
        <f>DV!F6*100</f>
        <v>87.99</v>
      </c>
      <c r="F152">
        <f>DV!G6*100</f>
        <v>95.399999999999991</v>
      </c>
      <c r="G152">
        <f>DV!H6*100</f>
        <v>92.25</v>
      </c>
      <c r="H152">
        <f>DV!I6*100</f>
        <v>89.72</v>
      </c>
      <c r="I152">
        <f>DV!J6*100</f>
        <v>86.49</v>
      </c>
      <c r="J152">
        <f>DV!K6*100</f>
        <v>85.17</v>
      </c>
      <c r="K152">
        <f>DV!L6*100</f>
        <v>64.92</v>
      </c>
      <c r="L152">
        <f>DV!M6*100</f>
        <v>64.03</v>
      </c>
      <c r="M152">
        <f>DV!N6*100</f>
        <v>64.39</v>
      </c>
      <c r="N152">
        <f>DV!O6*100</f>
        <v>49.63</v>
      </c>
      <c r="O152">
        <f>DV!P6*100</f>
        <v>47.81</v>
      </c>
      <c r="P152">
        <f>DV!Q6*100</f>
        <v>47.23</v>
      </c>
    </row>
    <row r="153" spans="1:16" x14ac:dyDescent="0.2">
      <c r="A153" t="str">
        <f>DV!B7</f>
        <v>Available FTE</v>
      </c>
      <c r="B153">
        <f>DV!C7</f>
        <v>6</v>
      </c>
      <c r="C153">
        <f>DV!D7</f>
        <v>4</v>
      </c>
      <c r="D153">
        <f>DV!E7</f>
        <v>9</v>
      </c>
      <c r="E153">
        <f>DV!F7</f>
        <v>14</v>
      </c>
      <c r="F153">
        <f>DV!G7</f>
        <v>5</v>
      </c>
      <c r="G153">
        <f>DV!H7</f>
        <v>9</v>
      </c>
      <c r="H153">
        <f>DV!I7</f>
        <v>12</v>
      </c>
      <c r="I153">
        <f>DV!J7</f>
        <v>16</v>
      </c>
      <c r="J153">
        <f>DV!K7</f>
        <v>17</v>
      </c>
      <c r="K153">
        <f>DV!L7</f>
        <v>41</v>
      </c>
      <c r="L153">
        <f>DV!M7</f>
        <v>42</v>
      </c>
      <c r="M153">
        <f>DV!N7</f>
        <v>42</v>
      </c>
      <c r="N153">
        <f>DV!O7</f>
        <v>59</v>
      </c>
      <c r="O153">
        <f>DV!P7</f>
        <v>62</v>
      </c>
      <c r="P153">
        <f>DV!Q7</f>
        <v>62</v>
      </c>
    </row>
    <row r="155" spans="1:16" x14ac:dyDescent="0.2">
      <c r="B155" t="str">
        <f>DV!C31</f>
        <v>Q1</v>
      </c>
      <c r="C155" t="str">
        <f>DV!D31</f>
        <v>Q2</v>
      </c>
      <c r="D155" t="str">
        <f>DV!E31</f>
        <v>Q3</v>
      </c>
      <c r="E155" t="str">
        <f>DV!F31</f>
        <v>Q4</v>
      </c>
      <c r="F155" t="str">
        <f>DV!G31</f>
        <v>Q1'27</v>
      </c>
    </row>
    <row r="156" spans="1:16" x14ac:dyDescent="0.2">
      <c r="A156" t="str">
        <f>DV!B6</f>
        <v>% Plan</v>
      </c>
      <c r="B156">
        <f>DV!C36*100</f>
        <v>96.419999999999987</v>
      </c>
      <c r="C156">
        <f>DV!D36*100</f>
        <v>97.06</v>
      </c>
      <c r="D156">
        <f>DV!E36*100</f>
        <v>96.81</v>
      </c>
      <c r="E156">
        <f>DV!F36*100</f>
        <v>89.68</v>
      </c>
      <c r="F156">
        <f>DV!G36*100</f>
        <v>70.33</v>
      </c>
    </row>
    <row r="157" spans="1:16" x14ac:dyDescent="0.2">
      <c r="A157" t="str">
        <f>DV!B7</f>
        <v>Available FTE</v>
      </c>
      <c r="B157">
        <f>DV!C37</f>
        <v>4</v>
      </c>
      <c r="C157">
        <f>DV!D37</f>
        <v>3</v>
      </c>
      <c r="D157">
        <f>DV!E37</f>
        <v>4</v>
      </c>
      <c r="E157">
        <f>DV!F37</f>
        <v>11</v>
      </c>
      <c r="F157">
        <f>DV!G37</f>
        <v>19</v>
      </c>
    </row>
    <row r="161" spans="1:16" x14ac:dyDescent="0.2">
      <c r="B161" t="str">
        <f>DV!C1</f>
        <v>APR</v>
      </c>
      <c r="C161" t="str">
        <f>DV!D1</f>
        <v>MAY</v>
      </c>
      <c r="D161" t="str">
        <f>DV!E1</f>
        <v>JUN</v>
      </c>
      <c r="E161" t="str">
        <f>DV!F1</f>
        <v>JUL</v>
      </c>
      <c r="F161" t="str">
        <f>DV!G1</f>
        <v>AUG</v>
      </c>
      <c r="G161" t="str">
        <f>DV!H1</f>
        <v>SEP</v>
      </c>
      <c r="H161" t="str">
        <f>DV!I1</f>
        <v>OCT</v>
      </c>
      <c r="I161" t="str">
        <f>DV!J1</f>
        <v>NOV</v>
      </c>
      <c r="J161" t="str">
        <f>DV!K1</f>
        <v>DEC</v>
      </c>
      <c r="K161" t="str">
        <f>DV!L1</f>
        <v>JAN'27</v>
      </c>
      <c r="L161" t="str">
        <f>DV!M1</f>
        <v>FEB'27</v>
      </c>
      <c r="M161" t="str">
        <f>DV!N1</f>
        <v>MAR'27</v>
      </c>
      <c r="N161" t="str">
        <f>DV!O1</f>
        <v>APR'27</v>
      </c>
      <c r="O161" t="str">
        <f>DV!P1</f>
        <v>MAY'27</v>
      </c>
      <c r="P161" t="str">
        <f>DV!Q1</f>
        <v>JUN'27</v>
      </c>
    </row>
    <row r="162" spans="1:16" x14ac:dyDescent="0.2">
      <c r="A162" t="str">
        <f>A2</f>
        <v>Staff</v>
      </c>
      <c r="B162">
        <f t="shared" ref="B162:P162" si="0">B2</f>
        <v>111</v>
      </c>
      <c r="C162">
        <f t="shared" si="0"/>
        <v>114</v>
      </c>
      <c r="D162">
        <f t="shared" si="0"/>
        <v>116</v>
      </c>
      <c r="E162">
        <f t="shared" si="0"/>
        <v>118</v>
      </c>
      <c r="F162">
        <f t="shared" si="0"/>
        <v>118</v>
      </c>
      <c r="G162">
        <f t="shared" si="0"/>
        <v>118</v>
      </c>
      <c r="H162">
        <f t="shared" si="0"/>
        <v>118</v>
      </c>
      <c r="I162">
        <f t="shared" si="0"/>
        <v>118</v>
      </c>
      <c r="J162">
        <f t="shared" si="0"/>
        <v>118</v>
      </c>
      <c r="K162">
        <f t="shared" si="0"/>
        <v>118</v>
      </c>
      <c r="L162">
        <f t="shared" si="0"/>
        <v>118</v>
      </c>
      <c r="M162">
        <f t="shared" si="0"/>
        <v>118</v>
      </c>
      <c r="N162">
        <f t="shared" si="0"/>
        <v>118</v>
      </c>
      <c r="O162">
        <f t="shared" si="0"/>
        <v>118</v>
      </c>
      <c r="P162">
        <f t="shared" si="0"/>
        <v>118</v>
      </c>
    </row>
    <row r="163" spans="1:16" x14ac:dyDescent="0.2">
      <c r="A163" t="str">
        <f>A4</f>
        <v>Plan</v>
      </c>
      <c r="E163">
        <f t="shared" ref="E163:P163" si="1">E4</f>
        <v>104</v>
      </c>
      <c r="F163">
        <f t="shared" si="1"/>
        <v>113</v>
      </c>
      <c r="G163">
        <f t="shared" si="1"/>
        <v>109</v>
      </c>
      <c r="H163">
        <f t="shared" si="1"/>
        <v>106</v>
      </c>
      <c r="I163">
        <f t="shared" si="1"/>
        <v>102</v>
      </c>
      <c r="J163">
        <f t="shared" si="1"/>
        <v>101</v>
      </c>
      <c r="K163">
        <f t="shared" si="1"/>
        <v>77</v>
      </c>
      <c r="L163">
        <f t="shared" si="1"/>
        <v>76</v>
      </c>
      <c r="M163">
        <f t="shared" si="1"/>
        <v>76</v>
      </c>
      <c r="N163">
        <f t="shared" si="1"/>
        <v>59</v>
      </c>
      <c r="O163">
        <f t="shared" si="1"/>
        <v>56</v>
      </c>
      <c r="P163">
        <f t="shared" si="1"/>
        <v>56</v>
      </c>
    </row>
    <row r="164" spans="1:16" x14ac:dyDescent="0.2">
      <c r="A164" t="s">
        <v>122</v>
      </c>
      <c r="B164">
        <f>SUM(DV!C22:C23)</f>
        <v>100.74</v>
      </c>
      <c r="C164">
        <f>SUM(DV!D22:D23)</f>
        <v>105.94</v>
      </c>
      <c r="D164">
        <f>SUM(DV!E22:E23)</f>
        <v>106.63</v>
      </c>
      <c r="E164">
        <f>SUM(DV!F22:F23)</f>
        <v>56.11</v>
      </c>
    </row>
    <row r="165" spans="1:16" x14ac:dyDescent="0.2">
      <c r="A165" s="79" t="s">
        <v>194</v>
      </c>
      <c r="B165" s="7">
        <v>106</v>
      </c>
      <c r="C165" s="7">
        <v>110</v>
      </c>
      <c r="D165" s="7">
        <v>108</v>
      </c>
      <c r="E165" s="7">
        <v>109</v>
      </c>
      <c r="F165" s="7">
        <v>107</v>
      </c>
      <c r="G165" s="7">
        <v>107</v>
      </c>
      <c r="H165" s="7">
        <v>101</v>
      </c>
      <c r="I165" s="7">
        <v>99</v>
      </c>
      <c r="J165" s="7">
        <v>99</v>
      </c>
      <c r="K165" s="7">
        <v>78</v>
      </c>
      <c r="L165" s="7">
        <v>78</v>
      </c>
      <c r="M165" s="7">
        <v>78</v>
      </c>
      <c r="N165" s="79"/>
      <c r="O165" s="79"/>
      <c r="P165" s="7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9" activePane="bottomLeft" state="frozen"/>
      <selection pane="bottomLeft" activeCell="Q16" sqref="Q16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31</v>
      </c>
      <c r="B2" s="6" t="s">
        <v>16</v>
      </c>
      <c r="C2" s="7">
        <v>17</v>
      </c>
      <c r="D2" s="7">
        <v>17</v>
      </c>
      <c r="E2" s="7">
        <v>17</v>
      </c>
      <c r="F2" s="7">
        <v>17</v>
      </c>
      <c r="G2" s="7">
        <v>17</v>
      </c>
      <c r="H2" s="7">
        <v>17</v>
      </c>
      <c r="I2" s="7">
        <v>17</v>
      </c>
      <c r="J2" s="7">
        <v>17</v>
      </c>
      <c r="K2" s="7">
        <v>17</v>
      </c>
      <c r="L2" s="7">
        <v>17</v>
      </c>
      <c r="M2" s="7">
        <v>17</v>
      </c>
      <c r="N2" s="7">
        <v>17</v>
      </c>
      <c r="O2" s="7">
        <v>17</v>
      </c>
      <c r="P2" s="7">
        <v>17</v>
      </c>
      <c r="Q2" s="7">
        <v>17</v>
      </c>
    </row>
    <row r="3" spans="1:17" x14ac:dyDescent="0.2">
      <c r="A3" s="11" t="s">
        <v>31</v>
      </c>
      <c r="B3" s="8" t="s">
        <v>17</v>
      </c>
      <c r="C3" s="7">
        <v>17</v>
      </c>
      <c r="D3" s="7">
        <v>17</v>
      </c>
      <c r="E3" s="7">
        <v>17</v>
      </c>
      <c r="F3" s="7">
        <v>17</v>
      </c>
      <c r="G3" s="7">
        <v>17</v>
      </c>
      <c r="H3" s="7">
        <v>17</v>
      </c>
      <c r="I3" s="7">
        <v>17</v>
      </c>
      <c r="J3" s="7">
        <v>17</v>
      </c>
      <c r="K3" s="7">
        <v>17</v>
      </c>
      <c r="L3" s="7">
        <v>17</v>
      </c>
      <c r="M3" s="7">
        <v>17</v>
      </c>
      <c r="N3" s="7">
        <v>17</v>
      </c>
      <c r="O3" s="7">
        <v>17</v>
      </c>
      <c r="P3" s="7">
        <v>17</v>
      </c>
      <c r="Q3" s="7">
        <v>17</v>
      </c>
    </row>
    <row r="4" spans="1:17" x14ac:dyDescent="0.2">
      <c r="A4" s="12" t="s">
        <v>31</v>
      </c>
      <c r="B4" s="9" t="s">
        <v>18</v>
      </c>
      <c r="C4" s="13">
        <v>17.45</v>
      </c>
      <c r="D4" s="13">
        <v>17.75</v>
      </c>
      <c r="E4" s="13">
        <v>17.850000000000001</v>
      </c>
      <c r="F4" s="7">
        <v>15.07</v>
      </c>
      <c r="G4" s="7">
        <v>15.42</v>
      </c>
      <c r="H4" s="7">
        <v>14.41</v>
      </c>
      <c r="I4" s="7">
        <v>13.96</v>
      </c>
      <c r="J4" s="7">
        <v>13.81</v>
      </c>
      <c r="K4" s="7">
        <v>13.81</v>
      </c>
      <c r="L4" s="7">
        <v>12.85</v>
      </c>
      <c r="M4" s="7">
        <v>12.8</v>
      </c>
      <c r="N4" s="7">
        <v>12.8</v>
      </c>
      <c r="O4" s="7">
        <v>11.8</v>
      </c>
      <c r="P4" s="7">
        <v>11.8</v>
      </c>
      <c r="Q4" s="7">
        <v>11.8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1.0265</v>
      </c>
      <c r="D6" s="18">
        <v>1.0441</v>
      </c>
      <c r="E6" s="18">
        <v>1.05</v>
      </c>
      <c r="F6" s="18">
        <v>0.88649999999999995</v>
      </c>
      <c r="G6" s="18">
        <v>0.90710000000000002</v>
      </c>
      <c r="H6" s="18">
        <v>0.84760000000000002</v>
      </c>
      <c r="I6" s="18">
        <v>0.82120000000000004</v>
      </c>
      <c r="J6" s="18">
        <v>0.81240000000000001</v>
      </c>
      <c r="K6" s="18">
        <v>0.81240000000000001</v>
      </c>
      <c r="L6" s="18">
        <v>0.75590000000000002</v>
      </c>
      <c r="M6" s="18">
        <v>0.75290000000000001</v>
      </c>
      <c r="N6" s="18">
        <v>0.75290000000000001</v>
      </c>
      <c r="O6" s="18">
        <v>0.69410000000000005</v>
      </c>
      <c r="P6" s="18">
        <v>0.69410000000000005</v>
      </c>
      <c r="Q6" s="18">
        <v>0.69410000000000005</v>
      </c>
    </row>
    <row r="7" spans="1:17" x14ac:dyDescent="0.2">
      <c r="A7" s="16"/>
      <c r="B7" s="17" t="s">
        <v>24</v>
      </c>
      <c r="C7" s="19">
        <v>0</v>
      </c>
      <c r="D7" s="19">
        <v>-1</v>
      </c>
      <c r="E7" s="19">
        <v>-1</v>
      </c>
      <c r="F7" s="19">
        <v>2</v>
      </c>
      <c r="G7" s="19">
        <v>2</v>
      </c>
      <c r="H7" s="19">
        <v>3</v>
      </c>
      <c r="I7" s="19">
        <v>3</v>
      </c>
      <c r="J7" s="19">
        <v>3</v>
      </c>
      <c r="K7" s="19">
        <v>3</v>
      </c>
      <c r="L7" s="19">
        <v>4</v>
      </c>
      <c r="M7" s="19">
        <v>4</v>
      </c>
      <c r="N7" s="19">
        <v>4</v>
      </c>
      <c r="O7" s="19">
        <v>5</v>
      </c>
      <c r="P7" s="19">
        <v>5</v>
      </c>
      <c r="Q7" s="19">
        <v>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17</v>
      </c>
      <c r="D9" s="7">
        <v>17</v>
      </c>
      <c r="E9" s="7">
        <v>17</v>
      </c>
      <c r="F9" s="7">
        <v>17</v>
      </c>
      <c r="G9" s="7">
        <v>17</v>
      </c>
      <c r="H9" s="7">
        <v>17</v>
      </c>
      <c r="I9" s="7">
        <v>17</v>
      </c>
      <c r="J9" s="7">
        <v>17</v>
      </c>
      <c r="K9" s="7">
        <v>17</v>
      </c>
      <c r="L9" s="7">
        <v>17</v>
      </c>
      <c r="M9" s="7">
        <v>17</v>
      </c>
      <c r="N9" s="7">
        <v>17</v>
      </c>
      <c r="O9" s="7">
        <v>17</v>
      </c>
      <c r="P9" s="7">
        <v>17</v>
      </c>
      <c r="Q9" s="7">
        <v>17</v>
      </c>
    </row>
    <row r="10" spans="1:17" x14ac:dyDescent="0.2">
      <c r="A10" s="8" t="s">
        <v>17</v>
      </c>
      <c r="B10" s="11" t="s">
        <v>19</v>
      </c>
      <c r="C10" s="7">
        <v>17</v>
      </c>
      <c r="D10" s="7">
        <v>17</v>
      </c>
      <c r="E10" s="7">
        <v>17</v>
      </c>
      <c r="F10" s="7">
        <v>17</v>
      </c>
      <c r="G10" s="7">
        <v>17</v>
      </c>
      <c r="H10" s="7">
        <v>17</v>
      </c>
      <c r="I10" s="7">
        <v>17</v>
      </c>
      <c r="J10" s="7">
        <v>17</v>
      </c>
      <c r="K10" s="7">
        <v>17</v>
      </c>
      <c r="L10" s="7">
        <v>17</v>
      </c>
      <c r="M10" s="7">
        <v>17</v>
      </c>
      <c r="N10" s="7">
        <v>17</v>
      </c>
      <c r="O10" s="7">
        <v>17</v>
      </c>
      <c r="P10" s="7">
        <v>17</v>
      </c>
      <c r="Q10" s="7">
        <v>17</v>
      </c>
    </row>
    <row r="11" spans="1:17" x14ac:dyDescent="0.2">
      <c r="A11" s="15" t="s">
        <v>18</v>
      </c>
      <c r="B11" s="12" t="s">
        <v>19</v>
      </c>
      <c r="C11" s="13">
        <v>17.45</v>
      </c>
      <c r="D11" s="13">
        <v>17.75</v>
      </c>
      <c r="E11" s="13">
        <v>17.850000000000001</v>
      </c>
      <c r="F11" s="7">
        <v>15.07</v>
      </c>
      <c r="G11" s="7">
        <v>15.42</v>
      </c>
      <c r="H11" s="7">
        <v>14.41</v>
      </c>
      <c r="I11" s="7">
        <v>13.96</v>
      </c>
      <c r="J11" s="7">
        <v>13.81</v>
      </c>
      <c r="K11" s="7">
        <v>13.81</v>
      </c>
      <c r="L11" s="7">
        <v>12.85</v>
      </c>
      <c r="M11" s="7">
        <v>12.8</v>
      </c>
      <c r="N11" s="7">
        <v>12.8</v>
      </c>
      <c r="O11" s="7">
        <v>11.8</v>
      </c>
      <c r="P11" s="7">
        <v>11.8</v>
      </c>
      <c r="Q11" s="7">
        <v>11.8</v>
      </c>
    </row>
    <row r="12" spans="1:17" x14ac:dyDescent="0.2">
      <c r="A12" s="7"/>
      <c r="B12" s="1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30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30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183</v>
      </c>
    </row>
    <row r="32" spans="1:17" x14ac:dyDescent="0.2">
      <c r="A32" s="10" t="s">
        <v>31</v>
      </c>
      <c r="B32" s="6" t="s">
        <v>16</v>
      </c>
      <c r="C32" s="20">
        <v>17</v>
      </c>
      <c r="D32" s="20">
        <v>17</v>
      </c>
      <c r="E32" s="20">
        <v>17</v>
      </c>
      <c r="F32" s="20">
        <v>17</v>
      </c>
      <c r="G32" s="20">
        <v>17</v>
      </c>
    </row>
    <row r="33" spans="1:7" x14ac:dyDescent="0.2">
      <c r="A33" s="11" t="s">
        <v>31</v>
      </c>
      <c r="B33" s="8" t="s">
        <v>17</v>
      </c>
      <c r="C33" s="20">
        <v>17</v>
      </c>
      <c r="D33" s="20">
        <v>17</v>
      </c>
      <c r="E33" s="20">
        <v>17</v>
      </c>
      <c r="F33" s="20">
        <v>17</v>
      </c>
      <c r="G33" s="20">
        <v>17</v>
      </c>
    </row>
    <row r="34" spans="1:7" x14ac:dyDescent="0.2">
      <c r="A34" s="12" t="s">
        <v>31</v>
      </c>
      <c r="B34" s="9" t="s">
        <v>18</v>
      </c>
      <c r="C34" s="13">
        <v>17.68333333</v>
      </c>
      <c r="D34" s="20">
        <v>14.96666667</v>
      </c>
      <c r="E34" s="20">
        <v>13.86</v>
      </c>
      <c r="F34" s="20">
        <v>12.81666667</v>
      </c>
      <c r="G34" s="20">
        <v>12</v>
      </c>
    </row>
    <row r="35" spans="1:7" x14ac:dyDescent="0.2">
      <c r="A35" s="16"/>
      <c r="B35" s="7"/>
      <c r="C35" s="27">
        <v>-4.02E-2</v>
      </c>
      <c r="D35" s="27">
        <v>0.1196</v>
      </c>
      <c r="E35" s="27">
        <v>0.1847</v>
      </c>
      <c r="F35" s="27">
        <v>0.24610000000000001</v>
      </c>
      <c r="G35" s="27">
        <v>0.30590000000000001</v>
      </c>
    </row>
    <row r="36" spans="1:7" x14ac:dyDescent="0.2">
      <c r="A36" s="7"/>
      <c r="B36" s="17" t="s">
        <v>23</v>
      </c>
      <c r="C36" s="18">
        <v>1.0402</v>
      </c>
      <c r="D36" s="18">
        <v>0.88039999999999996</v>
      </c>
      <c r="E36" s="18">
        <v>0.81530000000000002</v>
      </c>
      <c r="F36" s="18">
        <v>0.75390000000000001</v>
      </c>
      <c r="G36" s="18">
        <v>0.69410000000000005</v>
      </c>
    </row>
    <row r="37" spans="1:7" x14ac:dyDescent="0.2">
      <c r="A37" s="16"/>
      <c r="B37" s="17" t="s">
        <v>24</v>
      </c>
      <c r="C37" s="19">
        <v>-1</v>
      </c>
      <c r="D37" s="19">
        <v>2</v>
      </c>
      <c r="E37" s="19">
        <v>3</v>
      </c>
      <c r="F37" s="19">
        <v>4</v>
      </c>
      <c r="G37" s="19">
        <v>5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17</v>
      </c>
      <c r="D39" s="20">
        <v>17</v>
      </c>
      <c r="E39" s="20">
        <v>17</v>
      </c>
      <c r="F39" s="20">
        <v>17</v>
      </c>
      <c r="G39" s="20">
        <v>17</v>
      </c>
    </row>
    <row r="40" spans="1:7" x14ac:dyDescent="0.2">
      <c r="A40" s="8" t="s">
        <v>17</v>
      </c>
      <c r="B40" s="11" t="s">
        <v>19</v>
      </c>
      <c r="C40" s="20">
        <v>17</v>
      </c>
      <c r="D40" s="20">
        <v>17</v>
      </c>
      <c r="E40" s="20">
        <v>17</v>
      </c>
      <c r="F40" s="20">
        <v>17</v>
      </c>
      <c r="G40" s="20">
        <v>17</v>
      </c>
    </row>
    <row r="41" spans="1:7" x14ac:dyDescent="0.2">
      <c r="A41" s="15" t="s">
        <v>18</v>
      </c>
      <c r="B41" s="12" t="s">
        <v>19</v>
      </c>
      <c r="C41" s="13">
        <v>18</v>
      </c>
      <c r="D41" s="20">
        <v>15</v>
      </c>
      <c r="E41" s="20">
        <v>14</v>
      </c>
      <c r="F41" s="20">
        <v>13</v>
      </c>
      <c r="G41" s="20">
        <v>12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30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30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1" t="s">
        <v>180</v>
      </c>
      <c r="P61" s="81" t="s">
        <v>181</v>
      </c>
      <c r="Q61" s="81" t="s">
        <v>182</v>
      </c>
    </row>
    <row r="62" spans="1:17" x14ac:dyDescent="0.2">
      <c r="A62" s="11"/>
      <c r="B62" s="8" t="s">
        <v>16</v>
      </c>
      <c r="C62" s="33">
        <v>17</v>
      </c>
      <c r="D62" s="33">
        <v>17</v>
      </c>
      <c r="E62" s="33">
        <v>17</v>
      </c>
      <c r="F62" s="33">
        <v>17</v>
      </c>
      <c r="G62" s="33">
        <v>17</v>
      </c>
      <c r="H62" s="33">
        <v>17</v>
      </c>
      <c r="I62" s="33">
        <v>17</v>
      </c>
      <c r="J62" s="33">
        <v>17</v>
      </c>
      <c r="K62" s="33">
        <v>17</v>
      </c>
      <c r="L62" s="33">
        <v>17</v>
      </c>
      <c r="M62" s="33">
        <v>17</v>
      </c>
      <c r="N62" s="33">
        <v>17</v>
      </c>
      <c r="O62" s="33">
        <v>17</v>
      </c>
      <c r="P62" s="33">
        <v>17</v>
      </c>
      <c r="Q62" s="33">
        <v>17</v>
      </c>
    </row>
    <row r="63" spans="1:17" x14ac:dyDescent="0.2">
      <c r="A63" s="34"/>
      <c r="B63" s="35" t="s">
        <v>18</v>
      </c>
      <c r="C63" s="36">
        <v>17.45</v>
      </c>
      <c r="D63" s="36">
        <v>17.75</v>
      </c>
      <c r="E63" s="36">
        <v>17.850000000000001</v>
      </c>
      <c r="F63" s="36">
        <v>15.07</v>
      </c>
      <c r="G63" s="36">
        <v>15.42</v>
      </c>
      <c r="H63" s="36">
        <v>14.41</v>
      </c>
      <c r="I63" s="36">
        <v>13.96</v>
      </c>
      <c r="J63" s="36">
        <v>13.81</v>
      </c>
      <c r="K63" s="36">
        <v>13.81</v>
      </c>
      <c r="L63" s="36">
        <v>12.85</v>
      </c>
      <c r="M63" s="36">
        <v>12.8</v>
      </c>
      <c r="N63" s="36">
        <v>12.8</v>
      </c>
      <c r="O63" s="36">
        <v>11.8</v>
      </c>
      <c r="P63" s="36">
        <v>11.8</v>
      </c>
      <c r="Q63" s="36">
        <v>11.8</v>
      </c>
    </row>
    <row r="64" spans="1:17" x14ac:dyDescent="0.2">
      <c r="A64" s="14" t="s">
        <v>36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7" t="s">
        <v>36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37</v>
      </c>
      <c r="B66" s="6" t="s">
        <v>16</v>
      </c>
      <c r="C66" s="14">
        <v>11</v>
      </c>
      <c r="D66" s="14">
        <v>11</v>
      </c>
      <c r="E66" s="14">
        <v>11</v>
      </c>
      <c r="F66" s="14">
        <v>11</v>
      </c>
      <c r="G66" s="14">
        <v>11</v>
      </c>
      <c r="H66" s="14">
        <v>11</v>
      </c>
      <c r="I66" s="14">
        <v>11</v>
      </c>
      <c r="J66" s="14">
        <v>11</v>
      </c>
      <c r="K66" s="14">
        <v>11</v>
      </c>
      <c r="L66" s="14">
        <v>11</v>
      </c>
      <c r="M66" s="14">
        <v>11</v>
      </c>
      <c r="N66" s="14">
        <v>11</v>
      </c>
      <c r="O66" s="14">
        <v>11</v>
      </c>
      <c r="P66" s="14">
        <v>11</v>
      </c>
      <c r="Q66" s="14">
        <v>11</v>
      </c>
    </row>
    <row r="67" spans="1:17" x14ac:dyDescent="0.2">
      <c r="A67" s="37" t="s">
        <v>37</v>
      </c>
      <c r="B67" s="9" t="s">
        <v>18</v>
      </c>
      <c r="C67" s="7">
        <v>11.45</v>
      </c>
      <c r="D67" s="7">
        <v>11.75</v>
      </c>
      <c r="E67" s="7">
        <v>11.85</v>
      </c>
      <c r="F67" s="7">
        <v>9.07</v>
      </c>
      <c r="G67" s="7">
        <v>9.42</v>
      </c>
      <c r="H67" s="7">
        <v>8.41</v>
      </c>
      <c r="I67" s="7">
        <v>7.96</v>
      </c>
      <c r="J67" s="7">
        <v>7.81</v>
      </c>
      <c r="K67" s="7">
        <v>7.81</v>
      </c>
      <c r="L67" s="7">
        <v>6.85</v>
      </c>
      <c r="M67" s="7">
        <v>6.8</v>
      </c>
      <c r="N67" s="7">
        <v>6.8</v>
      </c>
      <c r="O67" s="7">
        <v>5.8</v>
      </c>
      <c r="P67" s="7">
        <v>5.8</v>
      </c>
      <c r="Q67" s="7">
        <v>5.8</v>
      </c>
    </row>
    <row r="68" spans="1:17" x14ac:dyDescent="0.2">
      <c r="A68" s="14" t="s">
        <v>38</v>
      </c>
      <c r="B68" s="6" t="s">
        <v>16</v>
      </c>
      <c r="C68" s="14">
        <v>5</v>
      </c>
      <c r="D68" s="14">
        <v>5</v>
      </c>
      <c r="E68" s="14">
        <v>5</v>
      </c>
      <c r="F68" s="14">
        <v>5</v>
      </c>
      <c r="G68" s="14">
        <v>5</v>
      </c>
      <c r="H68" s="14">
        <v>5</v>
      </c>
      <c r="I68" s="14">
        <v>5</v>
      </c>
      <c r="J68" s="14">
        <v>5</v>
      </c>
      <c r="K68" s="14">
        <v>5</v>
      </c>
      <c r="L68" s="14">
        <v>5</v>
      </c>
      <c r="M68" s="14">
        <v>5</v>
      </c>
      <c r="N68" s="14">
        <v>5</v>
      </c>
      <c r="O68" s="14">
        <v>5</v>
      </c>
      <c r="P68" s="14">
        <v>5</v>
      </c>
      <c r="Q68" s="14">
        <v>5</v>
      </c>
    </row>
    <row r="69" spans="1:17" x14ac:dyDescent="0.2">
      <c r="A69" s="37" t="s">
        <v>38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157"/>
  <sheetViews>
    <sheetView topLeftCell="A43" workbookViewId="0">
      <selection activeCell="F66" sqref="F66"/>
    </sheetView>
  </sheetViews>
  <sheetFormatPr baseColWidth="10" defaultRowHeight="16" x14ac:dyDescent="0.2"/>
  <cols>
    <col min="1" max="1" width="33.33203125" bestFit="1" customWidth="1"/>
  </cols>
  <sheetData>
    <row r="1" spans="1:16" x14ac:dyDescent="0.2">
      <c r="B1" t="str">
        <f>IF(CPS!C1&gt;0,CPS!C1,"")</f>
        <v>APR</v>
      </c>
      <c r="C1" t="str">
        <f>IF(CPS!D1&gt;0,CPS!D1,"")</f>
        <v>MAY</v>
      </c>
      <c r="D1" t="str">
        <f>IF(CPS!E1&gt;0,CPS!E1,"")</f>
        <v>JUN</v>
      </c>
      <c r="E1" t="str">
        <f>IF(CPS!F1&gt;0,CPS!F1,"")</f>
        <v>JUL</v>
      </c>
      <c r="F1" t="str">
        <f>IF(CPS!G1&gt;0,CPS!G1,"")</f>
        <v>AUG</v>
      </c>
      <c r="G1" t="str">
        <f>IF(CPS!H1&gt;0,CPS!H1,"")</f>
        <v>SEP</v>
      </c>
      <c r="H1" t="str">
        <f>IF(CPS!I1&gt;0,CPS!I1,"")</f>
        <v>OCT</v>
      </c>
      <c r="I1" t="str">
        <f>IF(CPS!J1&gt;0,CPS!J1,"")</f>
        <v>NOV</v>
      </c>
      <c r="J1" t="str">
        <f>IF(CPS!K1&gt;0,CPS!K1,"")</f>
        <v>DEC</v>
      </c>
      <c r="K1" t="str">
        <f>IF(CPS!L1&gt;0,CPS!L1,"")</f>
        <v>JAN'27</v>
      </c>
      <c r="L1" t="str">
        <f>IF(CPS!M1&gt;0,CPS!M1,"")</f>
        <v>FEB'27</v>
      </c>
      <c r="M1" t="str">
        <f>IF(CPS!N1&gt;0,CPS!N1,"")</f>
        <v>MAR'27</v>
      </c>
      <c r="N1" t="str">
        <f>IF(CPS!O1&gt;0,CPS!O1,"")</f>
        <v>APR'27</v>
      </c>
      <c r="O1" t="str">
        <f>IF(CPS!P1&gt;0,CPS!P1,"")</f>
        <v>MAY'27</v>
      </c>
      <c r="P1" t="str">
        <f>IF(CPS!Q1&gt;0,CPS!Q1,"")</f>
        <v>JUN'27</v>
      </c>
    </row>
    <row r="2" spans="1:16" x14ac:dyDescent="0.2">
      <c r="A2" t="str">
        <f>IF(CPS!B2&gt;0,CPS!B2,"")</f>
        <v>Staff</v>
      </c>
      <c r="B2">
        <f>IF(CPS!C2&gt;0,CPS!C2,"")</f>
        <v>17</v>
      </c>
      <c r="C2">
        <f>IF(CPS!D2&gt;0,CPS!D2,"")</f>
        <v>17</v>
      </c>
      <c r="D2">
        <f>IF(CPS!E2&gt;0,CPS!E2,"")</f>
        <v>17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17.45</v>
      </c>
      <c r="C4">
        <f>IF(CPS!D4&gt;0,CPS!D4,"")</f>
        <v>17.75</v>
      </c>
      <c r="D4">
        <f>IF(CPS!E4&gt;0,CPS!E4,"")</f>
        <v>17.850000000000001</v>
      </c>
      <c r="E4">
        <f>IF(CPS!F4&gt;0,CPS!F4,"")</f>
        <v>15.07</v>
      </c>
      <c r="F4">
        <f>IF(CPS!G4&gt;0,CPS!G4,"")</f>
        <v>15.42</v>
      </c>
      <c r="G4">
        <f>IF(CPS!H4&gt;0,CPS!H4,"")</f>
        <v>14.41</v>
      </c>
      <c r="H4">
        <f>IF(CPS!I4&gt;0,CPS!I4,"")</f>
        <v>13.96</v>
      </c>
      <c r="I4">
        <f>IF(CPS!J4&gt;0,CPS!J4,"")</f>
        <v>13.81</v>
      </c>
      <c r="J4">
        <f>IF(CPS!K4&gt;0,CPS!K4,"")</f>
        <v>13.81</v>
      </c>
      <c r="K4">
        <f>IF(CPS!L4&gt;0,CPS!L4,"")</f>
        <v>12.85</v>
      </c>
      <c r="L4">
        <f>IF(CPS!M4&gt;0,CPS!M4,"")</f>
        <v>12.8</v>
      </c>
      <c r="M4">
        <f>IF(CPS!N4&gt;0,CPS!N4,"")</f>
        <v>12.8</v>
      </c>
      <c r="N4">
        <f>IF(CPS!O4&gt;0,CPS!O4,"")</f>
        <v>11.8</v>
      </c>
      <c r="O4">
        <f>IF(CPS!P4&gt;0,CPS!P4,"")</f>
        <v>11.8</v>
      </c>
      <c r="P4">
        <f>IF(CPS!Q4&gt;0,CPS!Q4,"")</f>
        <v>11.8</v>
      </c>
    </row>
    <row r="5" spans="1:16" x14ac:dyDescent="0.2">
      <c r="A5" t="str">
        <f>IF(CPS!B11&gt;0,CPS!B11,"")</f>
        <v>PAYROLL</v>
      </c>
      <c r="B5">
        <f>IF(CPS!C11&gt;0,CPS!C11,"")</f>
        <v>17.45</v>
      </c>
      <c r="C5">
        <f>IF(CPS!D11&gt;0,CPS!D11,"")</f>
        <v>17.75</v>
      </c>
      <c r="D5">
        <f>IF(CPS!E11&gt;0,CPS!E11,"")</f>
        <v>17.850000000000001</v>
      </c>
      <c r="E5">
        <f>IF(CPS!F11&gt;0,CPS!F11,"")</f>
        <v>15.07</v>
      </c>
      <c r="F5">
        <f>IF(CPS!G11&gt;0,CPS!G11,"")</f>
        <v>15.42</v>
      </c>
      <c r="G5">
        <f>IF(CPS!H11&gt;0,CPS!H11,"")</f>
        <v>14.41</v>
      </c>
      <c r="H5">
        <f>IF(CPS!I11&gt;0,CPS!I11,"")</f>
        <v>13.96</v>
      </c>
      <c r="I5">
        <f>IF(CPS!J11&gt;0,CPS!J11,"")</f>
        <v>13.81</v>
      </c>
      <c r="J5">
        <f>IF(CPS!K11&gt;0,CPS!K11,"")</f>
        <v>13.81</v>
      </c>
      <c r="K5">
        <f>IF(CPS!L11&gt;0,CPS!L11,"")</f>
        <v>12.85</v>
      </c>
      <c r="L5">
        <f>IF(CPS!M11&gt;0,CPS!M11,"")</f>
        <v>12.8</v>
      </c>
      <c r="M5">
        <f>IF(CPS!N11&gt;0,CPS!N11,"")</f>
        <v>12.8</v>
      </c>
      <c r="N5">
        <f>IF(CPS!O11&gt;0,CPS!O11,"")</f>
        <v>11.8</v>
      </c>
      <c r="O5">
        <f>IF(CPS!P11&gt;0,CPS!P11,"")</f>
        <v>11.8</v>
      </c>
      <c r="P5">
        <f>IF(CPS!Q11&gt;0,CPS!Q11,"")</f>
        <v>11.8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APR</v>
      </c>
      <c r="C11" t="str">
        <f>IF(CPS!D1&gt;0,CPS!D1,"")</f>
        <v>MAY</v>
      </c>
      <c r="D11" t="str">
        <f>IF(CPS!E1&gt;0,CPS!E1,"")</f>
        <v>JUN</v>
      </c>
      <c r="E11" t="str">
        <f>IF(CPS!F1&gt;0,CPS!F1,"")</f>
        <v>JUL</v>
      </c>
      <c r="F11" t="str">
        <f>IF(CPS!G1&gt;0,CPS!G1,"")</f>
        <v>AUG</v>
      </c>
      <c r="G11" t="str">
        <f>IF(CPS!H1&gt;0,CPS!H1,"")</f>
        <v>SEP</v>
      </c>
      <c r="H11" t="str">
        <f>IF(CPS!I1&gt;0,CPS!I1,"")</f>
        <v>OCT</v>
      </c>
      <c r="I11" t="str">
        <f>IF(CPS!J1&gt;0,CPS!J1,"")</f>
        <v>NOV</v>
      </c>
      <c r="J11" t="str">
        <f>IF(CPS!K1&gt;0,CPS!K1,"")</f>
        <v>DEC</v>
      </c>
      <c r="K11" t="str">
        <f>IF(CPS!L1&gt;0,CPS!L1,"")</f>
        <v>JAN'27</v>
      </c>
      <c r="L11" t="str">
        <f>IF(CPS!M1&gt;0,CPS!M1,"")</f>
        <v>FEB'27</v>
      </c>
      <c r="M11" t="str">
        <f>IF(CPS!N1&gt;0,CPS!N1,"")</f>
        <v>MAR'27</v>
      </c>
      <c r="N11" t="str">
        <f>IF(CPS!O1&gt;0,CPS!O1,"")</f>
        <v>APR'27</v>
      </c>
      <c r="O11" t="str">
        <f>IF(CPS!P1&gt;0,CPS!P1,"")</f>
        <v>MAY'27</v>
      </c>
      <c r="P11" t="str">
        <f>IF(CPS!Q1&gt;0,CPS!Q1,"")</f>
        <v>JUN'27</v>
      </c>
    </row>
    <row r="12" spans="1:16" x14ac:dyDescent="0.2">
      <c r="A12" t="str">
        <f>IF(CPS!B2&gt;0,CPS!B2,"")</f>
        <v>Staff</v>
      </c>
      <c r="B12">
        <f>IF(CPS!C9&gt;0,CPS!C9,"")</f>
        <v>17</v>
      </c>
      <c r="C12">
        <f>IF(CPS!D9&gt;0,CPS!D9,"")</f>
        <v>17</v>
      </c>
      <c r="D12">
        <f>IF(CPS!E9&gt;0,CPS!E9,"")</f>
        <v>17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17.45</v>
      </c>
      <c r="C14">
        <f>IF(CPS!D11&gt;0,CPS!D11,"")</f>
        <v>17.75</v>
      </c>
      <c r="D14">
        <f>IF(CPS!E11&gt;0,CPS!E11,"")</f>
        <v>17.850000000000001</v>
      </c>
      <c r="E14">
        <f>IF(CPS!F11&gt;0,CPS!F11,"")</f>
        <v>15.07</v>
      </c>
      <c r="F14">
        <f>IF(CPS!G11&gt;0,CPS!G11,"")</f>
        <v>15.42</v>
      </c>
      <c r="G14">
        <f>IF(CPS!H11&gt;0,CPS!H11,"")</f>
        <v>14.41</v>
      </c>
      <c r="H14">
        <f>IF(CPS!I11&gt;0,CPS!I11,"")</f>
        <v>13.96</v>
      </c>
      <c r="I14">
        <f>IF(CPS!J11&gt;0,CPS!J11,"")</f>
        <v>13.81</v>
      </c>
      <c r="J14">
        <f>IF(CPS!K11&gt;0,CPS!K11,"")</f>
        <v>13.81</v>
      </c>
      <c r="K14">
        <f>IF(CPS!L11&gt;0,CPS!L11,"")</f>
        <v>12.85</v>
      </c>
      <c r="L14">
        <f>IF(CPS!M11&gt;0,CPS!M11,"")</f>
        <v>12.8</v>
      </c>
      <c r="M14">
        <f>IF(CPS!N11&gt;0,CPS!N11,"")</f>
        <v>12.8</v>
      </c>
      <c r="N14">
        <f>IF(CPS!O11&gt;0,CPS!O11,"")</f>
        <v>11.8</v>
      </c>
      <c r="O14">
        <f>IF(CPS!P11&gt;0,CPS!P11,"")</f>
        <v>11.8</v>
      </c>
      <c r="P14">
        <f>IF(CPS!Q11&gt;0,CPS!Q11,"")</f>
        <v>11.8</v>
      </c>
    </row>
    <row r="21" spans="1:16" x14ac:dyDescent="0.2">
      <c r="B21" t="str">
        <f>IF(CPS!C1&gt;0,CPS!C1,"")</f>
        <v>APR</v>
      </c>
      <c r="C21" t="str">
        <f>IF(CPS!D1&gt;0,CPS!D1,"")</f>
        <v>MAY</v>
      </c>
      <c r="D21" t="str">
        <f>IF(CPS!E1&gt;0,CPS!E1,"")</f>
        <v>JUN</v>
      </c>
      <c r="E21" t="str">
        <f>IF(CPS!F1&gt;0,CPS!F1,"")</f>
        <v>JUL</v>
      </c>
      <c r="F21" t="str">
        <f>IF(CPS!G1&gt;0,CPS!G1,"")</f>
        <v>AUG</v>
      </c>
      <c r="G21" t="str">
        <f>IF(CPS!H1&gt;0,CPS!H1,"")</f>
        <v>SEP</v>
      </c>
      <c r="H21" t="str">
        <f>IF(CPS!I1&gt;0,CPS!I1,"")</f>
        <v>OCT</v>
      </c>
      <c r="I21" t="str">
        <f>IF(CPS!J1&gt;0,CPS!J1,"")</f>
        <v>NOV</v>
      </c>
      <c r="J21" t="str">
        <f>IF(CPS!K1&gt;0,CPS!K1,"")</f>
        <v>DEC</v>
      </c>
      <c r="K21" t="str">
        <f>IF(CPS!L1&gt;0,CPS!L1,"")</f>
        <v>JAN'27</v>
      </c>
      <c r="L21" t="str">
        <f>IF(CPS!M1&gt;0,CPS!M1,"")</f>
        <v>FEB'27</v>
      </c>
      <c r="M21" t="str">
        <f>IF(CPS!N1&gt;0,CPS!N1,"")</f>
        <v>MAR'27</v>
      </c>
      <c r="N21" t="str">
        <f>IF(CPS!O1&gt;0,CPS!O1,"")</f>
        <v>APR'27</v>
      </c>
      <c r="O21" t="str">
        <f>IF(CPS!P1&gt;0,CPS!P1,"")</f>
        <v>MAY'27</v>
      </c>
      <c r="P21" t="str">
        <f>IF(CPS!Q1&gt;0,CPS!Q1,"")</f>
        <v>JUN'27</v>
      </c>
    </row>
    <row r="22" spans="1:16" x14ac:dyDescent="0.2">
      <c r="A22" t="str">
        <f>CPS!B2</f>
        <v>Staff</v>
      </c>
      <c r="B22">
        <f>CPS!C13</f>
        <v>0</v>
      </c>
      <c r="C22">
        <f>CPS!D13</f>
        <v>0</v>
      </c>
      <c r="D22">
        <f>CPS!E13</f>
        <v>0</v>
      </c>
      <c r="E22">
        <f>CPS!F13</f>
        <v>0</v>
      </c>
      <c r="F22">
        <f>CPS!G13</f>
        <v>0</v>
      </c>
      <c r="G22">
        <f>CPS!H13</f>
        <v>0</v>
      </c>
      <c r="H22">
        <f>CPS!I13</f>
        <v>0</v>
      </c>
      <c r="I22">
        <f>CPS!J13</f>
        <v>0</v>
      </c>
      <c r="J22">
        <f>CPS!K13</f>
        <v>0</v>
      </c>
      <c r="K22">
        <f>CPS!L13</f>
        <v>0</v>
      </c>
      <c r="L22">
        <f>CPS!M13</f>
        <v>0</v>
      </c>
      <c r="M22">
        <f>CPS!N13</f>
        <v>0</v>
      </c>
      <c r="N22">
        <f>CPS!O13</f>
        <v>0</v>
      </c>
      <c r="O22">
        <f>CPS!P13</f>
        <v>0</v>
      </c>
      <c r="P22">
        <f>CPS!Q13</f>
        <v>0</v>
      </c>
    </row>
    <row r="23" spans="1:16" x14ac:dyDescent="0.2">
      <c r="A23" t="str">
        <f>CPS!B3</f>
        <v>Staff AVG</v>
      </c>
      <c r="B23">
        <f>CPS!C14</f>
        <v>0</v>
      </c>
      <c r="C23">
        <f>CPS!D14</f>
        <v>0</v>
      </c>
      <c r="D23">
        <f>CPS!E14</f>
        <v>0</v>
      </c>
      <c r="E23">
        <f>CPS!F14</f>
        <v>0</v>
      </c>
      <c r="F23">
        <f>CPS!G14</f>
        <v>0</v>
      </c>
      <c r="G23">
        <f>CPS!H14</f>
        <v>0</v>
      </c>
      <c r="H23">
        <f>CPS!I14</f>
        <v>0</v>
      </c>
      <c r="I23">
        <f>CPS!J14</f>
        <v>0</v>
      </c>
      <c r="J23">
        <f>CPS!K14</f>
        <v>0</v>
      </c>
      <c r="K23">
        <f>CPS!L14</f>
        <v>0</v>
      </c>
      <c r="L23">
        <f>CPS!M14</f>
        <v>0</v>
      </c>
      <c r="M23">
        <f>CPS!N14</f>
        <v>0</v>
      </c>
      <c r="N23">
        <f>CPS!O14</f>
        <v>0</v>
      </c>
      <c r="O23">
        <f>CPS!P14</f>
        <v>0</v>
      </c>
      <c r="P23">
        <f>CPS!Q14</f>
        <v>0</v>
      </c>
    </row>
    <row r="24" spans="1:16" x14ac:dyDescent="0.2">
      <c r="A24" t="str">
        <f>CPS!B4</f>
        <v>Plan</v>
      </c>
      <c r="B24">
        <f>CPS!C15</f>
        <v>0</v>
      </c>
      <c r="C24">
        <f>CPS!D15</f>
        <v>0</v>
      </c>
      <c r="D24">
        <f>CPS!E15</f>
        <v>0</v>
      </c>
      <c r="E24">
        <f>CPS!F15</f>
        <v>0</v>
      </c>
      <c r="F24">
        <f>CPS!G15</f>
        <v>0</v>
      </c>
      <c r="G24">
        <f>CPS!H15</f>
        <v>0</v>
      </c>
      <c r="H24">
        <f>CPS!I15</f>
        <v>0</v>
      </c>
      <c r="I24">
        <f>CPS!J15</f>
        <v>0</v>
      </c>
      <c r="J24">
        <f>CPS!K15</f>
        <v>0</v>
      </c>
      <c r="K24">
        <f>CPS!L15</f>
        <v>0</v>
      </c>
      <c r="L24">
        <f>CPS!M15</f>
        <v>0</v>
      </c>
      <c r="M24">
        <f>CPS!N15</f>
        <v>0</v>
      </c>
      <c r="N24">
        <f>CPS!O15</f>
        <v>0</v>
      </c>
      <c r="O24">
        <f>CPS!P15</f>
        <v>0</v>
      </c>
      <c r="P24">
        <f>CPS!Q15</f>
        <v>0</v>
      </c>
    </row>
    <row r="31" spans="1:16" x14ac:dyDescent="0.2">
      <c r="B31" t="str">
        <f>IF(CPS!C1&gt;0,CPS!C1,"")</f>
        <v>APR</v>
      </c>
      <c r="C31" t="str">
        <f>IF(CPS!D1&gt;0,CPS!D1,"")</f>
        <v>MAY</v>
      </c>
      <c r="D31" t="str">
        <f>IF(CPS!E1&gt;0,CPS!E1,"")</f>
        <v>JUN</v>
      </c>
      <c r="E31" t="str">
        <f>IF(CPS!F1&gt;0,CPS!F1,"")</f>
        <v>JUL</v>
      </c>
      <c r="F31" t="str">
        <f>IF(CPS!G1&gt;0,CPS!G1,"")</f>
        <v>AUG</v>
      </c>
      <c r="G31" t="str">
        <f>IF(CPS!H1&gt;0,CPS!H1,"")</f>
        <v>SEP</v>
      </c>
      <c r="H31" t="str">
        <f>IF(CPS!I1&gt;0,CPS!I1,"")</f>
        <v>OCT</v>
      </c>
      <c r="I31" t="str">
        <f>IF(CPS!J1&gt;0,CPS!J1,"")</f>
        <v>NOV</v>
      </c>
      <c r="J31" t="str">
        <f>IF(CPS!K1&gt;0,CPS!K1,"")</f>
        <v>DEC</v>
      </c>
      <c r="K31" t="str">
        <f>IF(CPS!L1&gt;0,CPS!L1,"")</f>
        <v>JAN'27</v>
      </c>
      <c r="L31" t="str">
        <f>IF(CPS!M1&gt;0,CPS!M1,"")</f>
        <v>FEB'27</v>
      </c>
      <c r="M31" t="str">
        <f>IF(CPS!N1&gt;0,CPS!N1,"")</f>
        <v>MAR'27</v>
      </c>
      <c r="N31" t="str">
        <f>IF(CPS!O1&gt;0,CPS!O1,"")</f>
        <v>APR'27</v>
      </c>
      <c r="O31" t="str">
        <f>IF(CPS!P1&gt;0,CPS!P1,"")</f>
        <v>MAY'27</v>
      </c>
      <c r="P31" t="str">
        <f>IF(CPS!Q1&gt;0,CPS!Q1,"")</f>
        <v>JUN'27</v>
      </c>
    </row>
    <row r="32" spans="1:16" x14ac:dyDescent="0.2">
      <c r="A32" t="str">
        <f>IF(CPS!B2&gt;0,CPS!B2,"")</f>
        <v>Staff</v>
      </c>
      <c r="B32">
        <f>CPS!C17</f>
        <v>0</v>
      </c>
      <c r="C32">
        <f>CPS!D17</f>
        <v>0</v>
      </c>
      <c r="D32">
        <f>CPS!E17</f>
        <v>0</v>
      </c>
      <c r="E32">
        <f>CPS!F17</f>
        <v>0</v>
      </c>
      <c r="F32">
        <f>CPS!G17</f>
        <v>0</v>
      </c>
      <c r="G32">
        <f>CPS!H17</f>
        <v>0</v>
      </c>
      <c r="H32">
        <f>CPS!I17</f>
        <v>0</v>
      </c>
      <c r="I32">
        <f>CPS!J17</f>
        <v>0</v>
      </c>
      <c r="J32">
        <f>CPS!K17</f>
        <v>0</v>
      </c>
      <c r="K32">
        <f>CPS!L17</f>
        <v>0</v>
      </c>
      <c r="L32">
        <f>CPS!M17</f>
        <v>0</v>
      </c>
      <c r="M32">
        <f>CPS!N17</f>
        <v>0</v>
      </c>
      <c r="N32">
        <f>CPS!O17</f>
        <v>0</v>
      </c>
      <c r="O32">
        <f>CPS!P17</f>
        <v>0</v>
      </c>
      <c r="P32">
        <f>CPS!Q17</f>
        <v>0</v>
      </c>
    </row>
    <row r="33" spans="1:16" x14ac:dyDescent="0.2">
      <c r="A33" t="str">
        <f>IF(CPS!B3&gt;0,CPS!B3,"")</f>
        <v>Staff AVG</v>
      </c>
      <c r="B33">
        <f>CPS!C18</f>
        <v>0</v>
      </c>
      <c r="C33">
        <f>CPS!D18</f>
        <v>0</v>
      </c>
      <c r="D33">
        <f>CPS!E18</f>
        <v>0</v>
      </c>
      <c r="E33">
        <f>CPS!F18</f>
        <v>0</v>
      </c>
      <c r="F33">
        <f>CPS!G18</f>
        <v>0</v>
      </c>
      <c r="G33">
        <f>CPS!H18</f>
        <v>0</v>
      </c>
      <c r="H33">
        <f>CPS!I18</f>
        <v>0</v>
      </c>
      <c r="I33">
        <f>CPS!J18</f>
        <v>0</v>
      </c>
      <c r="J33">
        <f>CPS!K18</f>
        <v>0</v>
      </c>
      <c r="K33">
        <f>CPS!L18</f>
        <v>0</v>
      </c>
      <c r="L33">
        <f>CPS!M18</f>
        <v>0</v>
      </c>
      <c r="M33">
        <f>CPS!N18</f>
        <v>0</v>
      </c>
      <c r="N33">
        <f>CPS!O18</f>
        <v>0</v>
      </c>
      <c r="O33">
        <f>CPS!P18</f>
        <v>0</v>
      </c>
      <c r="P33">
        <f>CPS!Q18</f>
        <v>0</v>
      </c>
    </row>
    <row r="34" spans="1:16" x14ac:dyDescent="0.2">
      <c r="A34" t="str">
        <f>IF(CPS!B4&gt;0,CPS!B4,"")</f>
        <v>Plan</v>
      </c>
      <c r="B34">
        <f>CPS!C19</f>
        <v>0</v>
      </c>
      <c r="C34">
        <f>CPS!D19</f>
        <v>0</v>
      </c>
      <c r="D34">
        <f>CPS!E19</f>
        <v>0</v>
      </c>
      <c r="E34">
        <f>CPS!F19</f>
        <v>0</v>
      </c>
      <c r="F34">
        <f>CPS!G19</f>
        <v>0</v>
      </c>
      <c r="G34">
        <f>CPS!H19</f>
        <v>0</v>
      </c>
      <c r="H34">
        <f>CPS!I19</f>
        <v>0</v>
      </c>
      <c r="I34">
        <f>CPS!J19</f>
        <v>0</v>
      </c>
      <c r="J34">
        <f>CPS!K19</f>
        <v>0</v>
      </c>
      <c r="K34">
        <f>CPS!L19</f>
        <v>0</v>
      </c>
      <c r="L34">
        <f>CPS!M19</f>
        <v>0</v>
      </c>
      <c r="M34">
        <f>CPS!N19</f>
        <v>0</v>
      </c>
      <c r="N34">
        <f>CPS!O19</f>
        <v>0</v>
      </c>
      <c r="O34">
        <f>CPS!P19</f>
        <v>0</v>
      </c>
      <c r="P34">
        <f>CPS!Q19</f>
        <v>0</v>
      </c>
    </row>
    <row r="41" spans="1:16" x14ac:dyDescent="0.2">
      <c r="B41" t="str">
        <f>IF(CPS!C31&gt;0,CPS!C31,"")</f>
        <v>Q2</v>
      </c>
      <c r="C41" t="str">
        <f>IF(CPS!D31&gt;0,CPS!D31,"")</f>
        <v>Q3</v>
      </c>
      <c r="D41" t="str">
        <f>IF(CPS!E31&gt;0,CPS!E31,"")</f>
        <v>Q4</v>
      </c>
      <c r="E41" t="str">
        <f>IF(CPS!F31&gt;0,CPS!F31,"")</f>
        <v>Q1'27</v>
      </c>
      <c r="F41" t="str">
        <f>IF(CPS!G31&gt;0,CPS!G31,"")</f>
        <v>Q2'27</v>
      </c>
    </row>
    <row r="42" spans="1:16" x14ac:dyDescent="0.2">
      <c r="A42" t="str">
        <f>IF(CPS!B32&gt;0,CPS!B32,"")</f>
        <v>Staff</v>
      </c>
      <c r="B42">
        <f>IF(CPS!C32&gt;0,CPS!C32,"")</f>
        <v>17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17.68333333</v>
      </c>
      <c r="C44">
        <f>IF(CPS!D34&gt;0,CPS!D34,"")</f>
        <v>14.96666667</v>
      </c>
      <c r="D44">
        <f>IF(CPS!E34&gt;0,CPS!E34,"")</f>
        <v>13.86</v>
      </c>
      <c r="E44">
        <f>IF(CPS!F34&gt;0,CPS!F34,"")</f>
        <v>12.81666667</v>
      </c>
      <c r="F44">
        <f>IF(CPS!G34&gt;0,CPS!G34,"")</f>
        <v>12</v>
      </c>
    </row>
    <row r="45" spans="1:16" x14ac:dyDescent="0.2">
      <c r="A45" t="str">
        <f>IF(CPS!B41&gt;0,CPS!B41,"")</f>
        <v>PAYROLL</v>
      </c>
      <c r="B45">
        <f>IF(CPS!C41&gt;0,CPS!C41,"")</f>
        <v>18</v>
      </c>
      <c r="C45">
        <f>IF(CPS!D41&gt;0,CPS!D41,"")</f>
        <v>15</v>
      </c>
      <c r="D45">
        <f>IF(CPS!E41&gt;0,CPS!E41,"")</f>
        <v>14</v>
      </c>
      <c r="E45">
        <f>IF(CPS!F41&gt;0,CPS!F41,"")</f>
        <v>13</v>
      </c>
      <c r="F45">
        <f>IF(CPS!G41&gt;0,CPS!G41,"")</f>
        <v>12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s="55" t="str">
        <f>CPS!A66</f>
        <v>Business Development &amp; Partnerships</v>
      </c>
      <c r="B51" t="str">
        <f>CPS!C61</f>
        <v>APR</v>
      </c>
      <c r="C51" t="str">
        <f>CPS!D61</f>
        <v>MAY</v>
      </c>
      <c r="D51" t="str">
        <f>CPS!E61</f>
        <v>JUN</v>
      </c>
      <c r="E51" t="str">
        <f>CPS!F61</f>
        <v>JUL</v>
      </c>
      <c r="F51" t="str">
        <f>CPS!G61</f>
        <v>AUG</v>
      </c>
      <c r="G51" t="str">
        <f>CPS!H61</f>
        <v>SEP</v>
      </c>
      <c r="H51" t="str">
        <f>CPS!I61</f>
        <v>OCT</v>
      </c>
      <c r="I51" t="str">
        <f>CPS!J61</f>
        <v>NOV</v>
      </c>
      <c r="J51" t="str">
        <f>CPS!K61</f>
        <v>DEC</v>
      </c>
      <c r="K51" t="str">
        <f>CPS!L61</f>
        <v>JAN'27</v>
      </c>
      <c r="L51" t="str">
        <f>CPS!M61</f>
        <v>FEB'27</v>
      </c>
      <c r="M51" t="str">
        <f>CPS!N61</f>
        <v>MAR'27</v>
      </c>
      <c r="N51" t="str">
        <f>CPS!O61</f>
        <v>APR'27</v>
      </c>
      <c r="O51" t="str">
        <f>CPS!P61</f>
        <v>MAY'27</v>
      </c>
      <c r="P51" t="str">
        <f>CPS!Q61</f>
        <v>JUN'27</v>
      </c>
    </row>
    <row r="52" spans="1:16" x14ac:dyDescent="0.2">
      <c r="A52" t="str">
        <f>CPS!B66</f>
        <v>Staff</v>
      </c>
      <c r="B52">
        <f>CPS!C66</f>
        <v>11</v>
      </c>
      <c r="C52">
        <f>CPS!D66</f>
        <v>11</v>
      </c>
      <c r="D52">
        <f>CPS!E66</f>
        <v>11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11.45</v>
      </c>
      <c r="C53">
        <f>CPS!D67</f>
        <v>11.75</v>
      </c>
      <c r="D53">
        <f>CPS!E67</f>
        <v>11.85</v>
      </c>
      <c r="E53">
        <f>CPS!F67</f>
        <v>9.07</v>
      </c>
      <c r="F53">
        <f>CPS!G67</f>
        <v>9.42</v>
      </c>
      <c r="G53">
        <f>CPS!H67</f>
        <v>8.41</v>
      </c>
      <c r="H53">
        <f>CPS!I67</f>
        <v>7.96</v>
      </c>
      <c r="I53">
        <f>CPS!J67</f>
        <v>7.81</v>
      </c>
      <c r="J53">
        <f>CPS!K67</f>
        <v>7.81</v>
      </c>
      <c r="K53">
        <f>CPS!L67</f>
        <v>6.85</v>
      </c>
      <c r="L53">
        <f>CPS!M67</f>
        <v>6.8</v>
      </c>
      <c r="M53">
        <f>CPS!N67</f>
        <v>6.8</v>
      </c>
      <c r="N53">
        <f>CPS!O67</f>
        <v>5.8</v>
      </c>
      <c r="O53">
        <f>CPS!P67</f>
        <v>5.8</v>
      </c>
      <c r="P53">
        <f>CPS!Q67</f>
        <v>5.8</v>
      </c>
    </row>
    <row r="54" spans="1:16" s="63" customFormat="1" x14ac:dyDescent="0.2">
      <c r="A54" s="63" t="s">
        <v>24</v>
      </c>
      <c r="B54" s="64">
        <f>B52-B53</f>
        <v>-0.44999999999999929</v>
      </c>
      <c r="C54" s="64">
        <f t="shared" ref="C54:P54" si="0">C52-C53</f>
        <v>-0.75</v>
      </c>
      <c r="D54" s="64">
        <f t="shared" si="0"/>
        <v>-0.84999999999999964</v>
      </c>
      <c r="E54" s="64">
        <f t="shared" si="0"/>
        <v>1.9299999999999997</v>
      </c>
      <c r="F54" s="64">
        <f t="shared" si="0"/>
        <v>1.58</v>
      </c>
      <c r="G54" s="64">
        <f t="shared" si="0"/>
        <v>2.59</v>
      </c>
      <c r="H54" s="64">
        <f t="shared" si="0"/>
        <v>3.04</v>
      </c>
      <c r="I54" s="64">
        <f t="shared" si="0"/>
        <v>3.1900000000000004</v>
      </c>
      <c r="J54" s="64">
        <f t="shared" si="0"/>
        <v>3.1900000000000004</v>
      </c>
      <c r="K54" s="64">
        <f t="shared" si="0"/>
        <v>4.1500000000000004</v>
      </c>
      <c r="L54" s="64">
        <f t="shared" si="0"/>
        <v>4.2</v>
      </c>
      <c r="M54" s="64">
        <f t="shared" si="0"/>
        <v>4.2</v>
      </c>
      <c r="N54" s="64">
        <f t="shared" si="0"/>
        <v>5.2</v>
      </c>
      <c r="O54" s="64">
        <f t="shared" si="0"/>
        <v>5.2</v>
      </c>
      <c r="P54" s="64">
        <f t="shared" si="0"/>
        <v>5.2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106.2121212121212</v>
      </c>
      <c r="C56" s="56">
        <f>(AVERAGE(E53:G53)/AVERAGE(E52:G52))*100</f>
        <v>81.515151515151516</v>
      </c>
      <c r="D56" s="56">
        <f>(AVERAGE(H53:J53)/AVERAGE(H52:J52))*100</f>
        <v>71.454545454545453</v>
      </c>
      <c r="E56" s="56">
        <f>(AVERAGE(K53:M53)/AVERAGE(K52:M52))*100</f>
        <v>61.969696969696962</v>
      </c>
      <c r="F56" s="56">
        <f>(AVERAGE(N53:P53)/AVERAGE(N52:P52))*100</f>
        <v>52.72727272727272</v>
      </c>
    </row>
    <row r="61" spans="1:16" x14ac:dyDescent="0.2">
      <c r="A61" s="55" t="str">
        <f>CPS!A68</f>
        <v>Product Commercialization</v>
      </c>
      <c r="B61" t="str">
        <f>CPS!C61</f>
        <v>APR</v>
      </c>
      <c r="C61" t="str">
        <f>CPS!D61</f>
        <v>MAY</v>
      </c>
      <c r="D61" t="str">
        <f>CPS!E61</f>
        <v>JUN</v>
      </c>
      <c r="E61" t="str">
        <f>CPS!F61</f>
        <v>JUL</v>
      </c>
      <c r="F61" t="str">
        <f>CPS!G61</f>
        <v>AUG</v>
      </c>
      <c r="G61" t="str">
        <f>CPS!H61</f>
        <v>SEP</v>
      </c>
      <c r="H61" t="str">
        <f>CPS!I61</f>
        <v>OCT</v>
      </c>
      <c r="I61" t="str">
        <f>CPS!J61</f>
        <v>NOV</v>
      </c>
      <c r="J61" t="str">
        <f>CPS!K61</f>
        <v>DEC</v>
      </c>
      <c r="K61" t="str">
        <f>CPS!L61</f>
        <v>JAN'27</v>
      </c>
      <c r="L61" t="str">
        <f>CPS!M61</f>
        <v>FEB'27</v>
      </c>
      <c r="M61" t="str">
        <f>CPS!N61</f>
        <v>MAR'27</v>
      </c>
      <c r="N61" t="str">
        <f>CPS!O61</f>
        <v>APR'27</v>
      </c>
      <c r="O61" t="str">
        <f>CPS!P61</f>
        <v>MAY'27</v>
      </c>
      <c r="P61" t="str">
        <f>CPS!Q61</f>
        <v>JUN'27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5</v>
      </c>
      <c r="C63">
        <f>CPS!D69</f>
        <v>5</v>
      </c>
      <c r="D63">
        <f>CPS!E69</f>
        <v>5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  <row r="64" spans="1:16" s="63" customFormat="1" x14ac:dyDescent="0.2">
      <c r="A64" s="63" t="s">
        <v>24</v>
      </c>
      <c r="B64" s="64">
        <f>B62-B63</f>
        <v>0</v>
      </c>
      <c r="C64" s="64">
        <f t="shared" ref="C64:P64" si="2">C62-C63</f>
        <v>0</v>
      </c>
      <c r="D64" s="64">
        <f t="shared" si="2"/>
        <v>0</v>
      </c>
      <c r="E64" s="64">
        <f t="shared" si="2"/>
        <v>0</v>
      </c>
      <c r="F64" s="64">
        <f t="shared" si="2"/>
        <v>0</v>
      </c>
      <c r="G64" s="64">
        <f t="shared" si="2"/>
        <v>0</v>
      </c>
      <c r="H64" s="64">
        <f t="shared" si="2"/>
        <v>0</v>
      </c>
      <c r="I64" s="64">
        <f t="shared" si="2"/>
        <v>0</v>
      </c>
      <c r="J64" s="64">
        <f t="shared" si="2"/>
        <v>0</v>
      </c>
      <c r="K64" s="64">
        <f t="shared" si="2"/>
        <v>0</v>
      </c>
      <c r="L64" s="64">
        <f t="shared" si="2"/>
        <v>0</v>
      </c>
      <c r="M64" s="64">
        <f t="shared" si="2"/>
        <v>0</v>
      </c>
      <c r="N64" s="64">
        <f t="shared" si="2"/>
        <v>0</v>
      </c>
      <c r="O64" s="64">
        <f t="shared" si="2"/>
        <v>0</v>
      </c>
      <c r="P64" s="64">
        <f t="shared" si="2"/>
        <v>0</v>
      </c>
    </row>
    <row r="65" spans="1: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6" s="56" customFormat="1" x14ac:dyDescent="0.2">
      <c r="A66" s="56" t="str">
        <f>$A$156</f>
        <v>% Plan</v>
      </c>
      <c r="B66" s="56">
        <f>(AVERAGE(B63:D63)/AVERAGE(B62:D62))*100</f>
        <v>100</v>
      </c>
      <c r="C66" s="56">
        <f>(AVERAGE(E63:G63)/AVERAGE(E62:G62))*100</f>
        <v>100</v>
      </c>
      <c r="D66" s="56">
        <f>(AVERAGE(H63:J63)/AVERAGE(H62:J62))*100</f>
        <v>100</v>
      </c>
      <c r="E66" s="56">
        <f>(AVERAGE(K63:M63)/AVERAGE(K62:M62))*100</f>
        <v>100</v>
      </c>
      <c r="F66" s="56">
        <f>(AVERAGE(N63:P63)/AVERAGE(N62:P62))*100</f>
        <v>100</v>
      </c>
    </row>
    <row r="151" spans="1:16" x14ac:dyDescent="0.2">
      <c r="B151" t="str">
        <f>CPS!C1</f>
        <v>APR</v>
      </c>
      <c r="C151" t="str">
        <f>CPS!D1</f>
        <v>MAY</v>
      </c>
      <c r="D151" t="str">
        <f>CPS!E1</f>
        <v>JUN</v>
      </c>
      <c r="E151" t="str">
        <f>CPS!F1</f>
        <v>JUL</v>
      </c>
      <c r="F151" t="str">
        <f>CPS!G1</f>
        <v>AUG</v>
      </c>
      <c r="G151" t="str">
        <f>CPS!H1</f>
        <v>SEP</v>
      </c>
      <c r="H151" t="str">
        <f>CPS!I1</f>
        <v>OCT</v>
      </c>
      <c r="I151" t="str">
        <f>CPS!J1</f>
        <v>NOV</v>
      </c>
      <c r="J151" t="str">
        <f>CPS!K1</f>
        <v>DEC</v>
      </c>
      <c r="K151" t="str">
        <f>CPS!L1</f>
        <v>JAN'27</v>
      </c>
      <c r="L151" t="str">
        <f>CPS!M1</f>
        <v>FEB'27</v>
      </c>
      <c r="M151" t="str">
        <f>CPS!N1</f>
        <v>MAR'27</v>
      </c>
      <c r="N151" t="str">
        <f>CPS!O1</f>
        <v>APR'27</v>
      </c>
      <c r="O151" t="str">
        <f>CPS!P1</f>
        <v>MAY'27</v>
      </c>
      <c r="P151" t="str">
        <f>CPS!Q1</f>
        <v>JUN'27</v>
      </c>
    </row>
    <row r="152" spans="1:16" x14ac:dyDescent="0.2">
      <c r="A152" t="str">
        <f>CPS!B6</f>
        <v>% Plan</v>
      </c>
      <c r="B152">
        <f>CPS!C6*100</f>
        <v>102.64999999999999</v>
      </c>
      <c r="C152">
        <f>CPS!D6*100</f>
        <v>104.41</v>
      </c>
      <c r="D152">
        <f>CPS!E6*100</f>
        <v>105</v>
      </c>
      <c r="E152">
        <f>CPS!F6*100</f>
        <v>88.649999999999991</v>
      </c>
      <c r="F152">
        <f>CPS!G6*100</f>
        <v>90.710000000000008</v>
      </c>
      <c r="G152">
        <f>CPS!H6*100</f>
        <v>84.76</v>
      </c>
      <c r="H152">
        <f>CPS!I6*100</f>
        <v>82.12</v>
      </c>
      <c r="I152">
        <f>CPS!J6*100</f>
        <v>81.239999999999995</v>
      </c>
      <c r="J152">
        <f>CPS!K6*100</f>
        <v>81.239999999999995</v>
      </c>
      <c r="K152">
        <f>CPS!L6*100</f>
        <v>75.59</v>
      </c>
      <c r="L152">
        <f>CPS!M6*100</f>
        <v>75.290000000000006</v>
      </c>
      <c r="M152">
        <f>CPS!N6*100</f>
        <v>75.290000000000006</v>
      </c>
      <c r="N152">
        <f>CPS!O6*100</f>
        <v>69.410000000000011</v>
      </c>
      <c r="O152">
        <f>CPS!P6*100</f>
        <v>69.410000000000011</v>
      </c>
      <c r="P152">
        <f>CPS!Q6*100</f>
        <v>69.410000000000011</v>
      </c>
    </row>
    <row r="153" spans="1:16" x14ac:dyDescent="0.2">
      <c r="A153" t="str">
        <f>CPS!B7</f>
        <v>Available FTE</v>
      </c>
      <c r="B153">
        <f>CPS!C7</f>
        <v>0</v>
      </c>
      <c r="C153">
        <f>CPS!D7</f>
        <v>-1</v>
      </c>
      <c r="D153">
        <f>CPS!E7</f>
        <v>-1</v>
      </c>
      <c r="E153">
        <f>CPS!F7</f>
        <v>2</v>
      </c>
      <c r="F153">
        <f>CPS!G7</f>
        <v>2</v>
      </c>
      <c r="G153">
        <f>CPS!H7</f>
        <v>3</v>
      </c>
      <c r="H153">
        <f>CPS!I7</f>
        <v>3</v>
      </c>
      <c r="I153">
        <f>CPS!J7</f>
        <v>3</v>
      </c>
      <c r="J153">
        <f>CPS!K7</f>
        <v>3</v>
      </c>
      <c r="K153">
        <f>CPS!L7</f>
        <v>4</v>
      </c>
      <c r="L153">
        <f>CPS!M7</f>
        <v>4</v>
      </c>
      <c r="M153">
        <f>CPS!N7</f>
        <v>4</v>
      </c>
      <c r="N153">
        <f>CPS!O7</f>
        <v>5</v>
      </c>
      <c r="O153">
        <f>CPS!P7</f>
        <v>5</v>
      </c>
      <c r="P153">
        <f>CPS!Q7</f>
        <v>5</v>
      </c>
    </row>
    <row r="155" spans="1:16" x14ac:dyDescent="0.2">
      <c r="B155" t="str">
        <f>CPS!C31</f>
        <v>Q2</v>
      </c>
      <c r="C155" t="str">
        <f>CPS!D31</f>
        <v>Q3</v>
      </c>
      <c r="D155" t="str">
        <f>CPS!E31</f>
        <v>Q4</v>
      </c>
      <c r="E155" t="str">
        <f>CPS!F31</f>
        <v>Q1'27</v>
      </c>
      <c r="F155" t="str">
        <f>CPS!G31</f>
        <v>Q2'27</v>
      </c>
    </row>
    <row r="156" spans="1:16" x14ac:dyDescent="0.2">
      <c r="A156" t="str">
        <f>CPS!B6</f>
        <v>% Plan</v>
      </c>
      <c r="B156">
        <f>CPS!C36*100</f>
        <v>104.02</v>
      </c>
      <c r="C156">
        <f>CPS!D36*100</f>
        <v>88.039999999999992</v>
      </c>
      <c r="D156">
        <f>CPS!E36*100</f>
        <v>81.53</v>
      </c>
      <c r="E156">
        <f>CPS!F36*100</f>
        <v>75.39</v>
      </c>
      <c r="F156">
        <f>CPS!G36*100</f>
        <v>69.410000000000011</v>
      </c>
    </row>
    <row r="157" spans="1:16" x14ac:dyDescent="0.2">
      <c r="A157" t="str">
        <f>CPS!B7</f>
        <v>Available FTE</v>
      </c>
      <c r="B157">
        <f>CPS!C37</f>
        <v>-1</v>
      </c>
      <c r="C157">
        <f>CPS!D37</f>
        <v>2</v>
      </c>
      <c r="D157">
        <f>CPS!E37</f>
        <v>3</v>
      </c>
      <c r="E157">
        <f>CPS!F37</f>
        <v>4</v>
      </c>
      <c r="F157">
        <f>CPS!G37</f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workbookViewId="0">
      <pane ySplit="1" topLeftCell="A58" activePane="bottomLeft" state="frozen"/>
      <selection pane="bottomLeft" activeCell="S12" sqref="S12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32</v>
      </c>
      <c r="B2" s="6" t="s">
        <v>16</v>
      </c>
      <c r="C2" s="7">
        <v>48</v>
      </c>
      <c r="D2" s="7">
        <v>48</v>
      </c>
      <c r="E2" s="7">
        <v>48</v>
      </c>
      <c r="F2" s="7">
        <v>48</v>
      </c>
      <c r="G2" s="7">
        <v>48</v>
      </c>
      <c r="H2" s="7">
        <v>48</v>
      </c>
      <c r="I2" s="7">
        <v>48</v>
      </c>
      <c r="J2" s="7">
        <v>48</v>
      </c>
      <c r="K2" s="7">
        <v>48</v>
      </c>
      <c r="L2" s="7">
        <v>48</v>
      </c>
      <c r="M2" s="7">
        <v>48</v>
      </c>
      <c r="N2" s="7">
        <v>48</v>
      </c>
      <c r="O2" s="7">
        <v>48</v>
      </c>
      <c r="P2" s="7">
        <v>48</v>
      </c>
      <c r="Q2" s="7">
        <v>48</v>
      </c>
    </row>
    <row r="3" spans="1:17" x14ac:dyDescent="0.2">
      <c r="A3" s="11" t="s">
        <v>32</v>
      </c>
      <c r="B3" s="8" t="s">
        <v>17</v>
      </c>
      <c r="C3" s="7">
        <v>48</v>
      </c>
      <c r="D3" s="7">
        <v>48</v>
      </c>
      <c r="E3" s="7">
        <v>48</v>
      </c>
      <c r="F3" s="7">
        <v>48</v>
      </c>
      <c r="G3" s="7">
        <v>48</v>
      </c>
      <c r="H3" s="7">
        <v>48</v>
      </c>
      <c r="I3" s="7">
        <v>48</v>
      </c>
      <c r="J3" s="7">
        <v>48</v>
      </c>
      <c r="K3" s="7">
        <v>48</v>
      </c>
      <c r="L3" s="7">
        <v>48</v>
      </c>
      <c r="M3" s="7">
        <v>48</v>
      </c>
      <c r="N3" s="7">
        <v>48</v>
      </c>
      <c r="O3" s="7">
        <v>48</v>
      </c>
      <c r="P3" s="7">
        <v>48</v>
      </c>
      <c r="Q3" s="7">
        <v>48</v>
      </c>
    </row>
    <row r="4" spans="1:17" x14ac:dyDescent="0.2">
      <c r="A4" s="12" t="s">
        <v>32</v>
      </c>
      <c r="B4" s="9" t="s">
        <v>18</v>
      </c>
      <c r="C4" s="7">
        <v>46</v>
      </c>
      <c r="D4" s="7">
        <v>47</v>
      </c>
      <c r="E4" s="7">
        <v>43</v>
      </c>
      <c r="F4" s="7">
        <v>42</v>
      </c>
      <c r="G4" s="7">
        <v>43</v>
      </c>
      <c r="H4" s="7">
        <v>41</v>
      </c>
      <c r="I4" s="7">
        <v>38</v>
      </c>
      <c r="J4" s="7">
        <v>38</v>
      </c>
      <c r="K4" s="7">
        <v>38</v>
      </c>
      <c r="L4" s="7">
        <v>26</v>
      </c>
      <c r="M4" s="7">
        <v>26</v>
      </c>
      <c r="N4" s="7">
        <v>27</v>
      </c>
      <c r="O4" s="7">
        <v>24.625</v>
      </c>
      <c r="P4" s="7">
        <v>23.425000000000001</v>
      </c>
      <c r="Q4" s="7">
        <v>22.75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0.95689999999999997</v>
      </c>
      <c r="D6" s="18">
        <v>0.98499999999999999</v>
      </c>
      <c r="E6" s="18">
        <v>0.90449999999999997</v>
      </c>
      <c r="F6" s="18">
        <v>0.88160000000000005</v>
      </c>
      <c r="G6" s="18">
        <v>0.88649999999999995</v>
      </c>
      <c r="H6" s="18">
        <v>0.85050000000000003</v>
      </c>
      <c r="I6" s="18">
        <v>0.79010000000000002</v>
      </c>
      <c r="J6" s="18">
        <v>0.78959999999999997</v>
      </c>
      <c r="K6" s="18">
        <v>0.78439999999999999</v>
      </c>
      <c r="L6" s="18">
        <v>0.54900000000000004</v>
      </c>
      <c r="M6" s="18">
        <v>0.54900000000000004</v>
      </c>
      <c r="N6" s="18">
        <v>0.56720000000000004</v>
      </c>
      <c r="O6" s="18">
        <v>0.51300000000000001</v>
      </c>
      <c r="P6" s="18">
        <v>0.48799999999999999</v>
      </c>
      <c r="Q6" s="18">
        <v>0.47399999999999998</v>
      </c>
    </row>
    <row r="7" spans="1:17" x14ac:dyDescent="0.2">
      <c r="A7" s="16"/>
      <c r="B7" s="17" t="s">
        <v>24</v>
      </c>
      <c r="C7" s="19">
        <v>2</v>
      </c>
      <c r="D7" s="19">
        <v>1</v>
      </c>
      <c r="E7" s="19">
        <v>5</v>
      </c>
      <c r="F7" s="19">
        <v>6</v>
      </c>
      <c r="G7" s="19">
        <v>5</v>
      </c>
      <c r="H7" s="19">
        <v>7</v>
      </c>
      <c r="I7" s="19">
        <v>10</v>
      </c>
      <c r="J7" s="19">
        <v>10</v>
      </c>
      <c r="K7" s="19">
        <v>10</v>
      </c>
      <c r="L7" s="19">
        <v>22</v>
      </c>
      <c r="M7" s="19">
        <v>22</v>
      </c>
      <c r="N7" s="19">
        <v>21</v>
      </c>
      <c r="O7" s="19">
        <v>23</v>
      </c>
      <c r="P7" s="19">
        <v>25</v>
      </c>
      <c r="Q7" s="19">
        <v>25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28</v>
      </c>
      <c r="D9" s="7">
        <v>28</v>
      </c>
      <c r="E9" s="7">
        <v>28</v>
      </c>
      <c r="F9" s="7">
        <v>28</v>
      </c>
      <c r="G9" s="7">
        <v>28</v>
      </c>
      <c r="H9" s="7">
        <v>28</v>
      </c>
      <c r="I9" s="7">
        <v>28</v>
      </c>
      <c r="J9" s="7">
        <v>28</v>
      </c>
      <c r="K9" s="7">
        <v>28</v>
      </c>
      <c r="L9" s="7">
        <v>28</v>
      </c>
      <c r="M9" s="7">
        <v>28</v>
      </c>
      <c r="N9" s="7">
        <v>28</v>
      </c>
      <c r="O9" s="7">
        <v>28</v>
      </c>
      <c r="P9" s="7">
        <v>28</v>
      </c>
      <c r="Q9" s="7">
        <v>28</v>
      </c>
    </row>
    <row r="10" spans="1:17" x14ac:dyDescent="0.2">
      <c r="A10" s="8" t="s">
        <v>17</v>
      </c>
      <c r="B10" s="11" t="s">
        <v>19</v>
      </c>
      <c r="C10" s="7">
        <v>28</v>
      </c>
      <c r="D10" s="7">
        <v>28</v>
      </c>
      <c r="E10" s="7">
        <v>28</v>
      </c>
      <c r="F10" s="7">
        <v>28</v>
      </c>
      <c r="G10" s="7">
        <v>28</v>
      </c>
      <c r="H10" s="7">
        <v>28</v>
      </c>
      <c r="I10" s="7">
        <v>28</v>
      </c>
      <c r="J10" s="7">
        <v>28</v>
      </c>
      <c r="K10" s="7">
        <v>28</v>
      </c>
      <c r="L10" s="7">
        <v>28</v>
      </c>
      <c r="M10" s="7">
        <v>28</v>
      </c>
      <c r="N10" s="7">
        <v>28</v>
      </c>
      <c r="O10" s="7">
        <v>28</v>
      </c>
      <c r="P10" s="7">
        <v>28</v>
      </c>
      <c r="Q10" s="7">
        <v>28</v>
      </c>
    </row>
    <row r="11" spans="1:17" x14ac:dyDescent="0.2">
      <c r="A11" s="15" t="s">
        <v>18</v>
      </c>
      <c r="B11" s="12" t="s">
        <v>19</v>
      </c>
      <c r="C11" s="7">
        <v>28</v>
      </c>
      <c r="D11" s="7">
        <v>28</v>
      </c>
      <c r="E11" s="7">
        <v>25</v>
      </c>
      <c r="F11" s="7">
        <v>25</v>
      </c>
      <c r="G11" s="7">
        <v>25</v>
      </c>
      <c r="H11" s="7">
        <v>23</v>
      </c>
      <c r="I11" s="7">
        <v>23</v>
      </c>
      <c r="J11" s="7">
        <v>23</v>
      </c>
      <c r="K11" s="7">
        <v>23</v>
      </c>
      <c r="L11" s="7">
        <v>18</v>
      </c>
      <c r="M11" s="7">
        <v>18</v>
      </c>
      <c r="N11" s="7">
        <v>19</v>
      </c>
      <c r="O11" s="7">
        <v>16.25</v>
      </c>
      <c r="P11" s="7">
        <v>15.05</v>
      </c>
      <c r="Q11" s="7">
        <v>14.375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17</v>
      </c>
      <c r="D13" s="7">
        <v>17</v>
      </c>
      <c r="E13" s="7">
        <v>17</v>
      </c>
      <c r="F13" s="7">
        <v>17</v>
      </c>
      <c r="G13" s="7">
        <v>17</v>
      </c>
      <c r="H13" s="7">
        <v>17</v>
      </c>
      <c r="I13" s="7">
        <v>17</v>
      </c>
      <c r="J13" s="7">
        <v>17</v>
      </c>
      <c r="K13" s="7">
        <v>17</v>
      </c>
      <c r="L13" s="7">
        <v>17</v>
      </c>
      <c r="M13" s="7">
        <v>17</v>
      </c>
      <c r="N13" s="7">
        <v>17</v>
      </c>
      <c r="O13" s="7">
        <v>17</v>
      </c>
      <c r="P13" s="7">
        <v>17</v>
      </c>
      <c r="Q13" s="7">
        <v>17</v>
      </c>
    </row>
    <row r="14" spans="1:17" x14ac:dyDescent="0.2">
      <c r="A14" s="8" t="s">
        <v>17</v>
      </c>
      <c r="B14" s="11" t="s">
        <v>20</v>
      </c>
      <c r="C14" s="7">
        <v>17</v>
      </c>
      <c r="D14" s="7">
        <v>17</v>
      </c>
      <c r="E14" s="7">
        <v>17</v>
      </c>
      <c r="F14" s="7">
        <v>17</v>
      </c>
      <c r="G14" s="7">
        <v>17</v>
      </c>
      <c r="H14" s="7">
        <v>17</v>
      </c>
      <c r="I14" s="7">
        <v>17</v>
      </c>
      <c r="J14" s="7">
        <v>17</v>
      </c>
      <c r="K14" s="7">
        <v>17</v>
      </c>
      <c r="L14" s="7">
        <v>17</v>
      </c>
      <c r="M14" s="7">
        <v>17</v>
      </c>
      <c r="N14" s="7">
        <v>17</v>
      </c>
      <c r="O14" s="7">
        <v>17</v>
      </c>
      <c r="P14" s="7">
        <v>17</v>
      </c>
      <c r="Q14" s="7">
        <v>17</v>
      </c>
    </row>
    <row r="15" spans="1:17" x14ac:dyDescent="0.2">
      <c r="A15" s="15" t="s">
        <v>18</v>
      </c>
      <c r="B15" s="12" t="s">
        <v>20</v>
      </c>
      <c r="C15" s="7">
        <v>17</v>
      </c>
      <c r="D15" s="7">
        <v>17</v>
      </c>
      <c r="E15" s="7">
        <v>16</v>
      </c>
      <c r="F15" s="7">
        <v>15</v>
      </c>
      <c r="G15" s="7">
        <v>15</v>
      </c>
      <c r="H15" s="7">
        <v>15</v>
      </c>
      <c r="I15" s="7">
        <v>14</v>
      </c>
      <c r="J15" s="7">
        <v>14</v>
      </c>
      <c r="K15" s="7">
        <v>14</v>
      </c>
      <c r="L15" s="7">
        <v>8</v>
      </c>
      <c r="M15" s="7">
        <v>8</v>
      </c>
      <c r="N15" s="7">
        <v>8</v>
      </c>
      <c r="O15" s="7">
        <v>7.625</v>
      </c>
      <c r="P15" s="7">
        <v>7.625</v>
      </c>
      <c r="Q15" s="7">
        <v>7.625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3</v>
      </c>
      <c r="D17" s="7">
        <v>3</v>
      </c>
      <c r="E17" s="7">
        <v>3</v>
      </c>
      <c r="F17" s="7">
        <v>3</v>
      </c>
      <c r="G17" s="7">
        <v>3</v>
      </c>
      <c r="H17" s="7">
        <v>3</v>
      </c>
      <c r="I17" s="7">
        <v>3</v>
      </c>
      <c r="J17" s="7">
        <v>3</v>
      </c>
      <c r="K17" s="7">
        <v>3</v>
      </c>
      <c r="L17" s="7">
        <v>3</v>
      </c>
      <c r="M17" s="7">
        <v>3</v>
      </c>
      <c r="N17" s="7">
        <v>3</v>
      </c>
      <c r="O17" s="7">
        <v>3</v>
      </c>
      <c r="P17" s="7">
        <v>3</v>
      </c>
      <c r="Q17" s="7">
        <v>3</v>
      </c>
    </row>
    <row r="18" spans="1:17" x14ac:dyDescent="0.2">
      <c r="A18" s="8" t="s">
        <v>17</v>
      </c>
      <c r="B18" s="11" t="s">
        <v>21</v>
      </c>
      <c r="C18" s="7">
        <v>2</v>
      </c>
      <c r="D18" s="7">
        <v>2</v>
      </c>
      <c r="E18" s="7">
        <v>2</v>
      </c>
      <c r="F18" s="7">
        <v>2</v>
      </c>
      <c r="G18" s="7">
        <v>2</v>
      </c>
      <c r="H18" s="7">
        <v>2</v>
      </c>
      <c r="I18" s="7">
        <v>2</v>
      </c>
      <c r="J18" s="7">
        <v>2</v>
      </c>
      <c r="K18" s="7">
        <v>2</v>
      </c>
      <c r="L18" s="7">
        <v>2</v>
      </c>
      <c r="M18" s="7">
        <v>2</v>
      </c>
      <c r="N18" s="7">
        <v>2</v>
      </c>
      <c r="O18" s="7">
        <v>2</v>
      </c>
      <c r="P18" s="7">
        <v>2</v>
      </c>
      <c r="Q18" s="7">
        <v>2</v>
      </c>
    </row>
    <row r="19" spans="1:17" x14ac:dyDescent="0.2">
      <c r="A19" s="15" t="s">
        <v>18</v>
      </c>
      <c r="B19" s="12" t="s">
        <v>21</v>
      </c>
      <c r="C19" s="7">
        <v>1</v>
      </c>
      <c r="D19" s="7">
        <v>3</v>
      </c>
      <c r="E19" s="7">
        <v>3</v>
      </c>
      <c r="F19" s="7">
        <v>3</v>
      </c>
      <c r="G19" s="7">
        <v>3</v>
      </c>
      <c r="H19" s="7">
        <v>3</v>
      </c>
      <c r="I19" s="7">
        <v>1</v>
      </c>
      <c r="J19" s="7">
        <v>1</v>
      </c>
      <c r="K19" s="7">
        <v>1</v>
      </c>
      <c r="L19" s="7">
        <v>1</v>
      </c>
      <c r="M19" s="7">
        <v>1</v>
      </c>
      <c r="N19" s="7">
        <v>1</v>
      </c>
      <c r="O19" s="7">
        <v>1</v>
      </c>
      <c r="P19" s="7">
        <v>1</v>
      </c>
      <c r="Q19" s="7">
        <v>1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183</v>
      </c>
    </row>
    <row r="32" spans="1:17" x14ac:dyDescent="0.2">
      <c r="A32" s="10" t="s">
        <v>32</v>
      </c>
      <c r="B32" s="6" t="s">
        <v>16</v>
      </c>
      <c r="C32" s="20">
        <v>48</v>
      </c>
      <c r="D32" s="20">
        <v>48</v>
      </c>
      <c r="E32" s="20">
        <v>48</v>
      </c>
      <c r="F32" s="20">
        <v>48</v>
      </c>
      <c r="G32" s="20">
        <v>48</v>
      </c>
    </row>
    <row r="33" spans="1:7" x14ac:dyDescent="0.2">
      <c r="A33" s="11" t="s">
        <v>32</v>
      </c>
      <c r="B33" s="8" t="s">
        <v>17</v>
      </c>
      <c r="C33" s="20">
        <v>48</v>
      </c>
      <c r="D33" s="20">
        <v>48</v>
      </c>
      <c r="E33" s="20">
        <v>48</v>
      </c>
      <c r="F33" s="20">
        <v>48</v>
      </c>
      <c r="G33" s="20">
        <v>48</v>
      </c>
    </row>
    <row r="34" spans="1:7" x14ac:dyDescent="0.2">
      <c r="A34" s="12" t="s">
        <v>32</v>
      </c>
      <c r="B34" s="9" t="s">
        <v>18</v>
      </c>
      <c r="C34" s="20">
        <v>46</v>
      </c>
      <c r="D34" s="20">
        <v>42</v>
      </c>
      <c r="E34" s="20">
        <v>38</v>
      </c>
      <c r="F34" s="20">
        <v>27</v>
      </c>
      <c r="G34" s="20">
        <v>24</v>
      </c>
    </row>
    <row r="35" spans="1:7" x14ac:dyDescent="0.2">
      <c r="A35" s="16"/>
      <c r="B35" s="7"/>
      <c r="C35" s="27">
        <v>5.1200000000000002E-2</v>
      </c>
      <c r="D35" s="27">
        <v>0.12720000000000001</v>
      </c>
      <c r="E35" s="27">
        <v>0.21199999999999999</v>
      </c>
      <c r="F35" s="27">
        <v>0.44500000000000001</v>
      </c>
      <c r="G35" s="27">
        <v>0.50829999999999997</v>
      </c>
    </row>
    <row r="36" spans="1:7" x14ac:dyDescent="0.2">
      <c r="A36" s="7"/>
      <c r="B36" s="17" t="s">
        <v>23</v>
      </c>
      <c r="C36" s="18">
        <v>0.94879999999999998</v>
      </c>
      <c r="D36" s="18">
        <v>0.87280000000000002</v>
      </c>
      <c r="E36" s="18">
        <v>0.78800000000000003</v>
      </c>
      <c r="F36" s="18">
        <v>0.55500000000000005</v>
      </c>
      <c r="G36" s="18">
        <v>0.49170000000000003</v>
      </c>
    </row>
    <row r="37" spans="1:7" x14ac:dyDescent="0.2">
      <c r="A37" s="16"/>
      <c r="B37" s="17" t="s">
        <v>24</v>
      </c>
      <c r="C37" s="19">
        <v>2</v>
      </c>
      <c r="D37" s="19">
        <v>6</v>
      </c>
      <c r="E37" s="19">
        <v>10</v>
      </c>
      <c r="F37" s="19">
        <v>14</v>
      </c>
      <c r="G37" s="19">
        <v>24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28</v>
      </c>
      <c r="D39" s="20">
        <v>28</v>
      </c>
      <c r="E39" s="20">
        <v>28</v>
      </c>
      <c r="F39" s="20">
        <v>28</v>
      </c>
      <c r="G39" s="20">
        <v>28</v>
      </c>
    </row>
    <row r="40" spans="1:7" x14ac:dyDescent="0.2">
      <c r="A40" s="8" t="s">
        <v>17</v>
      </c>
      <c r="B40" s="11" t="s">
        <v>19</v>
      </c>
      <c r="C40" s="20">
        <v>28</v>
      </c>
      <c r="D40" s="20">
        <v>28</v>
      </c>
      <c r="E40" s="20">
        <v>28</v>
      </c>
      <c r="F40" s="20">
        <v>28</v>
      </c>
      <c r="G40" s="20">
        <v>28</v>
      </c>
    </row>
    <row r="41" spans="1:7" x14ac:dyDescent="0.2">
      <c r="A41" s="15" t="s">
        <v>18</v>
      </c>
      <c r="B41" s="12" t="s">
        <v>19</v>
      </c>
      <c r="C41" s="20">
        <v>27</v>
      </c>
      <c r="D41" s="20">
        <v>24</v>
      </c>
      <c r="E41" s="20">
        <v>23</v>
      </c>
      <c r="F41" s="20">
        <v>18</v>
      </c>
      <c r="G41" s="20">
        <v>15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17</v>
      </c>
      <c r="D43" s="20">
        <v>17</v>
      </c>
      <c r="E43" s="20">
        <v>17</v>
      </c>
      <c r="F43" s="20">
        <v>17</v>
      </c>
      <c r="G43" s="20">
        <v>17</v>
      </c>
    </row>
    <row r="44" spans="1:7" x14ac:dyDescent="0.2">
      <c r="A44" s="8" t="s">
        <v>17</v>
      </c>
      <c r="B44" s="11" t="s">
        <v>20</v>
      </c>
      <c r="C44" s="20">
        <v>17</v>
      </c>
      <c r="D44" s="20">
        <v>17</v>
      </c>
      <c r="E44" s="20">
        <v>17</v>
      </c>
      <c r="F44" s="20">
        <v>17</v>
      </c>
      <c r="G44" s="20">
        <v>17</v>
      </c>
    </row>
    <row r="45" spans="1:7" x14ac:dyDescent="0.2">
      <c r="A45" s="15" t="s">
        <v>18</v>
      </c>
      <c r="B45" s="12" t="s">
        <v>20</v>
      </c>
      <c r="C45" s="20">
        <v>17</v>
      </c>
      <c r="D45" s="20">
        <v>15</v>
      </c>
      <c r="E45" s="20">
        <v>14</v>
      </c>
      <c r="F45" s="20">
        <v>8</v>
      </c>
      <c r="G45" s="20">
        <v>8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3</v>
      </c>
      <c r="D47" s="20">
        <v>3</v>
      </c>
      <c r="E47" s="20">
        <v>3</v>
      </c>
      <c r="F47" s="20">
        <v>3</v>
      </c>
      <c r="G47" s="20">
        <v>3</v>
      </c>
    </row>
    <row r="48" spans="1:7" x14ac:dyDescent="0.2">
      <c r="A48" s="8" t="s">
        <v>17</v>
      </c>
      <c r="B48" s="11" t="s">
        <v>21</v>
      </c>
      <c r="C48" s="20">
        <v>2</v>
      </c>
      <c r="D48" s="20">
        <v>2</v>
      </c>
      <c r="E48" s="20">
        <v>2</v>
      </c>
      <c r="F48" s="20">
        <v>2</v>
      </c>
      <c r="G48" s="20">
        <v>2</v>
      </c>
    </row>
    <row r="49" spans="1:17" x14ac:dyDescent="0.2">
      <c r="A49" s="15" t="s">
        <v>18</v>
      </c>
      <c r="B49" s="12" t="s">
        <v>21</v>
      </c>
      <c r="C49" s="20">
        <v>2</v>
      </c>
      <c r="D49" s="20">
        <v>3</v>
      </c>
      <c r="E49" s="20">
        <v>1</v>
      </c>
      <c r="F49" s="20">
        <v>1</v>
      </c>
      <c r="G49" s="20">
        <v>1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1" t="s">
        <v>180</v>
      </c>
      <c r="P61" s="81" t="s">
        <v>181</v>
      </c>
      <c r="Q61" s="81" t="s">
        <v>182</v>
      </c>
    </row>
    <row r="62" spans="1:17" x14ac:dyDescent="0.2">
      <c r="A62" s="11"/>
      <c r="B62" s="8" t="s">
        <v>16</v>
      </c>
      <c r="C62" s="33">
        <v>48</v>
      </c>
      <c r="D62" s="33">
        <v>48</v>
      </c>
      <c r="E62" s="33">
        <v>48</v>
      </c>
      <c r="F62" s="33">
        <v>48</v>
      </c>
      <c r="G62" s="33">
        <v>48</v>
      </c>
      <c r="H62" s="33">
        <v>48</v>
      </c>
      <c r="I62" s="33">
        <v>48</v>
      </c>
      <c r="J62" s="33">
        <v>48</v>
      </c>
      <c r="K62" s="33">
        <v>48</v>
      </c>
      <c r="L62" s="33">
        <v>48</v>
      </c>
      <c r="M62" s="33">
        <v>48</v>
      </c>
      <c r="N62" s="33">
        <v>48</v>
      </c>
      <c r="O62" s="33">
        <v>48</v>
      </c>
      <c r="P62" s="33">
        <v>48</v>
      </c>
      <c r="Q62" s="33">
        <v>48</v>
      </c>
    </row>
    <row r="63" spans="1:17" x14ac:dyDescent="0.2">
      <c r="A63" s="34"/>
      <c r="B63" s="35" t="s">
        <v>18</v>
      </c>
      <c r="C63" s="36">
        <v>45.93</v>
      </c>
      <c r="D63" s="36">
        <v>47.28</v>
      </c>
      <c r="E63" s="36">
        <v>43.414999999999999</v>
      </c>
      <c r="F63" s="36">
        <v>42.314999999999998</v>
      </c>
      <c r="G63" s="36">
        <v>42.55</v>
      </c>
      <c r="H63" s="36">
        <v>40.825000000000003</v>
      </c>
      <c r="I63" s="36">
        <v>37.924999999999997</v>
      </c>
      <c r="J63" s="36">
        <v>37.9</v>
      </c>
      <c r="K63" s="36">
        <v>37.65</v>
      </c>
      <c r="L63" s="36">
        <v>26.35</v>
      </c>
      <c r="M63" s="36">
        <v>26.35</v>
      </c>
      <c r="N63" s="36">
        <v>27.225000000000001</v>
      </c>
      <c r="O63" s="36">
        <v>24.625</v>
      </c>
      <c r="P63" s="36">
        <v>23.425000000000001</v>
      </c>
      <c r="Q63" s="36">
        <v>22.75</v>
      </c>
    </row>
    <row r="64" spans="1:17" x14ac:dyDescent="0.2">
      <c r="A64" s="14" t="s">
        <v>39</v>
      </c>
      <c r="B64" s="6" t="s">
        <v>16</v>
      </c>
      <c r="C64" s="14">
        <v>1</v>
      </c>
      <c r="D64" s="14">
        <v>1</v>
      </c>
      <c r="E64" s="14">
        <v>1</v>
      </c>
      <c r="F64" s="14">
        <v>1</v>
      </c>
      <c r="G64" s="14">
        <v>1</v>
      </c>
      <c r="H64" s="14">
        <v>1</v>
      </c>
      <c r="I64" s="14">
        <v>1</v>
      </c>
      <c r="J64" s="14">
        <v>1</v>
      </c>
      <c r="K64" s="14">
        <v>1</v>
      </c>
      <c r="L64" s="14">
        <v>1</v>
      </c>
      <c r="M64" s="14">
        <v>1</v>
      </c>
      <c r="N64" s="14">
        <v>1</v>
      </c>
      <c r="O64" s="14">
        <v>1</v>
      </c>
      <c r="P64" s="14">
        <v>1</v>
      </c>
      <c r="Q64" s="14">
        <v>1</v>
      </c>
    </row>
    <row r="65" spans="1:17" x14ac:dyDescent="0.2">
      <c r="A65" s="37" t="s">
        <v>39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14" t="s">
        <v>40</v>
      </c>
      <c r="B66" s="6" t="s">
        <v>16</v>
      </c>
      <c r="C66" s="14">
        <v>6</v>
      </c>
      <c r="D66" s="14">
        <v>6</v>
      </c>
      <c r="E66" s="14">
        <v>6</v>
      </c>
      <c r="F66" s="14">
        <v>6</v>
      </c>
      <c r="G66" s="14">
        <v>6</v>
      </c>
      <c r="H66" s="14">
        <v>6</v>
      </c>
      <c r="I66" s="14">
        <v>6</v>
      </c>
      <c r="J66" s="14">
        <v>6</v>
      </c>
      <c r="K66" s="14">
        <v>6</v>
      </c>
      <c r="L66" s="14">
        <v>6</v>
      </c>
      <c r="M66" s="14">
        <v>6</v>
      </c>
      <c r="N66" s="14">
        <v>6</v>
      </c>
      <c r="O66" s="14">
        <v>6</v>
      </c>
      <c r="P66" s="14">
        <v>6</v>
      </c>
      <c r="Q66" s="14">
        <v>6</v>
      </c>
    </row>
    <row r="67" spans="1:17" x14ac:dyDescent="0.2">
      <c r="A67" s="37" t="s">
        <v>40</v>
      </c>
      <c r="B67" s="9" t="s">
        <v>18</v>
      </c>
      <c r="C67" s="7">
        <v>6</v>
      </c>
      <c r="D67" s="7">
        <v>6</v>
      </c>
      <c r="E67" s="7">
        <v>6</v>
      </c>
      <c r="F67" s="7">
        <v>5.9249999999999998</v>
      </c>
      <c r="G67" s="7">
        <v>5.625</v>
      </c>
      <c r="H67" s="7">
        <v>5.6749999999999998</v>
      </c>
      <c r="I67" s="7">
        <v>5.85</v>
      </c>
      <c r="J67" s="7">
        <v>5.85</v>
      </c>
      <c r="K67" s="7">
        <v>6</v>
      </c>
      <c r="L67" s="7">
        <v>6</v>
      </c>
      <c r="M67" s="7">
        <v>6</v>
      </c>
      <c r="N67" s="7">
        <v>6</v>
      </c>
      <c r="O67" s="7">
        <v>6</v>
      </c>
      <c r="P67" s="7">
        <v>6</v>
      </c>
      <c r="Q67" s="7">
        <v>6</v>
      </c>
    </row>
    <row r="68" spans="1:17" x14ac:dyDescent="0.2">
      <c r="A68" s="39" t="s">
        <v>41</v>
      </c>
      <c r="B68" s="40" t="s">
        <v>16</v>
      </c>
      <c r="C68" s="40">
        <v>5</v>
      </c>
      <c r="D68" s="40">
        <v>5</v>
      </c>
      <c r="E68" s="40">
        <v>5</v>
      </c>
      <c r="F68" s="40">
        <v>5</v>
      </c>
      <c r="G68" s="40">
        <v>5</v>
      </c>
      <c r="H68" s="40">
        <v>5</v>
      </c>
      <c r="I68" s="40">
        <v>5</v>
      </c>
      <c r="J68" s="40">
        <v>5</v>
      </c>
      <c r="K68" s="40">
        <v>5</v>
      </c>
      <c r="L68" s="40">
        <v>5</v>
      </c>
      <c r="M68" s="40">
        <v>5</v>
      </c>
      <c r="N68" s="40">
        <v>5</v>
      </c>
      <c r="O68" s="40">
        <v>5</v>
      </c>
      <c r="P68" s="40">
        <v>5</v>
      </c>
      <c r="Q68" s="40">
        <v>5</v>
      </c>
    </row>
    <row r="69" spans="1:17" x14ac:dyDescent="0.2">
      <c r="A69" s="41" t="s">
        <v>42</v>
      </c>
      <c r="B69" s="42" t="s">
        <v>18</v>
      </c>
      <c r="C69" s="38">
        <v>5</v>
      </c>
      <c r="D69" s="38">
        <v>5</v>
      </c>
      <c r="E69" s="38">
        <v>5</v>
      </c>
      <c r="F69" s="38">
        <v>4.9249999999999998</v>
      </c>
      <c r="G69" s="38">
        <v>4.625</v>
      </c>
      <c r="H69" s="38">
        <v>4.6749999999999998</v>
      </c>
      <c r="I69" s="38">
        <v>4.8499999999999996</v>
      </c>
      <c r="J69" s="38">
        <v>4.8499999999999996</v>
      </c>
      <c r="K69" s="38">
        <v>5</v>
      </c>
      <c r="L69" s="38">
        <v>5</v>
      </c>
      <c r="M69" s="38">
        <v>5</v>
      </c>
      <c r="N69" s="38">
        <v>5</v>
      </c>
      <c r="O69" s="38">
        <v>5</v>
      </c>
      <c r="P69" s="38">
        <v>5</v>
      </c>
      <c r="Q69" s="38">
        <v>5</v>
      </c>
    </row>
    <row r="70" spans="1:17" x14ac:dyDescent="0.2">
      <c r="A70" s="39" t="s">
        <v>43</v>
      </c>
      <c r="B70" s="40" t="s">
        <v>16</v>
      </c>
      <c r="C70" s="40">
        <v>1</v>
      </c>
      <c r="D70" s="40">
        <v>1</v>
      </c>
      <c r="E70" s="40">
        <v>1</v>
      </c>
      <c r="F70" s="40">
        <v>1</v>
      </c>
      <c r="G70" s="40">
        <v>1</v>
      </c>
      <c r="H70" s="40">
        <v>1</v>
      </c>
      <c r="I70" s="40">
        <v>1</v>
      </c>
      <c r="J70" s="40">
        <v>1</v>
      </c>
      <c r="K70" s="40">
        <v>1</v>
      </c>
      <c r="L70" s="40">
        <v>1</v>
      </c>
      <c r="M70" s="40">
        <v>1</v>
      </c>
      <c r="N70" s="40">
        <v>1</v>
      </c>
      <c r="O70" s="40">
        <v>1</v>
      </c>
      <c r="P70" s="40">
        <v>1</v>
      </c>
      <c r="Q70" s="40">
        <v>1</v>
      </c>
    </row>
    <row r="71" spans="1:17" x14ac:dyDescent="0.2">
      <c r="A71" s="41" t="s">
        <v>44</v>
      </c>
      <c r="B71" s="42" t="s">
        <v>18</v>
      </c>
      <c r="C71" s="38">
        <v>1</v>
      </c>
      <c r="D71" s="38">
        <v>1</v>
      </c>
      <c r="E71" s="38">
        <v>1</v>
      </c>
      <c r="F71" s="38">
        <v>1</v>
      </c>
      <c r="G71" s="38">
        <v>1</v>
      </c>
      <c r="H71" s="38">
        <v>1</v>
      </c>
      <c r="I71" s="38">
        <v>1</v>
      </c>
      <c r="J71" s="38">
        <v>1</v>
      </c>
      <c r="K71" s="38">
        <v>1</v>
      </c>
      <c r="L71" s="38">
        <v>1</v>
      </c>
      <c r="M71" s="38">
        <v>1</v>
      </c>
      <c r="N71" s="38">
        <v>1</v>
      </c>
      <c r="O71" s="38">
        <v>1</v>
      </c>
      <c r="P71" s="38">
        <v>1</v>
      </c>
      <c r="Q71" s="38">
        <v>1</v>
      </c>
    </row>
    <row r="72" spans="1:17" x14ac:dyDescent="0.2">
      <c r="A72" s="14" t="s">
        <v>45</v>
      </c>
      <c r="B72" s="6" t="s">
        <v>16</v>
      </c>
      <c r="C72" s="14">
        <v>41</v>
      </c>
      <c r="D72" s="14">
        <v>41</v>
      </c>
      <c r="E72" s="14">
        <v>41</v>
      </c>
      <c r="F72" s="14">
        <v>41</v>
      </c>
      <c r="G72" s="14">
        <v>41</v>
      </c>
      <c r="H72" s="14">
        <v>41</v>
      </c>
      <c r="I72" s="14">
        <v>41</v>
      </c>
      <c r="J72" s="14">
        <v>41</v>
      </c>
      <c r="K72" s="14">
        <v>41</v>
      </c>
      <c r="L72" s="14">
        <v>41</v>
      </c>
      <c r="M72" s="14">
        <v>41</v>
      </c>
      <c r="N72" s="14">
        <v>41</v>
      </c>
      <c r="O72" s="14">
        <v>41</v>
      </c>
      <c r="P72" s="14">
        <v>41</v>
      </c>
      <c r="Q72" s="14">
        <v>41</v>
      </c>
    </row>
    <row r="73" spans="1:17" x14ac:dyDescent="0.2">
      <c r="A73" s="37" t="s">
        <v>45</v>
      </c>
      <c r="B73" s="9" t="s">
        <v>18</v>
      </c>
      <c r="C73" s="7">
        <v>38.93</v>
      </c>
      <c r="D73" s="7">
        <v>40.28</v>
      </c>
      <c r="E73" s="7">
        <v>36.414999999999999</v>
      </c>
      <c r="F73" s="7">
        <v>35.39</v>
      </c>
      <c r="G73" s="7">
        <v>35.924999999999997</v>
      </c>
      <c r="H73" s="7">
        <v>34.15</v>
      </c>
      <c r="I73" s="7">
        <v>31.074999999999999</v>
      </c>
      <c r="J73" s="7">
        <v>31.05</v>
      </c>
      <c r="K73" s="7">
        <v>30.65</v>
      </c>
      <c r="L73" s="7">
        <v>19.350000000000001</v>
      </c>
      <c r="M73" s="7">
        <v>19.350000000000001</v>
      </c>
      <c r="N73" s="7">
        <v>20.225000000000001</v>
      </c>
      <c r="O73" s="7">
        <v>17.625</v>
      </c>
      <c r="P73" s="7">
        <v>16.425000000000001</v>
      </c>
      <c r="Q73" s="7">
        <v>15.75</v>
      </c>
    </row>
    <row r="74" spans="1:17" x14ac:dyDescent="0.2">
      <c r="A74" s="39" t="s">
        <v>46</v>
      </c>
      <c r="B74" s="40" t="s">
        <v>16</v>
      </c>
      <c r="C74" s="40">
        <v>22</v>
      </c>
      <c r="D74" s="40">
        <v>22</v>
      </c>
      <c r="E74" s="40">
        <v>22</v>
      </c>
      <c r="F74" s="40">
        <v>22</v>
      </c>
      <c r="G74" s="40">
        <v>22</v>
      </c>
      <c r="H74" s="40">
        <v>22</v>
      </c>
      <c r="I74" s="40">
        <v>22</v>
      </c>
      <c r="J74" s="40">
        <v>22</v>
      </c>
      <c r="K74" s="40">
        <v>22</v>
      </c>
      <c r="L74" s="40">
        <v>22</v>
      </c>
      <c r="M74" s="40">
        <v>22</v>
      </c>
      <c r="N74" s="40">
        <v>22</v>
      </c>
      <c r="O74" s="40">
        <v>22</v>
      </c>
      <c r="P74" s="40">
        <v>22</v>
      </c>
      <c r="Q74" s="40">
        <v>22</v>
      </c>
    </row>
    <row r="75" spans="1:17" x14ac:dyDescent="0.2">
      <c r="A75" s="41" t="s">
        <v>47</v>
      </c>
      <c r="B75" s="42" t="s">
        <v>18</v>
      </c>
      <c r="C75" s="38">
        <v>21.93</v>
      </c>
      <c r="D75" s="38">
        <v>21.78</v>
      </c>
      <c r="E75" s="38">
        <v>19.114999999999998</v>
      </c>
      <c r="F75" s="38">
        <v>19.14</v>
      </c>
      <c r="G75" s="38">
        <v>18.925000000000001</v>
      </c>
      <c r="H75" s="38">
        <v>17.774999999999999</v>
      </c>
      <c r="I75" s="38">
        <v>17.024999999999999</v>
      </c>
      <c r="J75" s="38">
        <v>17</v>
      </c>
      <c r="K75" s="38">
        <v>17.100000000000001</v>
      </c>
      <c r="L75" s="38">
        <v>11.975</v>
      </c>
      <c r="M75" s="38">
        <v>11.975</v>
      </c>
      <c r="N75" s="38">
        <v>12.85</v>
      </c>
      <c r="O75" s="38">
        <v>10.25</v>
      </c>
      <c r="P75" s="38">
        <v>9.0500000000000007</v>
      </c>
      <c r="Q75" s="38">
        <v>8.375</v>
      </c>
    </row>
    <row r="76" spans="1:17" x14ac:dyDescent="0.2">
      <c r="A76" s="39" t="s">
        <v>48</v>
      </c>
      <c r="B76" s="40" t="s">
        <v>16</v>
      </c>
      <c r="C76" s="40">
        <v>16</v>
      </c>
      <c r="D76" s="40">
        <v>16</v>
      </c>
      <c r="E76" s="40">
        <v>16</v>
      </c>
      <c r="F76" s="40">
        <v>16</v>
      </c>
      <c r="G76" s="40">
        <v>16</v>
      </c>
      <c r="H76" s="40">
        <v>16</v>
      </c>
      <c r="I76" s="40">
        <v>16</v>
      </c>
      <c r="J76" s="40">
        <v>16</v>
      </c>
      <c r="K76" s="40">
        <v>16</v>
      </c>
      <c r="L76" s="40">
        <v>16</v>
      </c>
      <c r="M76" s="40">
        <v>16</v>
      </c>
      <c r="N76" s="40">
        <v>16</v>
      </c>
      <c r="O76" s="40">
        <v>16</v>
      </c>
      <c r="P76" s="40">
        <v>16</v>
      </c>
      <c r="Q76" s="40">
        <v>16</v>
      </c>
    </row>
    <row r="77" spans="1:17" x14ac:dyDescent="0.2">
      <c r="A77" s="41" t="s">
        <v>49</v>
      </c>
      <c r="B77" s="42" t="s">
        <v>18</v>
      </c>
      <c r="C77" s="38">
        <v>16</v>
      </c>
      <c r="D77" s="38">
        <v>16</v>
      </c>
      <c r="E77" s="38">
        <v>14.55</v>
      </c>
      <c r="F77" s="38">
        <v>13.5</v>
      </c>
      <c r="G77" s="38">
        <v>14.25</v>
      </c>
      <c r="H77" s="38">
        <v>13.625</v>
      </c>
      <c r="I77" s="38">
        <v>13.3</v>
      </c>
      <c r="J77" s="38">
        <v>13.3</v>
      </c>
      <c r="K77" s="38">
        <v>12.8</v>
      </c>
      <c r="L77" s="38">
        <v>6.625</v>
      </c>
      <c r="M77" s="38">
        <v>6.625</v>
      </c>
      <c r="N77" s="38">
        <v>6.625</v>
      </c>
      <c r="O77" s="38">
        <v>6.625</v>
      </c>
      <c r="P77" s="38">
        <v>6.625</v>
      </c>
      <c r="Q77" s="38">
        <v>6.625</v>
      </c>
    </row>
    <row r="78" spans="1:17" x14ac:dyDescent="0.2">
      <c r="A78" s="39" t="s">
        <v>50</v>
      </c>
      <c r="B78" s="40" t="s">
        <v>16</v>
      </c>
      <c r="C78" s="40">
        <v>3</v>
      </c>
      <c r="D78" s="40">
        <v>3</v>
      </c>
      <c r="E78" s="40">
        <v>3</v>
      </c>
      <c r="F78" s="40">
        <v>3</v>
      </c>
      <c r="G78" s="40">
        <v>3</v>
      </c>
      <c r="H78" s="40">
        <v>3</v>
      </c>
      <c r="I78" s="40">
        <v>3</v>
      </c>
      <c r="J78" s="40">
        <v>3</v>
      </c>
      <c r="K78" s="40">
        <v>3</v>
      </c>
      <c r="L78" s="40">
        <v>3</v>
      </c>
      <c r="M78" s="40">
        <v>3</v>
      </c>
      <c r="N78" s="40">
        <v>3</v>
      </c>
      <c r="O78" s="40">
        <v>3</v>
      </c>
      <c r="P78" s="40">
        <v>3</v>
      </c>
      <c r="Q78" s="40">
        <v>3</v>
      </c>
    </row>
    <row r="79" spans="1:17" x14ac:dyDescent="0.2">
      <c r="A79" s="41" t="s">
        <v>51</v>
      </c>
      <c r="B79" s="42" t="s">
        <v>18</v>
      </c>
      <c r="C79" s="38">
        <v>1</v>
      </c>
      <c r="D79" s="38">
        <v>2.5</v>
      </c>
      <c r="E79" s="38">
        <v>2.75</v>
      </c>
      <c r="F79" s="38">
        <v>2.75</v>
      </c>
      <c r="G79" s="38">
        <v>2.75</v>
      </c>
      <c r="H79" s="38">
        <v>2.75</v>
      </c>
      <c r="I79" s="38">
        <v>0.75</v>
      </c>
      <c r="J79" s="38">
        <v>0.75</v>
      </c>
      <c r="K79" s="38">
        <v>0.75</v>
      </c>
      <c r="L79" s="38">
        <v>0.75</v>
      </c>
      <c r="M79" s="38">
        <v>0.75</v>
      </c>
      <c r="N79" s="38">
        <v>0.75</v>
      </c>
      <c r="O79" s="38">
        <v>0.75</v>
      </c>
      <c r="P79" s="38">
        <v>0.75</v>
      </c>
      <c r="Q79" s="38">
        <v>0.75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157"/>
  <sheetViews>
    <sheetView topLeftCell="A51"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APR</v>
      </c>
      <c r="C1" t="str">
        <f>IF(PSE!D1&gt;0,PSE!D1,"")</f>
        <v>MAY</v>
      </c>
      <c r="D1" t="str">
        <f>IF(PSE!E1&gt;0,PSE!E1,"")</f>
        <v>JUN</v>
      </c>
      <c r="E1" t="str">
        <f>IF(PSE!F1&gt;0,PSE!F1,"")</f>
        <v>JUL</v>
      </c>
      <c r="F1" t="str">
        <f>IF(PSE!G1&gt;0,PSE!G1,"")</f>
        <v>AUG</v>
      </c>
      <c r="G1" t="str">
        <f>IF(PSE!H1&gt;0,PSE!H1,"")</f>
        <v>SEP</v>
      </c>
      <c r="H1" t="str">
        <f>IF(PSE!I1&gt;0,PSE!I1,"")</f>
        <v>OCT</v>
      </c>
      <c r="I1" t="str">
        <f>IF(PSE!J1&gt;0,PSE!J1,"")</f>
        <v>NOV</v>
      </c>
      <c r="J1" t="str">
        <f>IF(PSE!K1&gt;0,PSE!K1,"")</f>
        <v>DEC</v>
      </c>
      <c r="K1" t="str">
        <f>IF(PSE!L1&gt;0,PSE!L1,"")</f>
        <v>JAN'27</v>
      </c>
      <c r="L1" t="str">
        <f>IF(PSE!M1&gt;0,PSE!M1,"")</f>
        <v>FEB'27</v>
      </c>
      <c r="M1" t="str">
        <f>IF(PSE!N1&gt;0,PSE!N1,"")</f>
        <v>MAR'27</v>
      </c>
      <c r="N1" t="str">
        <f>IF(PSE!O1&gt;0,PSE!O1,"")</f>
        <v>APR'27</v>
      </c>
      <c r="O1" t="str">
        <f>IF(PSE!P1&gt;0,PSE!P1,"")</f>
        <v>MAY'27</v>
      </c>
      <c r="P1" t="str">
        <f>IF(PSE!Q1&gt;0,PSE!Q1,"")</f>
        <v>JUN'27</v>
      </c>
    </row>
    <row r="2" spans="1:16" x14ac:dyDescent="0.2">
      <c r="A2" t="str">
        <f>IF(PSE!B2&gt;0,PSE!B2,"")</f>
        <v>Staff</v>
      </c>
      <c r="B2">
        <f>IF(PSE!C2&gt;0,PSE!C2,"")</f>
        <v>48</v>
      </c>
      <c r="C2">
        <f>IF(PSE!D2&gt;0,PSE!D2,"")</f>
        <v>48</v>
      </c>
      <c r="D2">
        <f>IF(PSE!E2&gt;0,PSE!E2,"")</f>
        <v>48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48</v>
      </c>
      <c r="C3">
        <f>IF(PSE!D3&gt;0,PSE!D3,"")</f>
        <v>48</v>
      </c>
      <c r="D3">
        <f>IF(PSE!E3&gt;0,PSE!E3,"")</f>
        <v>48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46</v>
      </c>
      <c r="C4">
        <f>IF(PSE!D4&gt;0,PSE!D4,"")</f>
        <v>47</v>
      </c>
      <c r="D4">
        <f>IF(PSE!E4&gt;0,PSE!E4,"")</f>
        <v>43</v>
      </c>
      <c r="E4">
        <f>IF(PSE!F4&gt;0,PSE!F4,"")</f>
        <v>42</v>
      </c>
      <c r="F4">
        <f>IF(PSE!G4&gt;0,PSE!G4,"")</f>
        <v>43</v>
      </c>
      <c r="G4">
        <f>IF(PSE!H4&gt;0,PSE!H4,"")</f>
        <v>41</v>
      </c>
      <c r="H4">
        <f>IF(PSE!I4&gt;0,PSE!I4,"")</f>
        <v>38</v>
      </c>
      <c r="I4">
        <f>IF(PSE!J4&gt;0,PSE!J4,"")</f>
        <v>38</v>
      </c>
      <c r="J4">
        <f>IF(PSE!K4&gt;0,PSE!K4,"")</f>
        <v>38</v>
      </c>
      <c r="K4">
        <f>IF(PSE!L4&gt;0,PSE!L4,"")</f>
        <v>26</v>
      </c>
      <c r="L4">
        <f>IF(PSE!M4&gt;0,PSE!M4,"")</f>
        <v>26</v>
      </c>
      <c r="M4">
        <f>IF(PSE!N4&gt;0,PSE!N4,"")</f>
        <v>27</v>
      </c>
      <c r="N4">
        <f>IF(PSE!O4&gt;0,PSE!O4,"")</f>
        <v>24.625</v>
      </c>
      <c r="O4">
        <f>IF(PSE!P4&gt;0,PSE!P4,"")</f>
        <v>23.425000000000001</v>
      </c>
      <c r="P4">
        <f>IF(PSE!Q4&gt;0,PSE!Q4,"")</f>
        <v>22.75</v>
      </c>
    </row>
    <row r="5" spans="1:16" x14ac:dyDescent="0.2">
      <c r="A5" t="str">
        <f>IF(PSE!B11&gt;0,PSE!B11,"")</f>
        <v>PAYROLL</v>
      </c>
      <c r="B5">
        <f>IF(PSE!C11&gt;0,PSE!C11,"")</f>
        <v>28</v>
      </c>
      <c r="C5">
        <f>IF(PSE!D11&gt;0,PSE!D11,"")</f>
        <v>28</v>
      </c>
      <c r="D5">
        <f>IF(PSE!E11&gt;0,PSE!E11,"")</f>
        <v>25</v>
      </c>
      <c r="E5">
        <f>IF(PSE!F11&gt;0,PSE!F11,"")</f>
        <v>25</v>
      </c>
      <c r="F5">
        <f>IF(PSE!G11&gt;0,PSE!G11,"")</f>
        <v>25</v>
      </c>
      <c r="G5">
        <f>IF(PSE!H11&gt;0,PSE!H11,"")</f>
        <v>23</v>
      </c>
      <c r="H5">
        <f>IF(PSE!I11&gt;0,PSE!I11,"")</f>
        <v>23</v>
      </c>
      <c r="I5">
        <f>IF(PSE!J11&gt;0,PSE!J11,"")</f>
        <v>23</v>
      </c>
      <c r="J5">
        <f>IF(PSE!K11&gt;0,PSE!K11,"")</f>
        <v>23</v>
      </c>
      <c r="K5">
        <f>IF(PSE!L11&gt;0,PSE!L11,"")</f>
        <v>18</v>
      </c>
      <c r="L5">
        <f>IF(PSE!M11&gt;0,PSE!M11,"")</f>
        <v>18</v>
      </c>
      <c r="M5">
        <f>IF(PSE!N11&gt;0,PSE!N11,"")</f>
        <v>19</v>
      </c>
      <c r="N5">
        <f>IF(PSE!O11&gt;0,PSE!O11,"")</f>
        <v>16.25</v>
      </c>
      <c r="O5">
        <f>IF(PSE!P11&gt;0,PSE!P11,"")</f>
        <v>15.05</v>
      </c>
      <c r="P5">
        <f>IF(PSE!Q11&gt;0,PSE!Q11,"")</f>
        <v>14.375</v>
      </c>
    </row>
    <row r="6" spans="1:16" x14ac:dyDescent="0.2">
      <c r="A6" t="str">
        <f>IF(PSE!B15&gt;0,PSE!B15,"")</f>
        <v>CONTRACTOR</v>
      </c>
      <c r="B6">
        <f>IF(PSE!C15&gt;0,PSE!C15,"")</f>
        <v>17</v>
      </c>
      <c r="C6">
        <f>IF(PSE!D15&gt;0,PSE!D15,"")</f>
        <v>17</v>
      </c>
      <c r="D6">
        <f>IF(PSE!E15&gt;0,PSE!E15,"")</f>
        <v>16</v>
      </c>
      <c r="E6">
        <f>IF(PSE!F15&gt;0,PSE!F15,"")</f>
        <v>15</v>
      </c>
      <c r="F6">
        <f>IF(PSE!G15&gt;0,PSE!G15,"")</f>
        <v>15</v>
      </c>
      <c r="G6">
        <f>IF(PSE!H15&gt;0,PSE!H15,"")</f>
        <v>15</v>
      </c>
      <c r="H6">
        <f>IF(PSE!I15&gt;0,PSE!I15,"")</f>
        <v>14</v>
      </c>
      <c r="I6">
        <f>IF(PSE!J15&gt;0,PSE!J15,"")</f>
        <v>14</v>
      </c>
      <c r="J6">
        <f>IF(PSE!K15&gt;0,PSE!K15,"")</f>
        <v>14</v>
      </c>
      <c r="K6">
        <f>IF(PSE!L15&gt;0,PSE!L15,"")</f>
        <v>8</v>
      </c>
      <c r="L6">
        <f>IF(PSE!M15&gt;0,PSE!M15,"")</f>
        <v>8</v>
      </c>
      <c r="M6">
        <f>IF(PSE!N15&gt;0,PSE!N15,"")</f>
        <v>8</v>
      </c>
      <c r="N6">
        <f>IF(PSE!O15&gt;0,PSE!O15,"")</f>
        <v>7.625</v>
      </c>
      <c r="O6">
        <f>IF(PSE!P15&gt;0,PSE!P15,"")</f>
        <v>7.625</v>
      </c>
      <c r="P6">
        <f>IF(PSE!Q15&gt;0,PSE!Q15,"")</f>
        <v>7.625</v>
      </c>
    </row>
    <row r="7" spans="1:16" x14ac:dyDescent="0.2">
      <c r="A7" t="str">
        <f>IF(PSE!B19&gt;0,PSE!B19,"")</f>
        <v>OUTSOURCE</v>
      </c>
      <c r="B7">
        <f>IF(PSE!C19&gt;0,PSE!C19,"")</f>
        <v>1</v>
      </c>
      <c r="C7">
        <f>IF(PSE!D19&gt;0,PSE!D19,"")</f>
        <v>3</v>
      </c>
      <c r="D7">
        <f>IF(PSE!E19&gt;0,PSE!E19,"")</f>
        <v>3</v>
      </c>
      <c r="E7">
        <f>IF(PSE!F19&gt;0,PSE!F19,"")</f>
        <v>3</v>
      </c>
      <c r="F7">
        <f>IF(PSE!G19&gt;0,PSE!G19,"")</f>
        <v>3</v>
      </c>
      <c r="G7">
        <f>IF(PSE!H19&gt;0,PSE!H19,"")</f>
        <v>3</v>
      </c>
      <c r="H7">
        <f>IF(PSE!I19&gt;0,PSE!I19,"")</f>
        <v>1</v>
      </c>
      <c r="I7">
        <f>IF(PSE!J19&gt;0,PSE!J19,"")</f>
        <v>1</v>
      </c>
      <c r="J7">
        <f>IF(PSE!K19&gt;0,PSE!K19,"")</f>
        <v>1</v>
      </c>
      <c r="K7">
        <f>IF(PSE!L19&gt;0,PSE!L19,"")</f>
        <v>1</v>
      </c>
      <c r="L7">
        <f>IF(PSE!M19&gt;0,PSE!M19,"")</f>
        <v>1</v>
      </c>
      <c r="M7">
        <f>IF(PSE!N19&gt;0,PSE!N19,"")</f>
        <v>1</v>
      </c>
      <c r="N7">
        <f>IF(PSE!O19&gt;0,PSE!O19,"")</f>
        <v>1</v>
      </c>
      <c r="O7">
        <f>IF(PSE!P19&gt;0,PSE!P19,"")</f>
        <v>1</v>
      </c>
      <c r="P7">
        <f>IF(PSE!Q19&gt;0,PSE!Q19,"")</f>
        <v>1</v>
      </c>
    </row>
    <row r="11" spans="1:16" x14ac:dyDescent="0.2">
      <c r="B11" t="str">
        <f>IF(PSE!C1&gt;0,PSE!C1,"")</f>
        <v>APR</v>
      </c>
      <c r="C11" t="str">
        <f>IF(PSE!D1&gt;0,PSE!D1,"")</f>
        <v>MAY</v>
      </c>
      <c r="D11" t="str">
        <f>IF(PSE!E1&gt;0,PSE!E1,"")</f>
        <v>JUN</v>
      </c>
      <c r="E11" t="str">
        <f>IF(PSE!F1&gt;0,PSE!F1,"")</f>
        <v>JUL</v>
      </c>
      <c r="F11" t="str">
        <f>IF(PSE!G1&gt;0,PSE!G1,"")</f>
        <v>AUG</v>
      </c>
      <c r="G11" t="str">
        <f>IF(PSE!H1&gt;0,PSE!H1,"")</f>
        <v>SEP</v>
      </c>
      <c r="H11" t="str">
        <f>IF(PSE!I1&gt;0,PSE!I1,"")</f>
        <v>OCT</v>
      </c>
      <c r="I11" t="str">
        <f>IF(PSE!J1&gt;0,PSE!J1,"")</f>
        <v>NOV</v>
      </c>
      <c r="J11" t="str">
        <f>IF(PSE!K1&gt;0,PSE!K1,"")</f>
        <v>DEC</v>
      </c>
      <c r="K11" t="str">
        <f>IF(PSE!L1&gt;0,PSE!L1,"")</f>
        <v>JAN'27</v>
      </c>
      <c r="L11" t="str">
        <f>IF(PSE!M1&gt;0,PSE!M1,"")</f>
        <v>FEB'27</v>
      </c>
      <c r="M11" t="str">
        <f>IF(PSE!N1&gt;0,PSE!N1,"")</f>
        <v>MAR'27</v>
      </c>
      <c r="N11" t="str">
        <f>IF(PSE!O1&gt;0,PSE!O1,"")</f>
        <v>APR'27</v>
      </c>
      <c r="O11" t="str">
        <f>IF(PSE!P1&gt;0,PSE!P1,"")</f>
        <v>MAY'27</v>
      </c>
      <c r="P11" t="str">
        <f>IF(PSE!Q1&gt;0,PSE!Q1,"")</f>
        <v>JUN'27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28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28</v>
      </c>
      <c r="C14">
        <f>IF(PSE!D11&gt;0,PSE!D11,"")</f>
        <v>28</v>
      </c>
      <c r="D14">
        <f>IF(PSE!E11&gt;0,PSE!E11,"")</f>
        <v>25</v>
      </c>
      <c r="E14">
        <f>IF(PSE!F11&gt;0,PSE!F11,"")</f>
        <v>25</v>
      </c>
      <c r="F14">
        <f>IF(PSE!G11&gt;0,PSE!G11,"")</f>
        <v>25</v>
      </c>
      <c r="G14">
        <f>IF(PSE!H11&gt;0,PSE!H11,"")</f>
        <v>23</v>
      </c>
      <c r="H14">
        <f>IF(PSE!I11&gt;0,PSE!I11,"")</f>
        <v>23</v>
      </c>
      <c r="I14">
        <f>IF(PSE!J11&gt;0,PSE!J11,"")</f>
        <v>23</v>
      </c>
      <c r="J14">
        <f>IF(PSE!K11&gt;0,PSE!K11,"")</f>
        <v>23</v>
      </c>
      <c r="K14">
        <f>IF(PSE!L11&gt;0,PSE!L11,"")</f>
        <v>18</v>
      </c>
      <c r="L14">
        <f>IF(PSE!M11&gt;0,PSE!M11,"")</f>
        <v>18</v>
      </c>
      <c r="M14">
        <f>IF(PSE!N11&gt;0,PSE!N11,"")</f>
        <v>19</v>
      </c>
      <c r="N14">
        <f>IF(PSE!O11&gt;0,PSE!O11,"")</f>
        <v>16.25</v>
      </c>
      <c r="O14">
        <f>IF(PSE!P11&gt;0,PSE!P11,"")</f>
        <v>15.05</v>
      </c>
      <c r="P14">
        <f>IF(PSE!Q11&gt;0,PSE!Q11,"")</f>
        <v>14.375</v>
      </c>
    </row>
    <row r="21" spans="1:16" x14ac:dyDescent="0.2">
      <c r="B21" t="str">
        <f>IF(PSE!C1&gt;0,PSE!C1,"")</f>
        <v>APR</v>
      </c>
      <c r="C21" t="str">
        <f>IF(PSE!D1&gt;0,PSE!D1,"")</f>
        <v>MAY</v>
      </c>
      <c r="D21" t="str">
        <f>IF(PSE!E1&gt;0,PSE!E1,"")</f>
        <v>JUN</v>
      </c>
      <c r="E21" t="str">
        <f>IF(PSE!F1&gt;0,PSE!F1,"")</f>
        <v>JUL</v>
      </c>
      <c r="F21" t="str">
        <f>IF(PSE!G1&gt;0,PSE!G1,"")</f>
        <v>AUG</v>
      </c>
      <c r="G21" t="str">
        <f>IF(PSE!H1&gt;0,PSE!H1,"")</f>
        <v>SEP</v>
      </c>
      <c r="H21" t="str">
        <f>IF(PSE!I1&gt;0,PSE!I1,"")</f>
        <v>OCT</v>
      </c>
      <c r="I21" t="str">
        <f>IF(PSE!J1&gt;0,PSE!J1,"")</f>
        <v>NOV</v>
      </c>
      <c r="J21" t="str">
        <f>IF(PSE!K1&gt;0,PSE!K1,"")</f>
        <v>DEC</v>
      </c>
      <c r="K21" t="str">
        <f>IF(PSE!L1&gt;0,PSE!L1,"")</f>
        <v>JAN'27</v>
      </c>
      <c r="L21" t="str">
        <f>IF(PSE!M1&gt;0,PSE!M1,"")</f>
        <v>FEB'27</v>
      </c>
      <c r="M21" t="str">
        <f>IF(PSE!N1&gt;0,PSE!N1,"")</f>
        <v>MAR'27</v>
      </c>
      <c r="N21" t="str">
        <f>IF(PSE!O1&gt;0,PSE!O1,"")</f>
        <v>APR'27</v>
      </c>
      <c r="O21" t="str">
        <f>IF(PSE!P1&gt;0,PSE!P1,"")</f>
        <v>MAY'27</v>
      </c>
      <c r="P21" t="str">
        <f>IF(PSE!Q1&gt;0,PSE!Q1,"")</f>
        <v>JUN'27</v>
      </c>
    </row>
    <row r="22" spans="1:16" x14ac:dyDescent="0.2">
      <c r="A22" t="str">
        <f>IF(PSE!B2&gt;0,PSE!B2,"")</f>
        <v>Staff</v>
      </c>
      <c r="B22">
        <f>PSE!C13</f>
        <v>17</v>
      </c>
      <c r="C22">
        <f>PSE!D13</f>
        <v>17</v>
      </c>
      <c r="D22">
        <f>PSE!E13</f>
        <v>17</v>
      </c>
      <c r="E22">
        <f>PSE!F13</f>
        <v>17</v>
      </c>
      <c r="F22">
        <f>PSE!G13</f>
        <v>17</v>
      </c>
      <c r="G22">
        <f>PSE!H13</f>
        <v>17</v>
      </c>
      <c r="H22">
        <f>PSE!I13</f>
        <v>17</v>
      </c>
      <c r="I22">
        <f>PSE!J13</f>
        <v>17</v>
      </c>
      <c r="J22">
        <f>PSE!K13</f>
        <v>17</v>
      </c>
      <c r="K22">
        <f>PSE!L13</f>
        <v>17</v>
      </c>
      <c r="L22">
        <f>PSE!M13</f>
        <v>17</v>
      </c>
      <c r="M22">
        <f>PSE!N13</f>
        <v>17</v>
      </c>
      <c r="N22">
        <f>PSE!O13</f>
        <v>17</v>
      </c>
      <c r="O22">
        <f>PSE!P13</f>
        <v>17</v>
      </c>
      <c r="P22">
        <f>PSE!Q13</f>
        <v>17</v>
      </c>
    </row>
    <row r="23" spans="1:16" x14ac:dyDescent="0.2">
      <c r="A23" t="str">
        <f>IF(PSE!B3&gt;0,PSE!B3,"")</f>
        <v>Staff AVG</v>
      </c>
      <c r="B23">
        <f>PSE!C14</f>
        <v>17</v>
      </c>
      <c r="C23">
        <f>PSE!D14</f>
        <v>17</v>
      </c>
      <c r="D23">
        <f>PSE!E14</f>
        <v>17</v>
      </c>
      <c r="E23">
        <f>PSE!F14</f>
        <v>17</v>
      </c>
      <c r="F23">
        <f>PSE!G14</f>
        <v>17</v>
      </c>
      <c r="G23">
        <f>PSE!H14</f>
        <v>17</v>
      </c>
      <c r="H23">
        <f>PSE!I14</f>
        <v>17</v>
      </c>
      <c r="I23">
        <f>PSE!J14</f>
        <v>17</v>
      </c>
      <c r="J23">
        <f>PSE!K14</f>
        <v>17</v>
      </c>
      <c r="K23">
        <f>PSE!L14</f>
        <v>17</v>
      </c>
      <c r="L23">
        <f>PSE!M14</f>
        <v>17</v>
      </c>
      <c r="M23">
        <f>PSE!N14</f>
        <v>17</v>
      </c>
      <c r="N23">
        <f>PSE!O14</f>
        <v>17</v>
      </c>
      <c r="O23">
        <f>PSE!P14</f>
        <v>17</v>
      </c>
      <c r="P23">
        <f>PSE!Q14</f>
        <v>17</v>
      </c>
    </row>
    <row r="24" spans="1:16" x14ac:dyDescent="0.2">
      <c r="A24" t="str">
        <f>IF(PSE!B4&gt;0,PSE!B4,"")</f>
        <v>Plan</v>
      </c>
      <c r="B24">
        <f>PSE!C15</f>
        <v>17</v>
      </c>
      <c r="C24">
        <f>PSE!D15</f>
        <v>17</v>
      </c>
      <c r="D24">
        <f>PSE!E15</f>
        <v>16</v>
      </c>
      <c r="E24">
        <f>PSE!F15</f>
        <v>15</v>
      </c>
      <c r="F24">
        <f>PSE!G15</f>
        <v>15</v>
      </c>
      <c r="G24">
        <f>PSE!H15</f>
        <v>15</v>
      </c>
      <c r="H24">
        <f>PSE!I15</f>
        <v>14</v>
      </c>
      <c r="I24">
        <f>PSE!J15</f>
        <v>14</v>
      </c>
      <c r="J24">
        <f>PSE!K15</f>
        <v>14</v>
      </c>
      <c r="K24">
        <f>PSE!L15</f>
        <v>8</v>
      </c>
      <c r="L24">
        <f>PSE!M15</f>
        <v>8</v>
      </c>
      <c r="M24">
        <f>PSE!N15</f>
        <v>8</v>
      </c>
      <c r="N24">
        <f>PSE!O15</f>
        <v>7.625</v>
      </c>
      <c r="O24">
        <f>PSE!P15</f>
        <v>7.625</v>
      </c>
      <c r="P24">
        <f>PSE!Q15</f>
        <v>7.625</v>
      </c>
    </row>
    <row r="31" spans="1:16" x14ac:dyDescent="0.2">
      <c r="B31" t="str">
        <f>IF(PSE!C1&gt;0,PSE!C1,"")</f>
        <v>APR</v>
      </c>
      <c r="C31" t="str">
        <f>IF(PSE!D1&gt;0,PSE!D1,"")</f>
        <v>MAY</v>
      </c>
      <c r="D31" t="str">
        <f>IF(PSE!E1&gt;0,PSE!E1,"")</f>
        <v>JUN</v>
      </c>
      <c r="E31" t="str">
        <f>IF(PSE!F1&gt;0,PSE!F1,"")</f>
        <v>JUL</v>
      </c>
      <c r="F31" t="str">
        <f>IF(PSE!G1&gt;0,PSE!G1,"")</f>
        <v>AUG</v>
      </c>
      <c r="G31" t="str">
        <f>IF(PSE!H1&gt;0,PSE!H1,"")</f>
        <v>SEP</v>
      </c>
      <c r="H31" t="str">
        <f>IF(PSE!I1&gt;0,PSE!I1,"")</f>
        <v>OCT</v>
      </c>
      <c r="I31" t="str">
        <f>IF(PSE!J1&gt;0,PSE!J1,"")</f>
        <v>NOV</v>
      </c>
      <c r="J31" t="str">
        <f>IF(PSE!K1&gt;0,PSE!K1,"")</f>
        <v>DEC</v>
      </c>
      <c r="K31" t="str">
        <f>IF(PSE!L1&gt;0,PSE!L1,"")</f>
        <v>JAN'27</v>
      </c>
      <c r="L31" t="str">
        <f>IF(PSE!M1&gt;0,PSE!M1,"")</f>
        <v>FEB'27</v>
      </c>
      <c r="M31" t="str">
        <f>IF(PSE!N1&gt;0,PSE!N1,"")</f>
        <v>MAR'27</v>
      </c>
      <c r="N31" t="str">
        <f>IF(PSE!O1&gt;0,PSE!O1,"")</f>
        <v>APR'27</v>
      </c>
      <c r="O31" t="str">
        <f>IF(PSE!P1&gt;0,PSE!P1,"")</f>
        <v>MAY'27</v>
      </c>
      <c r="P31" t="str">
        <f>IF(PSE!Q1&gt;0,PSE!Q1,"")</f>
        <v>JUN'27</v>
      </c>
    </row>
    <row r="32" spans="1:16" x14ac:dyDescent="0.2">
      <c r="A32" t="str">
        <f>IF(PSE!B2&gt;0,PSE!B2,"")</f>
        <v>Staff</v>
      </c>
      <c r="B32">
        <f>PSE!C17</f>
        <v>3</v>
      </c>
      <c r="C32">
        <f>PSE!D17</f>
        <v>3</v>
      </c>
      <c r="D32">
        <f>PSE!E17</f>
        <v>3</v>
      </c>
      <c r="E32">
        <f>PSE!F17</f>
        <v>3</v>
      </c>
      <c r="F32">
        <f>PSE!G17</f>
        <v>3</v>
      </c>
      <c r="G32">
        <f>PSE!H17</f>
        <v>3</v>
      </c>
      <c r="H32">
        <f>PSE!I17</f>
        <v>3</v>
      </c>
      <c r="I32">
        <f>PSE!J17</f>
        <v>3</v>
      </c>
      <c r="J32">
        <f>PSE!K17</f>
        <v>3</v>
      </c>
      <c r="K32">
        <f>PSE!L17</f>
        <v>3</v>
      </c>
      <c r="L32">
        <f>PSE!M17</f>
        <v>3</v>
      </c>
      <c r="M32">
        <f>PSE!N17</f>
        <v>3</v>
      </c>
      <c r="N32">
        <f>PSE!O17</f>
        <v>3</v>
      </c>
      <c r="O32">
        <f>PSE!P17</f>
        <v>3</v>
      </c>
      <c r="P32">
        <f>PSE!Q17</f>
        <v>3</v>
      </c>
    </row>
    <row r="33" spans="1:16" x14ac:dyDescent="0.2">
      <c r="A33" t="str">
        <f>IF(PSE!B3&gt;0,PSE!B3,"")</f>
        <v>Staff AVG</v>
      </c>
      <c r="B33">
        <f>PSE!C18</f>
        <v>2</v>
      </c>
      <c r="C33">
        <f>PSE!D18</f>
        <v>2</v>
      </c>
      <c r="D33">
        <f>PSE!E18</f>
        <v>2</v>
      </c>
      <c r="E33">
        <f>PSE!F18</f>
        <v>2</v>
      </c>
      <c r="F33">
        <f>PSE!G18</f>
        <v>2</v>
      </c>
      <c r="G33">
        <f>PSE!H18</f>
        <v>2</v>
      </c>
      <c r="H33">
        <f>PSE!I18</f>
        <v>2</v>
      </c>
      <c r="I33">
        <f>PSE!J18</f>
        <v>2</v>
      </c>
      <c r="J33">
        <f>PSE!K18</f>
        <v>2</v>
      </c>
      <c r="K33">
        <f>PSE!L18</f>
        <v>2</v>
      </c>
      <c r="L33">
        <f>PSE!M18</f>
        <v>2</v>
      </c>
      <c r="M33">
        <f>PSE!N18</f>
        <v>2</v>
      </c>
      <c r="N33">
        <f>PSE!O18</f>
        <v>2</v>
      </c>
      <c r="O33">
        <f>PSE!P18</f>
        <v>2</v>
      </c>
      <c r="P33">
        <f>PSE!Q18</f>
        <v>2</v>
      </c>
    </row>
    <row r="34" spans="1:16" x14ac:dyDescent="0.2">
      <c r="A34" t="str">
        <f>IF(PSE!B4&gt;0,PSE!B4,"")</f>
        <v>Plan</v>
      </c>
      <c r="B34">
        <f>PSE!C19</f>
        <v>1</v>
      </c>
      <c r="C34">
        <f>PSE!D19</f>
        <v>3</v>
      </c>
      <c r="D34">
        <f>PSE!E19</f>
        <v>3</v>
      </c>
      <c r="E34">
        <f>PSE!F19</f>
        <v>3</v>
      </c>
      <c r="F34">
        <f>PSE!G19</f>
        <v>3</v>
      </c>
      <c r="G34">
        <f>PSE!H19</f>
        <v>3</v>
      </c>
      <c r="H34">
        <f>PSE!I19</f>
        <v>1</v>
      </c>
      <c r="I34">
        <f>PSE!J19</f>
        <v>1</v>
      </c>
      <c r="J34">
        <f>PSE!K19</f>
        <v>1</v>
      </c>
      <c r="K34">
        <f>PSE!L19</f>
        <v>1</v>
      </c>
      <c r="L34">
        <f>PSE!M19</f>
        <v>1</v>
      </c>
      <c r="M34">
        <f>PSE!N19</f>
        <v>1</v>
      </c>
      <c r="N34">
        <f>PSE!O19</f>
        <v>1</v>
      </c>
      <c r="O34">
        <f>PSE!P19</f>
        <v>1</v>
      </c>
      <c r="P34">
        <f>PSE!Q19</f>
        <v>1</v>
      </c>
    </row>
    <row r="41" spans="1:16" x14ac:dyDescent="0.2">
      <c r="B41" t="str">
        <f>IF(PSE!C31&gt;0,PSE!C31,"")</f>
        <v>Q2</v>
      </c>
      <c r="C41" t="str">
        <f>IF(PSE!D31&gt;0,PSE!D31,"")</f>
        <v>Q3</v>
      </c>
      <c r="D41" t="str">
        <f>IF(PSE!E31&gt;0,PSE!E31,"")</f>
        <v>Q4</v>
      </c>
      <c r="E41" t="str">
        <f>IF(PSE!F31&gt;0,PSE!F31,"")</f>
        <v>Q1'27</v>
      </c>
      <c r="F41" t="str">
        <f>IF(PSE!G31&gt;0,PSE!G31,"")</f>
        <v>Q2'27</v>
      </c>
    </row>
    <row r="42" spans="1:16" x14ac:dyDescent="0.2">
      <c r="A42" t="str">
        <f>IF(PSE!B32&gt;0,PSE!B32,"")</f>
        <v>Staff</v>
      </c>
      <c r="B42">
        <f>IF(PSE!C32&gt;0,PSE!C32,"")</f>
        <v>48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48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46</v>
      </c>
      <c r="C44">
        <f>IF(PSE!D34&gt;0,PSE!D34,"")</f>
        <v>42</v>
      </c>
      <c r="D44">
        <f>IF(PSE!E34&gt;0,PSE!E34,"")</f>
        <v>38</v>
      </c>
      <c r="E44">
        <f>IF(PSE!F34&gt;0,PSE!F34,"")</f>
        <v>27</v>
      </c>
      <c r="F44">
        <f>IF(PSE!G34&gt;0,PSE!G34,"")</f>
        <v>24</v>
      </c>
    </row>
    <row r="45" spans="1:16" x14ac:dyDescent="0.2">
      <c r="A45" t="str">
        <f>IF(PSE!B41&gt;0,PSE!B41,"")</f>
        <v>PAYROLL</v>
      </c>
      <c r="B45">
        <f>IF(PSE!C41&gt;0,PSE!C41,"")</f>
        <v>27</v>
      </c>
      <c r="C45">
        <f>IF(PSE!D41&gt;0,PSE!D41,"")</f>
        <v>24</v>
      </c>
      <c r="D45">
        <f>IF(PSE!E41&gt;0,PSE!E41,"")</f>
        <v>23</v>
      </c>
      <c r="E45">
        <f>IF(PSE!F41&gt;0,PSE!F41,"")</f>
        <v>18</v>
      </c>
      <c r="F45">
        <f>IF(PSE!G41&gt;0,PSE!G41,"")</f>
        <v>15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15</v>
      </c>
      <c r="D46">
        <f>IF(PSE!E45&gt;0,PSE!E45,"")</f>
        <v>14</v>
      </c>
      <c r="E46">
        <f>IF(PSE!F45&gt;0,PSE!F45,"")</f>
        <v>8</v>
      </c>
      <c r="F46">
        <f>IF(PSE!G45&gt;0,PSE!G45,"")</f>
        <v>8</v>
      </c>
    </row>
    <row r="47" spans="1:16" x14ac:dyDescent="0.2">
      <c r="A47" t="str">
        <f>IF(PSE!B49&gt;0,PSE!B49,"")</f>
        <v>OUTSOURCE</v>
      </c>
      <c r="B47">
        <f>IF(PSE!C49&gt;0,PSE!C49,"")</f>
        <v>2</v>
      </c>
      <c r="C47">
        <f>IF(PSE!D49&gt;0,PSE!D49,"")</f>
        <v>3</v>
      </c>
      <c r="D47">
        <f>IF(PSE!E49&gt;0,PSE!E49,"")</f>
        <v>1</v>
      </c>
      <c r="E47">
        <f>IF(PSE!F49&gt;0,PSE!F49,"")</f>
        <v>1</v>
      </c>
      <c r="F47">
        <f>IF(PSE!G49&gt;0,PSE!G49,"")</f>
        <v>1</v>
      </c>
    </row>
    <row r="51" spans="1:16" x14ac:dyDescent="0.2">
      <c r="A51" s="55" t="str">
        <f>PSE!A66</f>
        <v>Platform Engineering</v>
      </c>
      <c r="B51" t="str">
        <f>PSE!C61</f>
        <v>APR</v>
      </c>
      <c r="C51" t="str">
        <f>PSE!D61</f>
        <v>MAY</v>
      </c>
      <c r="D51" t="str">
        <f>PSE!E61</f>
        <v>JUN</v>
      </c>
      <c r="E51" t="str">
        <f>PSE!F61</f>
        <v>JUL</v>
      </c>
      <c r="F51" t="str">
        <f>PSE!G61</f>
        <v>AUG</v>
      </c>
      <c r="G51" t="str">
        <f>PSE!H61</f>
        <v>SEP</v>
      </c>
      <c r="H51" t="str">
        <f>PSE!I61</f>
        <v>OCT</v>
      </c>
      <c r="I51" t="str">
        <f>PSE!J61</f>
        <v>NOV</v>
      </c>
      <c r="J51" t="str">
        <f>PSE!K61</f>
        <v>DEC</v>
      </c>
      <c r="K51" t="str">
        <f>PSE!L61</f>
        <v>JAN'27</v>
      </c>
      <c r="L51" t="str">
        <f>PSE!M61</f>
        <v>FEB'27</v>
      </c>
      <c r="M51" t="str">
        <f>PSE!N61</f>
        <v>MAR'27</v>
      </c>
      <c r="N51" t="str">
        <f>PSE!O61</f>
        <v>APR'27</v>
      </c>
      <c r="O51" t="str">
        <f>PSE!P61</f>
        <v>MAY'27</v>
      </c>
      <c r="P51" t="str">
        <f>PSE!Q61</f>
        <v>JUN'27</v>
      </c>
    </row>
    <row r="52" spans="1:16" x14ac:dyDescent="0.2">
      <c r="A52" t="str">
        <f>PSE!B66</f>
        <v>Staff</v>
      </c>
      <c r="B52">
        <f>PSE!C66</f>
        <v>6</v>
      </c>
      <c r="C52">
        <f>PSE!D66</f>
        <v>6</v>
      </c>
      <c r="D52">
        <f>PSE!E66</f>
        <v>6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6</v>
      </c>
      <c r="C53">
        <f>PSE!D67</f>
        <v>6</v>
      </c>
      <c r="D53">
        <f>PSE!E67</f>
        <v>6</v>
      </c>
      <c r="E53">
        <f>PSE!F67</f>
        <v>5.9249999999999998</v>
      </c>
      <c r="F53">
        <f>PSE!G67</f>
        <v>5.625</v>
      </c>
      <c r="G53">
        <f>PSE!H67</f>
        <v>5.6749999999999998</v>
      </c>
      <c r="H53">
        <f>PSE!I67</f>
        <v>5.85</v>
      </c>
      <c r="I53">
        <f>PSE!J67</f>
        <v>5.85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54" spans="1:16" s="63" customFormat="1" x14ac:dyDescent="0.2">
      <c r="A54" s="63" t="s">
        <v>24</v>
      </c>
      <c r="B54" s="64">
        <f>B52-B53</f>
        <v>0</v>
      </c>
      <c r="C54" s="64">
        <f t="shared" ref="C54:P54" si="0">C52-C53</f>
        <v>0</v>
      </c>
      <c r="D54" s="64">
        <f t="shared" si="0"/>
        <v>0</v>
      </c>
      <c r="E54" s="64">
        <f t="shared" si="0"/>
        <v>7.5000000000000178E-2</v>
      </c>
      <c r="F54" s="64">
        <f t="shared" si="0"/>
        <v>0.375</v>
      </c>
      <c r="G54" s="64">
        <f t="shared" si="0"/>
        <v>0.32500000000000018</v>
      </c>
      <c r="H54" s="64">
        <f t="shared" si="0"/>
        <v>0.15000000000000036</v>
      </c>
      <c r="I54" s="64">
        <f t="shared" si="0"/>
        <v>0.15000000000000036</v>
      </c>
      <c r="J54" s="64">
        <f t="shared" si="0"/>
        <v>0</v>
      </c>
      <c r="K54" s="64">
        <f t="shared" si="0"/>
        <v>0</v>
      </c>
      <c r="L54" s="64">
        <f t="shared" si="0"/>
        <v>0</v>
      </c>
      <c r="M54" s="64">
        <f t="shared" si="0"/>
        <v>0</v>
      </c>
      <c r="N54" s="64">
        <f t="shared" si="0"/>
        <v>0</v>
      </c>
      <c r="O54" s="64">
        <f t="shared" si="0"/>
        <v>0</v>
      </c>
      <c r="P54" s="64">
        <f t="shared" si="0"/>
        <v>0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100</v>
      </c>
      <c r="C56" s="56">
        <f>(AVERAGE(E53:G53)/AVERAGE(E52:G52))*100</f>
        <v>95.694444444444443</v>
      </c>
      <c r="D56" s="56">
        <f>(AVERAGE(H53:J53)/AVERAGE(H52:J52))*100</f>
        <v>98.333333333333329</v>
      </c>
      <c r="E56" s="56">
        <f>(AVERAGE(K53:M53)/AVERAGE(K52:M52))*100</f>
        <v>100</v>
      </c>
      <c r="F56" s="56">
        <f>(AVERAGE(N53:P53)/AVERAGE(N52:P52))*100</f>
        <v>100</v>
      </c>
    </row>
    <row r="61" spans="1:16" x14ac:dyDescent="0.2">
      <c r="A61" s="55" t="str">
        <f>PSE!A72</f>
        <v>Software Engineering</v>
      </c>
      <c r="B61" t="str">
        <f>PSE!C61</f>
        <v>APR</v>
      </c>
      <c r="C61" t="str">
        <f>PSE!D61</f>
        <v>MAY</v>
      </c>
      <c r="D61" t="str">
        <f>PSE!E61</f>
        <v>JUN</v>
      </c>
      <c r="E61" t="str">
        <f>PSE!F61</f>
        <v>JUL</v>
      </c>
      <c r="F61" t="str">
        <f>PSE!G61</f>
        <v>AUG</v>
      </c>
      <c r="G61" t="str">
        <f>PSE!H61</f>
        <v>SEP</v>
      </c>
      <c r="H61" t="str">
        <f>PSE!I61</f>
        <v>OCT</v>
      </c>
      <c r="I61" t="str">
        <f>PSE!J61</f>
        <v>NOV</v>
      </c>
      <c r="J61" t="str">
        <f>PSE!K61</f>
        <v>DEC</v>
      </c>
      <c r="K61" t="str">
        <f>PSE!L61</f>
        <v>JAN'27</v>
      </c>
      <c r="L61" t="str">
        <f>PSE!M61</f>
        <v>FEB'27</v>
      </c>
      <c r="M61" t="str">
        <f>PSE!N61</f>
        <v>MAR'27</v>
      </c>
      <c r="N61" t="str">
        <f>PSE!O61</f>
        <v>APR'27</v>
      </c>
      <c r="O61" t="str">
        <f>PSE!P61</f>
        <v>MAY'27</v>
      </c>
      <c r="P61" t="str">
        <f>PSE!Q61</f>
        <v>JUN'27</v>
      </c>
    </row>
    <row r="62" spans="1:16" x14ac:dyDescent="0.2">
      <c r="A62" t="str">
        <f>PSE!B72</f>
        <v>Staff</v>
      </c>
      <c r="B62">
        <f>PSE!C72</f>
        <v>41</v>
      </c>
      <c r="C62">
        <f>PSE!D72</f>
        <v>41</v>
      </c>
      <c r="D62">
        <f>PSE!E72</f>
        <v>41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38.93</v>
      </c>
      <c r="C63">
        <f>PSE!D73</f>
        <v>40.28</v>
      </c>
      <c r="D63">
        <f>PSE!E73</f>
        <v>36.414999999999999</v>
      </c>
      <c r="E63">
        <f>PSE!F73</f>
        <v>35.39</v>
      </c>
      <c r="F63">
        <f>PSE!G73</f>
        <v>35.924999999999997</v>
      </c>
      <c r="G63">
        <f>PSE!H73</f>
        <v>34.15</v>
      </c>
      <c r="H63">
        <f>PSE!I73</f>
        <v>31.074999999999999</v>
      </c>
      <c r="I63">
        <f>PSE!J73</f>
        <v>31.05</v>
      </c>
      <c r="J63">
        <f>PSE!K73</f>
        <v>30.65</v>
      </c>
      <c r="K63">
        <f>PSE!L73</f>
        <v>19.350000000000001</v>
      </c>
      <c r="L63">
        <f>PSE!M73</f>
        <v>19.350000000000001</v>
      </c>
      <c r="M63">
        <f>PSE!N73</f>
        <v>20.225000000000001</v>
      </c>
      <c r="N63">
        <f>PSE!O73</f>
        <v>17.625</v>
      </c>
      <c r="O63">
        <f>PSE!P73</f>
        <v>16.425000000000001</v>
      </c>
      <c r="P63">
        <f>PSE!Q73</f>
        <v>15.75</v>
      </c>
    </row>
    <row r="64" spans="1:16" s="63" customFormat="1" x14ac:dyDescent="0.2">
      <c r="A64" s="63" t="s">
        <v>24</v>
      </c>
      <c r="B64" s="64">
        <f>B62-B63</f>
        <v>2.0700000000000003</v>
      </c>
      <c r="C64" s="64">
        <f t="shared" ref="C64:P64" si="2">C62-C63</f>
        <v>0.71999999999999886</v>
      </c>
      <c r="D64" s="64">
        <f t="shared" si="2"/>
        <v>4.5850000000000009</v>
      </c>
      <c r="E64" s="64">
        <f t="shared" si="2"/>
        <v>5.6099999999999994</v>
      </c>
      <c r="F64" s="64">
        <f t="shared" si="2"/>
        <v>5.0750000000000028</v>
      </c>
      <c r="G64" s="64">
        <f t="shared" si="2"/>
        <v>6.8500000000000014</v>
      </c>
      <c r="H64" s="64">
        <f t="shared" si="2"/>
        <v>9.9250000000000007</v>
      </c>
      <c r="I64" s="64">
        <f t="shared" si="2"/>
        <v>9.9499999999999993</v>
      </c>
      <c r="J64" s="64">
        <f t="shared" si="2"/>
        <v>10.350000000000001</v>
      </c>
      <c r="K64" s="64">
        <f t="shared" si="2"/>
        <v>21.65</v>
      </c>
      <c r="L64" s="64">
        <f t="shared" si="2"/>
        <v>21.65</v>
      </c>
      <c r="M64" s="64">
        <f t="shared" si="2"/>
        <v>20.774999999999999</v>
      </c>
      <c r="N64" s="64">
        <f t="shared" si="2"/>
        <v>23.375</v>
      </c>
      <c r="O64" s="64">
        <f t="shared" si="2"/>
        <v>24.574999999999999</v>
      </c>
      <c r="P64" s="64">
        <f t="shared" si="2"/>
        <v>25.25</v>
      </c>
    </row>
    <row r="65" spans="1: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6" s="56" customFormat="1" x14ac:dyDescent="0.2">
      <c r="A66" s="56" t="str">
        <f>$A$156</f>
        <v>% Plan</v>
      </c>
      <c r="B66" s="56">
        <f>(AVERAGE(B63:D63)/AVERAGE(B62:D62))*100</f>
        <v>94.004065040650403</v>
      </c>
      <c r="C66" s="56">
        <f>(AVERAGE(E63:G63)/AVERAGE(E62:G62))*100</f>
        <v>85.743902439024396</v>
      </c>
      <c r="D66" s="56">
        <f>(AVERAGE(H63:J63)/AVERAGE(H62:J62))*100</f>
        <v>75.426829268292678</v>
      </c>
      <c r="E66" s="56">
        <f>(AVERAGE(K63:M63)/AVERAGE(K62:M62))*100</f>
        <v>47.906504065040657</v>
      </c>
      <c r="F66" s="56">
        <f>(AVERAGE(N63:P63)/AVERAGE(N62:P62))*100</f>
        <v>40.487804878048777</v>
      </c>
    </row>
    <row r="151" spans="1:16" x14ac:dyDescent="0.2">
      <c r="B151" t="str">
        <f>PSE!C1</f>
        <v>APR</v>
      </c>
      <c r="C151" t="str">
        <f>PSE!D1</f>
        <v>MAY</v>
      </c>
      <c r="D151" t="str">
        <f>PSE!E1</f>
        <v>JUN</v>
      </c>
      <c r="E151" t="str">
        <f>PSE!F1</f>
        <v>JUL</v>
      </c>
      <c r="F151" t="str">
        <f>PSE!G1</f>
        <v>AUG</v>
      </c>
      <c r="G151" t="str">
        <f>PSE!H1</f>
        <v>SEP</v>
      </c>
      <c r="H151" t="str">
        <f>PSE!I1</f>
        <v>OCT</v>
      </c>
      <c r="I151" t="str">
        <f>PSE!J1</f>
        <v>NOV</v>
      </c>
      <c r="J151" t="str">
        <f>PSE!K1</f>
        <v>DEC</v>
      </c>
      <c r="K151" t="str">
        <f>PSE!L1</f>
        <v>JAN'27</v>
      </c>
      <c r="L151" t="str">
        <f>PSE!M1</f>
        <v>FEB'27</v>
      </c>
      <c r="M151" t="str">
        <f>PSE!N1</f>
        <v>MAR'27</v>
      </c>
      <c r="N151" t="str">
        <f>PSE!O1</f>
        <v>APR'27</v>
      </c>
      <c r="O151" t="str">
        <f>PSE!P1</f>
        <v>MAY'27</v>
      </c>
      <c r="P151" t="str">
        <f>PSE!Q1</f>
        <v>JUN'27</v>
      </c>
    </row>
    <row r="152" spans="1:16" x14ac:dyDescent="0.2">
      <c r="A152" t="str">
        <f>PSE!B6</f>
        <v>% Plan</v>
      </c>
      <c r="B152">
        <f>PSE!C6*100</f>
        <v>95.69</v>
      </c>
      <c r="C152">
        <f>PSE!D6*100</f>
        <v>98.5</v>
      </c>
      <c r="D152">
        <f>PSE!E6*100</f>
        <v>90.45</v>
      </c>
      <c r="E152">
        <f>PSE!F6*100</f>
        <v>88.160000000000011</v>
      </c>
      <c r="F152">
        <f>PSE!G6*100</f>
        <v>88.649999999999991</v>
      </c>
      <c r="G152">
        <f>PSE!H6*100</f>
        <v>85.05</v>
      </c>
      <c r="H152">
        <f>PSE!I6*100</f>
        <v>79.010000000000005</v>
      </c>
      <c r="I152">
        <f>PSE!J6*100</f>
        <v>78.959999999999994</v>
      </c>
      <c r="J152">
        <f>PSE!K6*100</f>
        <v>78.44</v>
      </c>
      <c r="K152">
        <f>PSE!L6*100</f>
        <v>54.900000000000006</v>
      </c>
      <c r="L152">
        <f>PSE!M6*100</f>
        <v>54.900000000000006</v>
      </c>
      <c r="M152">
        <f>PSE!N6*100</f>
        <v>56.720000000000006</v>
      </c>
      <c r="N152">
        <f>PSE!O6*100</f>
        <v>51.300000000000004</v>
      </c>
      <c r="O152">
        <f>PSE!P6*100</f>
        <v>48.8</v>
      </c>
      <c r="P152">
        <f>PSE!Q6*100</f>
        <v>47.4</v>
      </c>
    </row>
    <row r="153" spans="1:16" x14ac:dyDescent="0.2">
      <c r="A153" t="str">
        <f>PSE!B7</f>
        <v>Available FTE</v>
      </c>
      <c r="B153">
        <f>PSE!C7</f>
        <v>2</v>
      </c>
      <c r="C153">
        <f>PSE!D7</f>
        <v>1</v>
      </c>
      <c r="D153">
        <f>PSE!E7</f>
        <v>5</v>
      </c>
      <c r="E153">
        <f>PSE!F7</f>
        <v>6</v>
      </c>
      <c r="F153">
        <f>PSE!G7</f>
        <v>5</v>
      </c>
      <c r="G153">
        <f>PSE!H7</f>
        <v>7</v>
      </c>
      <c r="H153">
        <f>PSE!I7</f>
        <v>10</v>
      </c>
      <c r="I153">
        <f>PSE!J7</f>
        <v>10</v>
      </c>
      <c r="J153">
        <f>PSE!K7</f>
        <v>10</v>
      </c>
      <c r="K153">
        <f>PSE!L7</f>
        <v>22</v>
      </c>
      <c r="L153">
        <f>PSE!M7</f>
        <v>22</v>
      </c>
      <c r="M153">
        <f>PSE!N7</f>
        <v>21</v>
      </c>
      <c r="N153">
        <f>PSE!O7</f>
        <v>23</v>
      </c>
      <c r="O153">
        <f>PSE!P7</f>
        <v>25</v>
      </c>
      <c r="P153">
        <f>PSE!Q7</f>
        <v>25</v>
      </c>
    </row>
    <row r="155" spans="1:16" x14ac:dyDescent="0.2">
      <c r="B155" t="str">
        <f>PSE!C31</f>
        <v>Q2</v>
      </c>
      <c r="C155" t="str">
        <f>PSE!D31</f>
        <v>Q3</v>
      </c>
      <c r="D155" t="str">
        <f>PSE!E31</f>
        <v>Q4</v>
      </c>
      <c r="E155" t="str">
        <f>PSE!F31</f>
        <v>Q1'27</v>
      </c>
      <c r="F155" t="str">
        <f>PSE!G31</f>
        <v>Q2'27</v>
      </c>
    </row>
    <row r="156" spans="1:16" x14ac:dyDescent="0.2">
      <c r="A156" t="str">
        <f>PSE!B6</f>
        <v>% Plan</v>
      </c>
      <c r="B156">
        <f>PSE!C36*100</f>
        <v>94.88</v>
      </c>
      <c r="C156">
        <f>PSE!D36*100</f>
        <v>87.28</v>
      </c>
      <c r="D156">
        <f>PSE!E36*100</f>
        <v>78.8</v>
      </c>
      <c r="E156">
        <f>PSE!F36*100</f>
        <v>55.500000000000007</v>
      </c>
      <c r="F156">
        <f>PSE!G36*100</f>
        <v>49.17</v>
      </c>
    </row>
    <row r="157" spans="1:16" x14ac:dyDescent="0.2">
      <c r="A157" t="str">
        <f>PSE!B7</f>
        <v>Available FTE</v>
      </c>
      <c r="B157">
        <f>PSE!C37</f>
        <v>2</v>
      </c>
      <c r="C157">
        <f>PSE!D37</f>
        <v>6</v>
      </c>
      <c r="D157">
        <f>PSE!E37</f>
        <v>10</v>
      </c>
      <c r="E157">
        <f>PSE!F37</f>
        <v>14</v>
      </c>
      <c r="F157">
        <f>PSE!G37</f>
        <v>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workbookViewId="0">
      <pane ySplit="1" topLeftCell="A45" activePane="bottomLeft" state="frozen"/>
      <selection pane="bottomLeft" activeCell="T19" sqref="T1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33</v>
      </c>
      <c r="B2" s="6" t="s">
        <v>16</v>
      </c>
      <c r="C2" s="7">
        <v>46</v>
      </c>
      <c r="D2" s="7">
        <v>49</v>
      </c>
      <c r="E2" s="7">
        <v>51</v>
      </c>
      <c r="F2" s="7">
        <v>53</v>
      </c>
      <c r="G2" s="7">
        <v>53</v>
      </c>
      <c r="H2" s="7">
        <v>53</v>
      </c>
      <c r="I2" s="7">
        <v>53</v>
      </c>
      <c r="J2" s="7">
        <v>53</v>
      </c>
      <c r="K2" s="7">
        <v>53</v>
      </c>
      <c r="L2" s="7">
        <v>53</v>
      </c>
      <c r="M2" s="7">
        <v>53</v>
      </c>
      <c r="N2" s="7">
        <v>53</v>
      </c>
      <c r="O2" s="7">
        <v>53</v>
      </c>
      <c r="P2" s="7">
        <v>53</v>
      </c>
      <c r="Q2" s="7">
        <v>53</v>
      </c>
    </row>
    <row r="3" spans="1:17" x14ac:dyDescent="0.2">
      <c r="A3" s="11" t="s">
        <v>33</v>
      </c>
      <c r="B3" s="8" t="s">
        <v>17</v>
      </c>
      <c r="C3" s="7">
        <v>52</v>
      </c>
      <c r="D3" s="7">
        <v>52</v>
      </c>
      <c r="E3" s="7">
        <v>52</v>
      </c>
      <c r="F3" s="7">
        <v>52</v>
      </c>
      <c r="G3" s="7">
        <v>52</v>
      </c>
      <c r="H3" s="7">
        <v>52</v>
      </c>
      <c r="I3" s="7">
        <v>52</v>
      </c>
      <c r="J3" s="7">
        <v>52</v>
      </c>
      <c r="K3" s="7">
        <v>52</v>
      </c>
      <c r="L3" s="7">
        <v>52</v>
      </c>
      <c r="M3" s="7">
        <v>52</v>
      </c>
      <c r="N3" s="7">
        <v>52</v>
      </c>
      <c r="O3" s="7">
        <v>52.133333329999999</v>
      </c>
      <c r="P3" s="7">
        <v>52.133333329999999</v>
      </c>
      <c r="Q3" s="7">
        <v>52.133333329999999</v>
      </c>
    </row>
    <row r="4" spans="1:17" x14ac:dyDescent="0.2">
      <c r="A4" s="12" t="s">
        <v>33</v>
      </c>
      <c r="B4" s="9" t="s">
        <v>18</v>
      </c>
      <c r="C4" s="7">
        <v>42</v>
      </c>
      <c r="D4" s="7">
        <v>45</v>
      </c>
      <c r="E4" s="7">
        <v>46</v>
      </c>
      <c r="F4" s="7">
        <v>46</v>
      </c>
      <c r="G4" s="13">
        <v>55</v>
      </c>
      <c r="H4" s="13">
        <v>54</v>
      </c>
      <c r="I4" s="13">
        <v>54</v>
      </c>
      <c r="J4" s="7">
        <v>50</v>
      </c>
      <c r="K4" s="7">
        <v>49</v>
      </c>
      <c r="L4" s="7">
        <v>37</v>
      </c>
      <c r="M4" s="7">
        <v>36</v>
      </c>
      <c r="N4" s="7">
        <v>36</v>
      </c>
      <c r="O4" s="7">
        <v>22.143750000000001</v>
      </c>
      <c r="P4" s="7">
        <v>21.184999999999999</v>
      </c>
      <c r="Q4" s="7">
        <v>21.184999999999999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0.90980000000000005</v>
      </c>
      <c r="D6" s="18">
        <v>0.92430000000000001</v>
      </c>
      <c r="E6" s="18">
        <v>0.9022</v>
      </c>
      <c r="F6" s="18">
        <v>0.87629999999999997</v>
      </c>
      <c r="G6" s="18">
        <v>1.0302</v>
      </c>
      <c r="H6" s="18">
        <v>1.0116000000000001</v>
      </c>
      <c r="I6" s="18">
        <v>1.0185999999999999</v>
      </c>
      <c r="J6" s="18">
        <v>0.95009999999999994</v>
      </c>
      <c r="K6" s="18">
        <v>0.92530000000000001</v>
      </c>
      <c r="L6" s="18">
        <v>0.70569999999999999</v>
      </c>
      <c r="M6" s="18">
        <v>0.68700000000000006</v>
      </c>
      <c r="N6" s="18">
        <v>0.67849999999999999</v>
      </c>
      <c r="O6" s="18">
        <v>0.4178</v>
      </c>
      <c r="P6" s="18">
        <v>0.3997</v>
      </c>
      <c r="Q6" s="18">
        <v>0.3997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7</v>
      </c>
      <c r="G7" s="19">
        <v>-2</v>
      </c>
      <c r="H7" s="19">
        <v>-1</v>
      </c>
      <c r="I7" s="19">
        <v>-1</v>
      </c>
      <c r="J7" s="19">
        <v>3</v>
      </c>
      <c r="K7" s="19">
        <v>4</v>
      </c>
      <c r="L7" s="19">
        <v>16</v>
      </c>
      <c r="M7" s="19">
        <v>17</v>
      </c>
      <c r="N7" s="19">
        <v>17</v>
      </c>
      <c r="O7" s="19">
        <v>31</v>
      </c>
      <c r="P7" s="19">
        <v>32</v>
      </c>
      <c r="Q7" s="19">
        <v>32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35</v>
      </c>
      <c r="D9" s="7">
        <v>36</v>
      </c>
      <c r="E9" s="7">
        <v>35</v>
      </c>
      <c r="F9" s="7">
        <v>36</v>
      </c>
      <c r="G9" s="7">
        <v>36</v>
      </c>
      <c r="H9" s="7">
        <v>36</v>
      </c>
      <c r="I9" s="7">
        <v>36</v>
      </c>
      <c r="J9" s="7">
        <v>36</v>
      </c>
      <c r="K9" s="7">
        <v>36</v>
      </c>
      <c r="L9" s="7">
        <v>36</v>
      </c>
      <c r="M9" s="7">
        <v>36</v>
      </c>
      <c r="N9" s="7">
        <v>36</v>
      </c>
      <c r="O9" s="7">
        <v>36</v>
      </c>
      <c r="P9" s="7">
        <v>36</v>
      </c>
      <c r="Q9" s="7">
        <v>36</v>
      </c>
    </row>
    <row r="10" spans="1:17" x14ac:dyDescent="0.2">
      <c r="A10" s="8" t="s">
        <v>17</v>
      </c>
      <c r="B10" s="11" t="s">
        <v>19</v>
      </c>
      <c r="C10" s="7">
        <v>36</v>
      </c>
      <c r="D10" s="7">
        <v>36</v>
      </c>
      <c r="E10" s="7">
        <v>36</v>
      </c>
      <c r="F10" s="7">
        <v>36</v>
      </c>
      <c r="G10" s="7">
        <v>36</v>
      </c>
      <c r="H10" s="7">
        <v>36</v>
      </c>
      <c r="I10" s="7">
        <v>36</v>
      </c>
      <c r="J10" s="7">
        <v>36</v>
      </c>
      <c r="K10" s="7">
        <v>36</v>
      </c>
      <c r="L10" s="7">
        <v>36</v>
      </c>
      <c r="M10" s="7">
        <v>36</v>
      </c>
      <c r="N10" s="7">
        <v>36</v>
      </c>
      <c r="O10" s="7">
        <v>35.833333330000002</v>
      </c>
      <c r="P10" s="7">
        <v>35.833333330000002</v>
      </c>
      <c r="Q10" s="7">
        <v>35.833333330000002</v>
      </c>
    </row>
    <row r="11" spans="1:17" x14ac:dyDescent="0.2">
      <c r="A11" s="15" t="s">
        <v>18</v>
      </c>
      <c r="B11" s="12" t="s">
        <v>19</v>
      </c>
      <c r="C11" s="7">
        <v>32</v>
      </c>
      <c r="D11" s="7">
        <v>33</v>
      </c>
      <c r="E11" s="7">
        <v>32</v>
      </c>
      <c r="F11" s="7">
        <v>32</v>
      </c>
      <c r="G11" s="7">
        <v>35</v>
      </c>
      <c r="H11" s="7">
        <v>34</v>
      </c>
      <c r="I11" s="7">
        <v>35</v>
      </c>
      <c r="J11" s="7">
        <v>33</v>
      </c>
      <c r="K11" s="7">
        <v>32</v>
      </c>
      <c r="L11" s="7">
        <v>25</v>
      </c>
      <c r="M11" s="7">
        <v>24</v>
      </c>
      <c r="N11" s="7">
        <v>24</v>
      </c>
      <c r="O11" s="7">
        <v>19.568750000000001</v>
      </c>
      <c r="P11" s="7">
        <v>18.61</v>
      </c>
      <c r="Q11" s="7">
        <v>18.61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0.85</v>
      </c>
      <c r="P15" s="7">
        <v>0.85</v>
      </c>
      <c r="Q15" s="7">
        <v>0.85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16</v>
      </c>
      <c r="B17" s="10" t="s">
        <v>21</v>
      </c>
      <c r="C17" s="7">
        <v>9</v>
      </c>
      <c r="D17" s="7">
        <v>11</v>
      </c>
      <c r="E17" s="7">
        <v>14</v>
      </c>
      <c r="F17" s="7">
        <v>15</v>
      </c>
      <c r="G17" s="7">
        <v>15</v>
      </c>
      <c r="H17" s="7">
        <v>15</v>
      </c>
      <c r="I17" s="7">
        <v>15</v>
      </c>
      <c r="J17" s="7">
        <v>15</v>
      </c>
      <c r="K17" s="7">
        <v>15</v>
      </c>
      <c r="L17" s="7">
        <v>15</v>
      </c>
      <c r="M17" s="7">
        <v>15</v>
      </c>
      <c r="N17" s="7">
        <v>15</v>
      </c>
      <c r="O17" s="7">
        <v>15</v>
      </c>
      <c r="P17" s="7">
        <v>15</v>
      </c>
      <c r="Q17" s="7">
        <v>15</v>
      </c>
    </row>
    <row r="18" spans="1:17" x14ac:dyDescent="0.2">
      <c r="A18" s="8" t="s">
        <v>17</v>
      </c>
      <c r="B18" s="11" t="s">
        <v>21</v>
      </c>
      <c r="C18" s="7">
        <v>12</v>
      </c>
      <c r="D18" s="7">
        <v>12</v>
      </c>
      <c r="E18" s="7">
        <v>12</v>
      </c>
      <c r="F18" s="7">
        <v>12</v>
      </c>
      <c r="G18" s="7">
        <v>12</v>
      </c>
      <c r="H18" s="7">
        <v>12</v>
      </c>
      <c r="I18" s="7">
        <v>12</v>
      </c>
      <c r="J18" s="7">
        <v>12</v>
      </c>
      <c r="K18" s="7">
        <v>12</v>
      </c>
      <c r="L18" s="7">
        <v>12</v>
      </c>
      <c r="M18" s="7">
        <v>12</v>
      </c>
      <c r="N18" s="7">
        <v>12</v>
      </c>
      <c r="O18" s="7">
        <v>12</v>
      </c>
      <c r="P18" s="7">
        <v>12</v>
      </c>
      <c r="Q18" s="7">
        <v>12</v>
      </c>
    </row>
    <row r="19" spans="1:17" x14ac:dyDescent="0.2">
      <c r="A19" s="15" t="s">
        <v>18</v>
      </c>
      <c r="B19" s="12" t="s">
        <v>21</v>
      </c>
      <c r="C19" s="7">
        <v>8</v>
      </c>
      <c r="D19" s="7">
        <v>11</v>
      </c>
      <c r="E19" s="7">
        <v>12</v>
      </c>
      <c r="F19" s="7">
        <v>13</v>
      </c>
      <c r="G19" s="13">
        <v>17</v>
      </c>
      <c r="H19" s="13">
        <v>17</v>
      </c>
      <c r="I19" s="13">
        <v>17</v>
      </c>
      <c r="J19" s="13">
        <v>15</v>
      </c>
      <c r="K19" s="13">
        <v>15</v>
      </c>
      <c r="L19" s="7">
        <v>10</v>
      </c>
      <c r="M19" s="7">
        <v>10</v>
      </c>
      <c r="N19" s="7">
        <v>10</v>
      </c>
      <c r="O19" s="7">
        <v>2</v>
      </c>
      <c r="P19" s="7">
        <v>2</v>
      </c>
      <c r="Q19" s="7">
        <v>2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183</v>
      </c>
    </row>
    <row r="32" spans="1:17" x14ac:dyDescent="0.2">
      <c r="A32" s="10" t="s">
        <v>33</v>
      </c>
      <c r="B32" s="6" t="s">
        <v>16</v>
      </c>
      <c r="C32" s="20">
        <v>49</v>
      </c>
      <c r="D32" s="20">
        <v>53</v>
      </c>
      <c r="E32" s="20">
        <v>53</v>
      </c>
      <c r="F32" s="20">
        <v>53</v>
      </c>
      <c r="G32" s="20">
        <v>53</v>
      </c>
    </row>
    <row r="33" spans="1:7" x14ac:dyDescent="0.2">
      <c r="A33" s="11" t="s">
        <v>33</v>
      </c>
      <c r="B33" s="8" t="s">
        <v>17</v>
      </c>
      <c r="C33" s="20">
        <v>52</v>
      </c>
      <c r="D33" s="20">
        <v>52</v>
      </c>
      <c r="E33" s="20">
        <v>52</v>
      </c>
      <c r="F33" s="20">
        <v>52</v>
      </c>
      <c r="G33" s="20">
        <v>52</v>
      </c>
    </row>
    <row r="34" spans="1:7" x14ac:dyDescent="0.2">
      <c r="A34" s="12" t="s">
        <v>33</v>
      </c>
      <c r="B34" s="9" t="s">
        <v>18</v>
      </c>
      <c r="C34" s="20">
        <v>44</v>
      </c>
      <c r="D34" s="20">
        <v>52</v>
      </c>
      <c r="E34" s="20">
        <v>51</v>
      </c>
      <c r="F34" s="20">
        <v>37</v>
      </c>
      <c r="G34" s="20">
        <v>22</v>
      </c>
    </row>
    <row r="35" spans="1:7" x14ac:dyDescent="0.2">
      <c r="A35" s="16"/>
      <c r="B35" s="7"/>
      <c r="C35" s="27">
        <v>8.7999999999999995E-2</v>
      </c>
      <c r="D35" s="27">
        <v>2.7300000000000001E-2</v>
      </c>
      <c r="E35" s="27">
        <v>3.5400000000000001E-2</v>
      </c>
      <c r="F35" s="27">
        <v>0.30959999999999999</v>
      </c>
      <c r="G35" s="27">
        <v>0.59430000000000005</v>
      </c>
    </row>
    <row r="36" spans="1:7" x14ac:dyDescent="0.2">
      <c r="A36" s="7"/>
      <c r="B36" s="17" t="s">
        <v>23</v>
      </c>
      <c r="C36" s="18">
        <v>0.91200000000000003</v>
      </c>
      <c r="D36" s="18">
        <v>0.97270000000000001</v>
      </c>
      <c r="E36" s="18">
        <v>0.96460000000000001</v>
      </c>
      <c r="F36" s="18">
        <v>0.69040000000000001</v>
      </c>
      <c r="G36" s="18">
        <v>0.40570000000000001</v>
      </c>
    </row>
    <row r="37" spans="1:7" x14ac:dyDescent="0.2">
      <c r="A37" s="16"/>
      <c r="B37" s="17" t="s">
        <v>24</v>
      </c>
      <c r="C37" s="19">
        <v>4</v>
      </c>
      <c r="D37" s="19">
        <v>1</v>
      </c>
      <c r="E37" s="19">
        <v>2</v>
      </c>
      <c r="F37" s="19">
        <v>7</v>
      </c>
      <c r="G37" s="19">
        <v>31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35</v>
      </c>
      <c r="D39" s="20">
        <v>36</v>
      </c>
      <c r="E39" s="20">
        <v>36</v>
      </c>
      <c r="F39" s="20">
        <v>36</v>
      </c>
      <c r="G39" s="20">
        <v>36</v>
      </c>
    </row>
    <row r="40" spans="1:7" x14ac:dyDescent="0.2">
      <c r="A40" s="8" t="s">
        <v>17</v>
      </c>
      <c r="B40" s="11" t="s">
        <v>19</v>
      </c>
      <c r="C40" s="20">
        <v>36</v>
      </c>
      <c r="D40" s="20">
        <v>36</v>
      </c>
      <c r="E40" s="20">
        <v>36</v>
      </c>
      <c r="F40" s="20">
        <v>36</v>
      </c>
      <c r="G40" s="20">
        <v>36</v>
      </c>
    </row>
    <row r="41" spans="1:7" x14ac:dyDescent="0.2">
      <c r="A41" s="15" t="s">
        <v>18</v>
      </c>
      <c r="B41" s="12" t="s">
        <v>19</v>
      </c>
      <c r="C41" s="20">
        <v>32</v>
      </c>
      <c r="D41" s="20">
        <v>34</v>
      </c>
      <c r="E41" s="20">
        <v>33</v>
      </c>
      <c r="F41" s="20">
        <v>25</v>
      </c>
      <c r="G41" s="20">
        <v>19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1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16</v>
      </c>
      <c r="B47" s="10" t="s">
        <v>21</v>
      </c>
      <c r="C47" s="20">
        <v>11</v>
      </c>
      <c r="D47" s="20">
        <v>15</v>
      </c>
      <c r="E47" s="20">
        <v>15</v>
      </c>
      <c r="F47" s="20">
        <v>15</v>
      </c>
      <c r="G47" s="20">
        <v>15</v>
      </c>
    </row>
    <row r="48" spans="1:7" x14ac:dyDescent="0.2">
      <c r="A48" s="8" t="s">
        <v>17</v>
      </c>
      <c r="B48" s="11" t="s">
        <v>21</v>
      </c>
      <c r="C48" s="20">
        <v>12</v>
      </c>
      <c r="D48" s="20">
        <v>12</v>
      </c>
      <c r="E48" s="20">
        <v>12</v>
      </c>
      <c r="F48" s="20">
        <v>12</v>
      </c>
      <c r="G48" s="20">
        <v>12</v>
      </c>
    </row>
    <row r="49" spans="1:17" x14ac:dyDescent="0.2">
      <c r="A49" s="15" t="s">
        <v>18</v>
      </c>
      <c r="B49" s="12" t="s">
        <v>21</v>
      </c>
      <c r="C49" s="20">
        <v>10</v>
      </c>
      <c r="D49" s="13">
        <v>16</v>
      </c>
      <c r="E49" s="13">
        <v>16</v>
      </c>
      <c r="F49" s="20">
        <v>10</v>
      </c>
      <c r="G49" s="20">
        <v>2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1" t="s">
        <v>180</v>
      </c>
      <c r="P61" s="81" t="s">
        <v>181</v>
      </c>
      <c r="Q61" s="81" t="s">
        <v>182</v>
      </c>
    </row>
    <row r="62" spans="1:17" x14ac:dyDescent="0.2">
      <c r="A62" s="11"/>
      <c r="B62" s="43" t="s">
        <v>16</v>
      </c>
      <c r="C62" s="11">
        <v>46</v>
      </c>
      <c r="D62" s="11">
        <v>49</v>
      </c>
      <c r="E62" s="11">
        <v>51</v>
      </c>
      <c r="F62" s="11">
        <v>53</v>
      </c>
      <c r="G62" s="11">
        <v>53</v>
      </c>
      <c r="H62" s="11">
        <v>53</v>
      </c>
      <c r="I62" s="11">
        <v>53</v>
      </c>
      <c r="J62" s="11">
        <v>53</v>
      </c>
      <c r="K62" s="11">
        <v>53</v>
      </c>
      <c r="L62" s="11">
        <v>53</v>
      </c>
      <c r="M62" s="11">
        <v>53</v>
      </c>
      <c r="N62" s="11">
        <v>53</v>
      </c>
      <c r="O62" s="11">
        <v>53</v>
      </c>
      <c r="P62" s="11">
        <v>53</v>
      </c>
      <c r="Q62" s="11">
        <v>53</v>
      </c>
    </row>
    <row r="63" spans="1:17" x14ac:dyDescent="0.2">
      <c r="A63" s="34"/>
      <c r="B63" s="44" t="s">
        <v>18</v>
      </c>
      <c r="C63" s="45">
        <v>41.85125</v>
      </c>
      <c r="D63" s="45">
        <v>45.28875</v>
      </c>
      <c r="E63" s="45">
        <v>46.013750000000002</v>
      </c>
      <c r="F63" s="45">
        <v>46.445</v>
      </c>
      <c r="G63" s="45">
        <v>54.6</v>
      </c>
      <c r="H63" s="45">
        <v>53.615000000000002</v>
      </c>
      <c r="I63" s="45">
        <v>53.983750000000001</v>
      </c>
      <c r="J63" s="45">
        <v>50.353749999999998</v>
      </c>
      <c r="K63" s="45">
        <v>49.041249999999998</v>
      </c>
      <c r="L63" s="45">
        <v>37.400624999999998</v>
      </c>
      <c r="M63" s="45">
        <v>36.410625000000003</v>
      </c>
      <c r="N63" s="45">
        <v>35.960625</v>
      </c>
      <c r="O63" s="45">
        <v>22.143750000000001</v>
      </c>
      <c r="P63" s="45">
        <v>21.184999999999999</v>
      </c>
      <c r="Q63" s="45">
        <v>21.184999999999999</v>
      </c>
    </row>
    <row r="64" spans="1:17" x14ac:dyDescent="0.2">
      <c r="A64" s="46" t="s">
        <v>52</v>
      </c>
      <c r="B64" s="47" t="s">
        <v>16</v>
      </c>
      <c r="C64" s="46">
        <v>1</v>
      </c>
      <c r="D64" s="46">
        <v>1</v>
      </c>
      <c r="E64" s="46">
        <v>1</v>
      </c>
      <c r="F64" s="46">
        <v>1</v>
      </c>
      <c r="G64" s="46">
        <v>1</v>
      </c>
      <c r="H64" s="46">
        <v>1</v>
      </c>
      <c r="I64" s="46">
        <v>1</v>
      </c>
      <c r="J64" s="46">
        <v>1</v>
      </c>
      <c r="K64" s="46">
        <v>1</v>
      </c>
      <c r="L64" s="46">
        <v>1</v>
      </c>
      <c r="M64" s="46">
        <v>1</v>
      </c>
      <c r="N64" s="46">
        <v>1</v>
      </c>
      <c r="O64" s="46">
        <v>1</v>
      </c>
      <c r="P64" s="46">
        <v>1</v>
      </c>
      <c r="Q64" s="46">
        <v>1</v>
      </c>
    </row>
    <row r="65" spans="1:17" x14ac:dyDescent="0.2">
      <c r="A65" s="37" t="s">
        <v>52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6" t="s">
        <v>53</v>
      </c>
      <c r="B66" s="47" t="s">
        <v>16</v>
      </c>
      <c r="C66" s="46">
        <v>4</v>
      </c>
      <c r="D66" s="46">
        <v>4</v>
      </c>
      <c r="E66" s="46">
        <v>4</v>
      </c>
      <c r="F66" s="46">
        <v>4</v>
      </c>
      <c r="G66" s="46">
        <v>4</v>
      </c>
      <c r="H66" s="46">
        <v>4</v>
      </c>
      <c r="I66" s="46">
        <v>4</v>
      </c>
      <c r="J66" s="46">
        <v>4</v>
      </c>
      <c r="K66" s="46">
        <v>4</v>
      </c>
      <c r="L66" s="46">
        <v>4</v>
      </c>
      <c r="M66" s="46">
        <v>4</v>
      </c>
      <c r="N66" s="46">
        <v>4</v>
      </c>
      <c r="O66" s="46">
        <v>4</v>
      </c>
      <c r="P66" s="46">
        <v>4</v>
      </c>
      <c r="Q66" s="46">
        <v>4</v>
      </c>
    </row>
    <row r="67" spans="1:17" x14ac:dyDescent="0.2">
      <c r="A67" s="37" t="s">
        <v>53</v>
      </c>
      <c r="B67" s="9" t="s">
        <v>18</v>
      </c>
      <c r="C67" s="7">
        <v>2.4562499999999998</v>
      </c>
      <c r="D67" s="7">
        <v>3.53125</v>
      </c>
      <c r="E67" s="7">
        <v>3.1937500000000001</v>
      </c>
      <c r="F67" s="7">
        <v>3.2</v>
      </c>
      <c r="G67" s="7">
        <v>4.8250000000000002</v>
      </c>
      <c r="H67" s="7">
        <v>4.8875000000000002</v>
      </c>
      <c r="I67" s="7">
        <v>5.3312499999999998</v>
      </c>
      <c r="J67" s="7">
        <v>4.5812499999999998</v>
      </c>
      <c r="K67" s="7">
        <v>4.5187499999999998</v>
      </c>
      <c r="L67" s="7">
        <v>3.703125</v>
      </c>
      <c r="M67" s="7">
        <v>3.2281249999999999</v>
      </c>
      <c r="N67" s="7">
        <v>3.2281249999999999</v>
      </c>
      <c r="O67" s="7">
        <v>3.0562499999999999</v>
      </c>
      <c r="P67" s="7">
        <v>2.9125000000000001</v>
      </c>
      <c r="Q67" s="7">
        <v>2.9125000000000001</v>
      </c>
    </row>
    <row r="68" spans="1:17" x14ac:dyDescent="0.2">
      <c r="A68" s="46" t="s">
        <v>54</v>
      </c>
      <c r="B68" s="47" t="s">
        <v>16</v>
      </c>
      <c r="C68" s="46">
        <v>7</v>
      </c>
      <c r="D68" s="46">
        <v>7</v>
      </c>
      <c r="E68" s="46">
        <v>7</v>
      </c>
      <c r="F68" s="46">
        <v>7</v>
      </c>
      <c r="G68" s="46">
        <v>7</v>
      </c>
      <c r="H68" s="46">
        <v>7</v>
      </c>
      <c r="I68" s="46">
        <v>7</v>
      </c>
      <c r="J68" s="46">
        <v>7</v>
      </c>
      <c r="K68" s="46">
        <v>7</v>
      </c>
      <c r="L68" s="46">
        <v>7</v>
      </c>
      <c r="M68" s="46">
        <v>7</v>
      </c>
      <c r="N68" s="46">
        <v>7</v>
      </c>
      <c r="O68" s="46">
        <v>7</v>
      </c>
      <c r="P68" s="46">
        <v>7</v>
      </c>
      <c r="Q68" s="46">
        <v>7</v>
      </c>
    </row>
    <row r="69" spans="1:17" x14ac:dyDescent="0.2">
      <c r="A69" s="37" t="s">
        <v>54</v>
      </c>
      <c r="B69" s="9" t="s">
        <v>18</v>
      </c>
      <c r="C69" s="7">
        <v>6.12</v>
      </c>
      <c r="D69" s="7">
        <v>5.7149999999999999</v>
      </c>
      <c r="E69" s="7">
        <v>6.42</v>
      </c>
      <c r="F69" s="7">
        <v>5.89</v>
      </c>
      <c r="G69" s="7">
        <v>5.72</v>
      </c>
      <c r="H69" s="7">
        <v>5.5949999999999998</v>
      </c>
      <c r="I69" s="7">
        <v>5.2450000000000001</v>
      </c>
      <c r="J69" s="7">
        <v>5.07</v>
      </c>
      <c r="K69" s="7">
        <v>5.0199999999999996</v>
      </c>
      <c r="L69" s="7">
        <v>4.7050000000000001</v>
      </c>
      <c r="M69" s="7">
        <v>4.5650000000000004</v>
      </c>
      <c r="N69" s="7">
        <v>4.4649999999999999</v>
      </c>
      <c r="O69" s="7">
        <v>4.6050000000000004</v>
      </c>
      <c r="P69" s="7">
        <v>4.4649999999999999</v>
      </c>
      <c r="Q69" s="7">
        <v>4.4649999999999999</v>
      </c>
    </row>
    <row r="70" spans="1:17" x14ac:dyDescent="0.2">
      <c r="A70" s="39" t="s">
        <v>55</v>
      </c>
      <c r="B70" s="40" t="s">
        <v>16</v>
      </c>
      <c r="C70" s="40">
        <v>6</v>
      </c>
      <c r="D70" s="40">
        <v>6</v>
      </c>
      <c r="E70" s="40">
        <v>6</v>
      </c>
      <c r="F70" s="40">
        <v>6</v>
      </c>
      <c r="G70" s="40">
        <v>6</v>
      </c>
      <c r="H70" s="40">
        <v>6</v>
      </c>
      <c r="I70" s="40">
        <v>6</v>
      </c>
      <c r="J70" s="40">
        <v>6</v>
      </c>
      <c r="K70" s="40">
        <v>6</v>
      </c>
      <c r="L70" s="40">
        <v>6</v>
      </c>
      <c r="M70" s="40">
        <v>6</v>
      </c>
      <c r="N70" s="40">
        <v>6</v>
      </c>
      <c r="O70" s="40">
        <v>6</v>
      </c>
      <c r="P70" s="40">
        <v>6</v>
      </c>
      <c r="Q70" s="40">
        <v>6</v>
      </c>
    </row>
    <row r="71" spans="1:17" x14ac:dyDescent="0.2">
      <c r="A71" s="41" t="s">
        <v>56</v>
      </c>
      <c r="B71" s="42" t="s">
        <v>18</v>
      </c>
      <c r="C71" s="38">
        <v>5.12</v>
      </c>
      <c r="D71" s="38">
        <v>4.7149999999999999</v>
      </c>
      <c r="E71" s="38">
        <v>5.42</v>
      </c>
      <c r="F71" s="38">
        <v>5.04</v>
      </c>
      <c r="G71" s="38">
        <v>4.87</v>
      </c>
      <c r="H71" s="38">
        <v>4.7450000000000001</v>
      </c>
      <c r="I71" s="38">
        <v>4.3949999999999996</v>
      </c>
      <c r="J71" s="38">
        <v>4.22</v>
      </c>
      <c r="K71" s="38">
        <v>4.17</v>
      </c>
      <c r="L71" s="38">
        <v>3.855</v>
      </c>
      <c r="M71" s="38">
        <v>3.7149999999999999</v>
      </c>
      <c r="N71" s="38">
        <v>3.6150000000000002</v>
      </c>
      <c r="O71" s="38">
        <v>3.7549999999999999</v>
      </c>
      <c r="P71" s="38">
        <v>3.6150000000000002</v>
      </c>
      <c r="Q71" s="38">
        <v>3.6150000000000002</v>
      </c>
    </row>
    <row r="72" spans="1:17" x14ac:dyDescent="0.2">
      <c r="A72" s="39" t="s">
        <v>57</v>
      </c>
      <c r="B72" s="40" t="s">
        <v>16</v>
      </c>
      <c r="C72" s="40">
        <v>1</v>
      </c>
      <c r="D72" s="40">
        <v>1</v>
      </c>
      <c r="E72" s="40">
        <v>1</v>
      </c>
      <c r="F72" s="40">
        <v>1</v>
      </c>
      <c r="G72" s="40">
        <v>1</v>
      </c>
      <c r="H72" s="40">
        <v>1</v>
      </c>
      <c r="I72" s="40">
        <v>1</v>
      </c>
      <c r="J72" s="40">
        <v>1</v>
      </c>
      <c r="K72" s="40">
        <v>1</v>
      </c>
      <c r="L72" s="40">
        <v>1</v>
      </c>
      <c r="M72" s="40">
        <v>1</v>
      </c>
      <c r="N72" s="40">
        <v>1</v>
      </c>
      <c r="O72" s="40">
        <v>1</v>
      </c>
      <c r="P72" s="40">
        <v>1</v>
      </c>
      <c r="Q72" s="40">
        <v>1</v>
      </c>
    </row>
    <row r="73" spans="1:17" x14ac:dyDescent="0.2">
      <c r="A73" s="41" t="s">
        <v>58</v>
      </c>
      <c r="B73" s="42" t="s">
        <v>18</v>
      </c>
      <c r="C73" s="38">
        <v>1</v>
      </c>
      <c r="D73" s="38">
        <v>1</v>
      </c>
      <c r="E73" s="38">
        <v>1</v>
      </c>
      <c r="F73" s="38">
        <v>0.85</v>
      </c>
      <c r="G73" s="38">
        <v>0.85</v>
      </c>
      <c r="H73" s="38">
        <v>0.85</v>
      </c>
      <c r="I73" s="38">
        <v>0.85</v>
      </c>
      <c r="J73" s="38">
        <v>0.85</v>
      </c>
      <c r="K73" s="38">
        <v>0.85</v>
      </c>
      <c r="L73" s="38">
        <v>0.85</v>
      </c>
      <c r="M73" s="38">
        <v>0.85</v>
      </c>
      <c r="N73" s="38">
        <v>0.85</v>
      </c>
      <c r="O73" s="38">
        <v>0.85</v>
      </c>
      <c r="P73" s="38">
        <v>0.85</v>
      </c>
      <c r="Q73" s="38">
        <v>0.85</v>
      </c>
    </row>
    <row r="74" spans="1:17" x14ac:dyDescent="0.2">
      <c r="A74" s="46" t="s">
        <v>59</v>
      </c>
      <c r="B74" s="47" t="s">
        <v>16</v>
      </c>
      <c r="C74" s="46">
        <v>4</v>
      </c>
      <c r="D74" s="46">
        <v>4</v>
      </c>
      <c r="E74" s="46">
        <v>4</v>
      </c>
      <c r="F74" s="46">
        <v>4</v>
      </c>
      <c r="G74" s="46">
        <v>4</v>
      </c>
      <c r="H74" s="46">
        <v>4</v>
      </c>
      <c r="I74" s="46">
        <v>4</v>
      </c>
      <c r="J74" s="46">
        <v>4</v>
      </c>
      <c r="K74" s="46">
        <v>4</v>
      </c>
      <c r="L74" s="46">
        <v>4</v>
      </c>
      <c r="M74" s="46">
        <v>4</v>
      </c>
      <c r="N74" s="46">
        <v>4</v>
      </c>
      <c r="O74" s="46">
        <v>4</v>
      </c>
      <c r="P74" s="46">
        <v>4</v>
      </c>
      <c r="Q74" s="46">
        <v>4</v>
      </c>
    </row>
    <row r="75" spans="1:17" x14ac:dyDescent="0.2">
      <c r="A75" s="37" t="s">
        <v>59</v>
      </c>
      <c r="B75" s="9" t="s">
        <v>18</v>
      </c>
      <c r="C75" s="7">
        <v>3.9275000000000002</v>
      </c>
      <c r="D75" s="7">
        <v>3.5049999999999999</v>
      </c>
      <c r="E75" s="7">
        <v>3.9049999999999998</v>
      </c>
      <c r="F75" s="7">
        <v>4.085</v>
      </c>
      <c r="G75" s="7">
        <v>4.2625000000000002</v>
      </c>
      <c r="H75" s="7">
        <v>3.7749999999999999</v>
      </c>
      <c r="I75" s="7">
        <v>3.7749999999999999</v>
      </c>
      <c r="J75" s="7">
        <v>3.7749999999999999</v>
      </c>
      <c r="K75" s="7">
        <v>3.65</v>
      </c>
      <c r="L75" s="7">
        <v>2.96</v>
      </c>
      <c r="M75" s="7">
        <v>2.96</v>
      </c>
      <c r="N75" s="7">
        <v>2.91</v>
      </c>
      <c r="O75" s="7">
        <v>0.32</v>
      </c>
      <c r="P75" s="7">
        <v>0.27</v>
      </c>
      <c r="Q75" s="7">
        <v>0.27</v>
      </c>
    </row>
    <row r="76" spans="1:17" x14ac:dyDescent="0.2">
      <c r="A76" s="46" t="s">
        <v>60</v>
      </c>
      <c r="B76" s="47" t="s">
        <v>16</v>
      </c>
      <c r="C76" s="46">
        <v>2</v>
      </c>
      <c r="D76" s="46">
        <v>2</v>
      </c>
      <c r="E76" s="46">
        <v>2</v>
      </c>
      <c r="F76" s="46">
        <v>3</v>
      </c>
      <c r="G76" s="46">
        <v>3</v>
      </c>
      <c r="H76" s="46">
        <v>3</v>
      </c>
      <c r="I76" s="46">
        <v>3</v>
      </c>
      <c r="J76" s="46">
        <v>3</v>
      </c>
      <c r="K76" s="46">
        <v>3</v>
      </c>
      <c r="L76" s="46">
        <v>3</v>
      </c>
      <c r="M76" s="46">
        <v>3</v>
      </c>
      <c r="N76" s="46">
        <v>3</v>
      </c>
      <c r="O76" s="46">
        <v>3</v>
      </c>
      <c r="P76" s="46">
        <v>3</v>
      </c>
      <c r="Q76" s="46">
        <v>3</v>
      </c>
    </row>
    <row r="77" spans="1:17" x14ac:dyDescent="0.2">
      <c r="A77" s="37" t="s">
        <v>60</v>
      </c>
      <c r="B77" s="9" t="s">
        <v>18</v>
      </c>
      <c r="C77" s="7">
        <v>2.605</v>
      </c>
      <c r="D77" s="7">
        <v>2.6349999999999998</v>
      </c>
      <c r="E77" s="7">
        <v>2.2650000000000001</v>
      </c>
      <c r="F77" s="7">
        <v>2.4624999999999999</v>
      </c>
      <c r="G77" s="7">
        <v>2.4624999999999999</v>
      </c>
      <c r="H77" s="7">
        <v>2.4424999999999999</v>
      </c>
      <c r="I77" s="7">
        <v>2.5049999999999999</v>
      </c>
      <c r="J77" s="7">
        <v>2.3050000000000002</v>
      </c>
      <c r="K77" s="7">
        <v>2.3050000000000002</v>
      </c>
      <c r="L77" s="7">
        <v>0.92500000000000004</v>
      </c>
      <c r="M77" s="7">
        <v>0.875</v>
      </c>
      <c r="N77" s="7">
        <v>0.875</v>
      </c>
      <c r="O77" s="7">
        <v>0.625</v>
      </c>
      <c r="P77" s="7">
        <v>0.625</v>
      </c>
      <c r="Q77" s="7">
        <v>0.625</v>
      </c>
    </row>
    <row r="78" spans="1:17" x14ac:dyDescent="0.2">
      <c r="A78" s="46" t="s">
        <v>61</v>
      </c>
      <c r="B78" s="47" t="s">
        <v>16</v>
      </c>
      <c r="C78" s="46">
        <v>3</v>
      </c>
      <c r="D78" s="46">
        <v>3</v>
      </c>
      <c r="E78" s="46">
        <v>3</v>
      </c>
      <c r="F78" s="46">
        <v>3</v>
      </c>
      <c r="G78" s="46">
        <v>3</v>
      </c>
      <c r="H78" s="46">
        <v>3</v>
      </c>
      <c r="I78" s="46">
        <v>3</v>
      </c>
      <c r="J78" s="46">
        <v>3</v>
      </c>
      <c r="K78" s="46">
        <v>3</v>
      </c>
      <c r="L78" s="46">
        <v>3</v>
      </c>
      <c r="M78" s="46">
        <v>3</v>
      </c>
      <c r="N78" s="46">
        <v>3</v>
      </c>
      <c r="O78" s="46">
        <v>3</v>
      </c>
      <c r="P78" s="46">
        <v>3</v>
      </c>
      <c r="Q78" s="46">
        <v>3</v>
      </c>
    </row>
    <row r="79" spans="1:17" x14ac:dyDescent="0.2">
      <c r="A79" s="37" t="s">
        <v>61</v>
      </c>
      <c r="B79" s="9" t="s">
        <v>18</v>
      </c>
      <c r="C79" s="7">
        <v>2.85</v>
      </c>
      <c r="D79" s="7">
        <v>3.35</v>
      </c>
      <c r="E79" s="7">
        <v>2.5125000000000002</v>
      </c>
      <c r="F79" s="7">
        <v>2.2075</v>
      </c>
      <c r="G79" s="7">
        <v>2.1825000000000001</v>
      </c>
      <c r="H79" s="7">
        <v>2.1575000000000002</v>
      </c>
      <c r="I79" s="7">
        <v>2.1575000000000002</v>
      </c>
      <c r="J79" s="7">
        <v>2.1575000000000002</v>
      </c>
      <c r="K79" s="7">
        <v>1.8574999999999999</v>
      </c>
      <c r="L79" s="7">
        <v>1.3374999999999999</v>
      </c>
      <c r="M79" s="7">
        <v>1.3374999999999999</v>
      </c>
      <c r="N79" s="7">
        <v>1.3374999999999999</v>
      </c>
      <c r="O79" s="7">
        <v>0.53749999999999998</v>
      </c>
      <c r="P79" s="7">
        <v>0.53749999999999998</v>
      </c>
      <c r="Q79" s="7">
        <v>0.53749999999999998</v>
      </c>
    </row>
    <row r="80" spans="1:17" x14ac:dyDescent="0.2">
      <c r="A80" s="46" t="s">
        <v>62</v>
      </c>
      <c r="B80" s="47" t="s">
        <v>16</v>
      </c>
      <c r="C80" s="46">
        <v>4</v>
      </c>
      <c r="D80" s="46">
        <v>4</v>
      </c>
      <c r="E80" s="46">
        <v>4</v>
      </c>
      <c r="F80" s="46">
        <v>4</v>
      </c>
      <c r="G80" s="46">
        <v>4</v>
      </c>
      <c r="H80" s="46">
        <v>4</v>
      </c>
      <c r="I80" s="46">
        <v>4</v>
      </c>
      <c r="J80" s="46">
        <v>4</v>
      </c>
      <c r="K80" s="46">
        <v>4</v>
      </c>
      <c r="L80" s="46">
        <v>4</v>
      </c>
      <c r="M80" s="46">
        <v>4</v>
      </c>
      <c r="N80" s="46">
        <v>4</v>
      </c>
      <c r="O80" s="46">
        <v>4</v>
      </c>
      <c r="P80" s="46">
        <v>4</v>
      </c>
      <c r="Q80" s="46">
        <v>4</v>
      </c>
    </row>
    <row r="81" spans="1:17" x14ac:dyDescent="0.2">
      <c r="A81" s="37" t="s">
        <v>62</v>
      </c>
      <c r="B81" s="9" t="s">
        <v>18</v>
      </c>
      <c r="C81" s="7">
        <v>3.5</v>
      </c>
      <c r="D81" s="7">
        <v>3.53</v>
      </c>
      <c r="E81" s="7">
        <v>3.48</v>
      </c>
      <c r="F81" s="7">
        <v>3.5049999999999999</v>
      </c>
      <c r="G81" s="7">
        <v>4.3550000000000004</v>
      </c>
      <c r="H81" s="7">
        <v>4.4424999999999999</v>
      </c>
      <c r="I81" s="7">
        <v>4.8949999999999996</v>
      </c>
      <c r="J81" s="7">
        <v>4.5449999999999999</v>
      </c>
      <c r="K81" s="7">
        <v>4.0199999999999996</v>
      </c>
      <c r="L81" s="7">
        <v>2.5625</v>
      </c>
      <c r="M81" s="7">
        <v>2.2374999999999998</v>
      </c>
      <c r="N81" s="7">
        <v>1.9375</v>
      </c>
      <c r="O81" s="7">
        <v>1.3875</v>
      </c>
      <c r="P81" s="7">
        <v>1.0125</v>
      </c>
      <c r="Q81" s="7">
        <v>1.0125</v>
      </c>
    </row>
    <row r="82" spans="1:17" x14ac:dyDescent="0.2">
      <c r="A82" s="46" t="s">
        <v>63</v>
      </c>
      <c r="B82" s="47" t="s">
        <v>16</v>
      </c>
      <c r="C82" s="46">
        <v>5</v>
      </c>
      <c r="D82" s="46">
        <v>6</v>
      </c>
      <c r="E82" s="46">
        <v>5</v>
      </c>
      <c r="F82" s="46">
        <v>5</v>
      </c>
      <c r="G82" s="46">
        <v>5</v>
      </c>
      <c r="H82" s="46">
        <v>5</v>
      </c>
      <c r="I82" s="46">
        <v>5</v>
      </c>
      <c r="J82" s="46">
        <v>5</v>
      </c>
      <c r="K82" s="46">
        <v>5</v>
      </c>
      <c r="L82" s="46">
        <v>5</v>
      </c>
      <c r="M82" s="46">
        <v>5</v>
      </c>
      <c r="N82" s="46">
        <v>5</v>
      </c>
      <c r="O82" s="46">
        <v>5</v>
      </c>
      <c r="P82" s="46">
        <v>5</v>
      </c>
      <c r="Q82" s="46">
        <v>5</v>
      </c>
    </row>
    <row r="83" spans="1:17" x14ac:dyDescent="0.2">
      <c r="A83" s="37" t="s">
        <v>63</v>
      </c>
      <c r="B83" s="9" t="s">
        <v>18</v>
      </c>
      <c r="C83" s="7">
        <v>5.0875000000000004</v>
      </c>
      <c r="D83" s="7">
        <v>5.4625000000000004</v>
      </c>
      <c r="E83" s="7">
        <v>5.1375000000000002</v>
      </c>
      <c r="F83" s="7">
        <v>4.9050000000000002</v>
      </c>
      <c r="G83" s="7">
        <v>5.9024999999999999</v>
      </c>
      <c r="H83" s="7">
        <v>5.54</v>
      </c>
      <c r="I83" s="7">
        <v>5.1150000000000002</v>
      </c>
      <c r="J83" s="7">
        <v>5.1150000000000002</v>
      </c>
      <c r="K83" s="7">
        <v>5.1150000000000002</v>
      </c>
      <c r="L83" s="7">
        <v>3.6524999999999999</v>
      </c>
      <c r="M83" s="7">
        <v>3.6524999999999999</v>
      </c>
      <c r="N83" s="7">
        <v>3.6524999999999999</v>
      </c>
      <c r="O83" s="7">
        <v>3.4024999999999999</v>
      </c>
      <c r="P83" s="7">
        <v>3.1524999999999999</v>
      </c>
      <c r="Q83" s="7">
        <v>3.1524999999999999</v>
      </c>
    </row>
    <row r="84" spans="1:17" x14ac:dyDescent="0.2">
      <c r="A84" s="46" t="s">
        <v>64</v>
      </c>
      <c r="B84" s="47" t="s">
        <v>16</v>
      </c>
      <c r="C84" s="46">
        <v>12</v>
      </c>
      <c r="D84" s="46">
        <v>14</v>
      </c>
      <c r="E84" s="46">
        <v>17</v>
      </c>
      <c r="F84" s="46">
        <v>18</v>
      </c>
      <c r="G84" s="46">
        <v>18</v>
      </c>
      <c r="H84" s="46">
        <v>18</v>
      </c>
      <c r="I84" s="46">
        <v>18</v>
      </c>
      <c r="J84" s="46">
        <v>18</v>
      </c>
      <c r="K84" s="46">
        <v>18</v>
      </c>
      <c r="L84" s="46">
        <v>18</v>
      </c>
      <c r="M84" s="46">
        <v>18</v>
      </c>
      <c r="N84" s="46">
        <v>18</v>
      </c>
      <c r="O84" s="46">
        <v>18</v>
      </c>
      <c r="P84" s="46">
        <v>18</v>
      </c>
      <c r="Q84" s="46">
        <v>18</v>
      </c>
    </row>
    <row r="85" spans="1:17" x14ac:dyDescent="0.2">
      <c r="A85" s="37" t="s">
        <v>64</v>
      </c>
      <c r="B85" s="9" t="s">
        <v>18</v>
      </c>
      <c r="C85" s="7">
        <v>11.234999999999999</v>
      </c>
      <c r="D85" s="7">
        <v>13.49</v>
      </c>
      <c r="E85" s="7">
        <v>14.86</v>
      </c>
      <c r="F85" s="7">
        <v>16.059999999999999</v>
      </c>
      <c r="G85" s="7">
        <v>20.76</v>
      </c>
      <c r="H85" s="7">
        <v>20.434999999999999</v>
      </c>
      <c r="I85" s="7">
        <v>20.350000000000001</v>
      </c>
      <c r="J85" s="7">
        <v>18.074999999999999</v>
      </c>
      <c r="K85" s="7">
        <v>17.824999999999999</v>
      </c>
      <c r="L85" s="7">
        <v>12.824999999999999</v>
      </c>
      <c r="M85" s="7">
        <v>12.824999999999999</v>
      </c>
      <c r="N85" s="7">
        <v>12.824999999999999</v>
      </c>
      <c r="O85" s="7">
        <v>2.3250000000000002</v>
      </c>
      <c r="P85" s="7">
        <v>2.3250000000000002</v>
      </c>
      <c r="Q85" s="7">
        <v>2.3250000000000002</v>
      </c>
    </row>
    <row r="86" spans="1:17" x14ac:dyDescent="0.2">
      <c r="A86" s="39" t="s">
        <v>65</v>
      </c>
      <c r="B86" s="40" t="s">
        <v>16</v>
      </c>
      <c r="C86" s="40">
        <v>2</v>
      </c>
      <c r="D86" s="40">
        <v>2</v>
      </c>
      <c r="E86" s="40">
        <v>2</v>
      </c>
      <c r="F86" s="40">
        <v>2</v>
      </c>
      <c r="G86" s="40">
        <v>2</v>
      </c>
      <c r="H86" s="40">
        <v>2</v>
      </c>
      <c r="I86" s="40">
        <v>2</v>
      </c>
      <c r="J86" s="40">
        <v>2</v>
      </c>
      <c r="K86" s="40">
        <v>2</v>
      </c>
      <c r="L86" s="40">
        <v>2</v>
      </c>
      <c r="M86" s="40">
        <v>2</v>
      </c>
      <c r="N86" s="40">
        <v>2</v>
      </c>
      <c r="O86" s="40">
        <v>2</v>
      </c>
      <c r="P86" s="40">
        <v>2</v>
      </c>
      <c r="Q86" s="40">
        <v>2</v>
      </c>
    </row>
    <row r="87" spans="1:17" x14ac:dyDescent="0.2">
      <c r="A87" s="41" t="s">
        <v>66</v>
      </c>
      <c r="B87" s="42" t="s">
        <v>18</v>
      </c>
      <c r="C87" s="38">
        <v>1.885</v>
      </c>
      <c r="D87" s="38">
        <v>1.99</v>
      </c>
      <c r="E87" s="38">
        <v>1.96</v>
      </c>
      <c r="F87" s="38">
        <v>2.21</v>
      </c>
      <c r="G87" s="38">
        <v>2.41</v>
      </c>
      <c r="H87" s="38">
        <v>2.16</v>
      </c>
      <c r="I87" s="38">
        <v>1.95</v>
      </c>
      <c r="J87" s="38">
        <v>1.7</v>
      </c>
      <c r="K87" s="38">
        <v>1.6</v>
      </c>
      <c r="L87" s="38">
        <v>1.6</v>
      </c>
      <c r="M87" s="38">
        <v>1.6</v>
      </c>
      <c r="N87" s="38">
        <v>1.6</v>
      </c>
      <c r="O87" s="38">
        <v>0.6</v>
      </c>
      <c r="P87" s="38">
        <v>0.6</v>
      </c>
      <c r="Q87" s="38">
        <v>0.6</v>
      </c>
    </row>
    <row r="88" spans="1:17" x14ac:dyDescent="0.2">
      <c r="A88" s="39" t="s">
        <v>67</v>
      </c>
      <c r="B88" s="40" t="s">
        <v>16</v>
      </c>
      <c r="C88" s="40">
        <v>1</v>
      </c>
      <c r="D88" s="40">
        <v>1</v>
      </c>
      <c r="E88" s="40">
        <v>1</v>
      </c>
      <c r="F88" s="40">
        <v>1</v>
      </c>
      <c r="G88" s="40">
        <v>1</v>
      </c>
      <c r="H88" s="40">
        <v>1</v>
      </c>
      <c r="I88" s="40">
        <v>1</v>
      </c>
      <c r="J88" s="40">
        <v>1</v>
      </c>
      <c r="K88" s="40">
        <v>1</v>
      </c>
      <c r="L88" s="40">
        <v>1</v>
      </c>
      <c r="M88" s="40">
        <v>1</v>
      </c>
      <c r="N88" s="40">
        <v>1</v>
      </c>
      <c r="O88" s="40">
        <v>1</v>
      </c>
      <c r="P88" s="40">
        <v>1</v>
      </c>
      <c r="Q88" s="40">
        <v>1</v>
      </c>
    </row>
    <row r="89" spans="1:17" x14ac:dyDescent="0.2">
      <c r="A89" s="41" t="s">
        <v>68</v>
      </c>
      <c r="B89" s="42" t="s">
        <v>18</v>
      </c>
      <c r="C89" s="38">
        <v>1</v>
      </c>
      <c r="D89" s="38">
        <v>1</v>
      </c>
      <c r="E89" s="38">
        <v>1</v>
      </c>
      <c r="F89" s="38">
        <v>1</v>
      </c>
      <c r="G89" s="38">
        <v>1</v>
      </c>
      <c r="H89" s="38">
        <v>1</v>
      </c>
      <c r="I89" s="38">
        <v>1</v>
      </c>
      <c r="J89" s="38">
        <v>1</v>
      </c>
      <c r="K89" s="38">
        <v>1</v>
      </c>
      <c r="L89" s="38">
        <v>1</v>
      </c>
      <c r="M89" s="38">
        <v>1</v>
      </c>
      <c r="N89" s="38">
        <v>1</v>
      </c>
      <c r="O89" s="38">
        <v>0</v>
      </c>
      <c r="P89" s="38">
        <v>0</v>
      </c>
      <c r="Q89" s="38">
        <v>0</v>
      </c>
    </row>
    <row r="90" spans="1:17" x14ac:dyDescent="0.2">
      <c r="A90" s="39" t="s">
        <v>69</v>
      </c>
      <c r="B90" s="40" t="s">
        <v>16</v>
      </c>
      <c r="C90" s="40">
        <v>9</v>
      </c>
      <c r="D90" s="40">
        <v>11</v>
      </c>
      <c r="E90" s="40">
        <v>14</v>
      </c>
      <c r="F90" s="40">
        <v>15</v>
      </c>
      <c r="G90" s="40">
        <v>15</v>
      </c>
      <c r="H90" s="40">
        <v>15</v>
      </c>
      <c r="I90" s="40">
        <v>15</v>
      </c>
      <c r="J90" s="40">
        <v>15</v>
      </c>
      <c r="K90" s="40">
        <v>15</v>
      </c>
      <c r="L90" s="40">
        <v>15</v>
      </c>
      <c r="M90" s="40">
        <v>15</v>
      </c>
      <c r="N90" s="40">
        <v>15</v>
      </c>
      <c r="O90" s="40">
        <v>15</v>
      </c>
      <c r="P90" s="40">
        <v>15</v>
      </c>
      <c r="Q90" s="40">
        <v>15</v>
      </c>
    </row>
    <row r="91" spans="1:17" x14ac:dyDescent="0.2">
      <c r="A91" s="41" t="s">
        <v>70</v>
      </c>
      <c r="B91" s="42" t="s">
        <v>18</v>
      </c>
      <c r="C91" s="38">
        <v>8.35</v>
      </c>
      <c r="D91" s="38">
        <v>10.5</v>
      </c>
      <c r="E91" s="38">
        <v>11.9</v>
      </c>
      <c r="F91" s="38">
        <v>12.85</v>
      </c>
      <c r="G91" s="38">
        <v>17.350000000000001</v>
      </c>
      <c r="H91" s="38">
        <v>17.274999999999999</v>
      </c>
      <c r="I91" s="38">
        <v>17.399999999999999</v>
      </c>
      <c r="J91" s="38">
        <v>15.375</v>
      </c>
      <c r="K91" s="38">
        <v>15.225</v>
      </c>
      <c r="L91" s="38">
        <v>10.225</v>
      </c>
      <c r="M91" s="38">
        <v>10.225</v>
      </c>
      <c r="N91" s="38">
        <v>10.225</v>
      </c>
      <c r="O91" s="38">
        <v>1.7250000000000001</v>
      </c>
      <c r="P91" s="38">
        <v>1.7250000000000001</v>
      </c>
      <c r="Q91" s="38">
        <v>1.7250000000000001</v>
      </c>
    </row>
    <row r="92" spans="1:17" x14ac:dyDescent="0.2">
      <c r="A92" s="46" t="s">
        <v>71</v>
      </c>
      <c r="B92" s="47" t="s">
        <v>16</v>
      </c>
      <c r="C92" s="46">
        <v>4</v>
      </c>
      <c r="D92" s="46">
        <v>4</v>
      </c>
      <c r="E92" s="46">
        <v>4</v>
      </c>
      <c r="F92" s="46">
        <v>4</v>
      </c>
      <c r="G92" s="46">
        <v>4</v>
      </c>
      <c r="H92" s="46">
        <v>4</v>
      </c>
      <c r="I92" s="46">
        <v>4</v>
      </c>
      <c r="J92" s="46">
        <v>4</v>
      </c>
      <c r="K92" s="46">
        <v>4</v>
      </c>
      <c r="L92" s="46">
        <v>4</v>
      </c>
      <c r="M92" s="46">
        <v>4</v>
      </c>
      <c r="N92" s="46">
        <v>4</v>
      </c>
      <c r="O92" s="46">
        <v>4</v>
      </c>
      <c r="P92" s="46">
        <v>4</v>
      </c>
      <c r="Q92" s="46">
        <v>4</v>
      </c>
    </row>
    <row r="93" spans="1:17" x14ac:dyDescent="0.2">
      <c r="A93" s="37" t="s">
        <v>71</v>
      </c>
      <c r="B93" s="9" t="s">
        <v>18</v>
      </c>
      <c r="C93" s="7">
        <v>3.07</v>
      </c>
      <c r="D93" s="7">
        <v>3.07</v>
      </c>
      <c r="E93" s="7">
        <v>3.24</v>
      </c>
      <c r="F93" s="7">
        <v>3.13</v>
      </c>
      <c r="G93" s="7">
        <v>3.13</v>
      </c>
      <c r="H93" s="7">
        <v>3.34</v>
      </c>
      <c r="I93" s="7">
        <v>3.61</v>
      </c>
      <c r="J93" s="7">
        <v>3.73</v>
      </c>
      <c r="K93" s="7">
        <v>3.73</v>
      </c>
      <c r="L93" s="7">
        <v>3.73</v>
      </c>
      <c r="M93" s="7">
        <v>3.73</v>
      </c>
      <c r="N93" s="7">
        <v>3.73</v>
      </c>
      <c r="O93" s="7">
        <v>4.8849999999999998</v>
      </c>
      <c r="P93" s="7">
        <v>4.8849999999999998</v>
      </c>
      <c r="Q93" s="7">
        <v>4.8849999999999998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57"/>
  <sheetViews>
    <sheetView workbookViewId="0">
      <pane ySplit="1" topLeftCell="A139" activePane="bottomLeft" state="frozen"/>
      <selection pane="bottomLeft" activeCell="H152" sqref="H152"/>
    </sheetView>
  </sheetViews>
  <sheetFormatPr baseColWidth="10" defaultRowHeight="16" x14ac:dyDescent="0.2"/>
  <cols>
    <col min="1" max="1" width="23.1640625" bestFit="1" customWidth="1"/>
  </cols>
  <sheetData>
    <row r="1" spans="1:16" x14ac:dyDescent="0.2">
      <c r="B1" t="str">
        <f>IF(SD!C1&gt;0,SD!C1,"")</f>
        <v>APR</v>
      </c>
      <c r="C1" t="str">
        <f>IF(SD!D1&gt;0,SD!D1,"")</f>
        <v>MAY</v>
      </c>
      <c r="D1" t="str">
        <f>IF(SD!E1&gt;0,SD!E1,"")</f>
        <v>JUN</v>
      </c>
      <c r="E1" t="str">
        <f>IF(SD!F1&gt;0,SD!F1,"")</f>
        <v>JUL</v>
      </c>
      <c r="F1" t="str">
        <f>IF(SD!G1&gt;0,SD!G1,"")</f>
        <v>AUG</v>
      </c>
      <c r="G1" t="str">
        <f>IF(SD!H1&gt;0,SD!H1,"")</f>
        <v>SEP</v>
      </c>
      <c r="H1" t="str">
        <f>IF(SD!I1&gt;0,SD!I1,"")</f>
        <v>OCT</v>
      </c>
      <c r="I1" t="str">
        <f>IF(SD!J1&gt;0,SD!J1,"")</f>
        <v>NOV</v>
      </c>
      <c r="J1" t="str">
        <f>IF(SD!K1&gt;0,SD!K1,"")</f>
        <v>DEC</v>
      </c>
      <c r="K1" t="str">
        <f>IF(SD!L1&gt;0,SD!L1,"")</f>
        <v>JAN'27</v>
      </c>
      <c r="L1" t="str">
        <f>IF(SD!M1&gt;0,SD!M1,"")</f>
        <v>FEB'27</v>
      </c>
      <c r="M1" t="str">
        <f>IF(SD!N1&gt;0,SD!N1,"")</f>
        <v>MAR'27</v>
      </c>
      <c r="N1" t="str">
        <f>IF(SD!O1&gt;0,SD!O1,"")</f>
        <v>APR'27</v>
      </c>
      <c r="O1" t="str">
        <f>IF(SD!P1&gt;0,SD!P1,"")</f>
        <v>MAY'27</v>
      </c>
      <c r="P1" t="str">
        <f>IF(SD!Q1&gt;0,SD!Q1,"")</f>
        <v>JUN'27</v>
      </c>
    </row>
    <row r="2" spans="1:16" x14ac:dyDescent="0.2">
      <c r="A2" t="str">
        <f>IF(SD!B2&gt;0,SD!B2,"")</f>
        <v>Staff</v>
      </c>
      <c r="B2">
        <f>IF(SD!C2&gt;0,SD!C2,"")</f>
        <v>46</v>
      </c>
      <c r="C2">
        <f>IF(SD!D2&gt;0,SD!D2,"")</f>
        <v>49</v>
      </c>
      <c r="D2">
        <f>IF(SD!E2&gt;0,SD!E2,"")</f>
        <v>51</v>
      </c>
      <c r="E2">
        <f>IF(SD!F2&gt;0,SD!F2,"")</f>
        <v>53</v>
      </c>
      <c r="F2">
        <f>IF(SD!G2&gt;0,SD!G2,"")</f>
        <v>53</v>
      </c>
      <c r="G2">
        <f>IF(SD!H2&gt;0,SD!H2,"")</f>
        <v>53</v>
      </c>
      <c r="H2">
        <f>IF(SD!I2&gt;0,SD!I2,"")</f>
        <v>53</v>
      </c>
      <c r="I2">
        <f>IF(SD!J2&gt;0,SD!J2,"")</f>
        <v>53</v>
      </c>
      <c r="J2">
        <f>IF(SD!K2&gt;0,SD!K2,"")</f>
        <v>53</v>
      </c>
      <c r="K2">
        <f>IF(SD!L2&gt;0,SD!L2,"")</f>
        <v>53</v>
      </c>
      <c r="L2">
        <f>IF(SD!M2&gt;0,SD!M2,"")</f>
        <v>53</v>
      </c>
      <c r="M2">
        <f>IF(SD!N2&gt;0,SD!N2,"")</f>
        <v>53</v>
      </c>
      <c r="N2">
        <f>IF(SD!O2&gt;0,SD!O2,"")</f>
        <v>53</v>
      </c>
      <c r="O2">
        <f>IF(SD!P2&gt;0,SD!P2,"")</f>
        <v>53</v>
      </c>
      <c r="P2">
        <f>IF(SD!Q2&gt;0,SD!Q2,"")</f>
        <v>53</v>
      </c>
    </row>
    <row r="3" spans="1:16" x14ac:dyDescent="0.2">
      <c r="A3" t="str">
        <f>IF(SD!B3&gt;0,SD!B3,"")</f>
        <v>Staff AVG</v>
      </c>
      <c r="B3">
        <f>IF(SD!C3&gt;0,SD!C3,"")</f>
        <v>52</v>
      </c>
      <c r="C3">
        <f>IF(SD!D3&gt;0,SD!D3,"")</f>
        <v>52</v>
      </c>
      <c r="D3">
        <f>IF(SD!E3&gt;0,SD!E3,"")</f>
        <v>52</v>
      </c>
      <c r="E3">
        <f>IF(SD!F3&gt;0,SD!F3,"")</f>
        <v>52</v>
      </c>
      <c r="F3">
        <f>IF(SD!G3&gt;0,SD!G3,"")</f>
        <v>52</v>
      </c>
      <c r="G3">
        <f>IF(SD!H3&gt;0,SD!H3,"")</f>
        <v>52</v>
      </c>
      <c r="H3">
        <f>IF(SD!I3&gt;0,SD!I3,"")</f>
        <v>52</v>
      </c>
      <c r="I3">
        <f>IF(SD!J3&gt;0,SD!J3,"")</f>
        <v>52</v>
      </c>
      <c r="J3">
        <f>IF(SD!K3&gt;0,SD!K3,"")</f>
        <v>52</v>
      </c>
      <c r="K3">
        <f>IF(SD!L3&gt;0,SD!L3,"")</f>
        <v>52</v>
      </c>
      <c r="L3">
        <f>IF(SD!M3&gt;0,SD!M3,"")</f>
        <v>52</v>
      </c>
      <c r="M3">
        <f>IF(SD!N3&gt;0,SD!N3,"")</f>
        <v>52</v>
      </c>
      <c r="N3">
        <f>IF(SD!O3&gt;0,SD!O3,"")</f>
        <v>52.133333329999999</v>
      </c>
      <c r="O3">
        <f>IF(SD!P3&gt;0,SD!P3,"")</f>
        <v>52.133333329999999</v>
      </c>
      <c r="P3">
        <f>IF(SD!Q3&gt;0,SD!Q3,"")</f>
        <v>52.133333329999999</v>
      </c>
    </row>
    <row r="4" spans="1:16" x14ac:dyDescent="0.2">
      <c r="A4" t="str">
        <f>IF(SD!B4&gt;0,SD!B4,"")</f>
        <v>Plan</v>
      </c>
      <c r="B4">
        <f>IF(SD!C4&gt;0,SD!C4,"")</f>
        <v>42</v>
      </c>
      <c r="C4">
        <f>IF(SD!D4&gt;0,SD!D4,"")</f>
        <v>45</v>
      </c>
      <c r="D4">
        <f>IF(SD!E4&gt;0,SD!E4,"")</f>
        <v>46</v>
      </c>
      <c r="E4">
        <f>IF(SD!F4&gt;0,SD!F4,"")</f>
        <v>46</v>
      </c>
      <c r="F4">
        <f>IF(SD!G4&gt;0,SD!G4,"")</f>
        <v>55</v>
      </c>
      <c r="G4">
        <f>IF(SD!H4&gt;0,SD!H4,"")</f>
        <v>54</v>
      </c>
      <c r="H4">
        <f>IF(SD!I4&gt;0,SD!I4,"")</f>
        <v>54</v>
      </c>
      <c r="I4">
        <f>IF(SD!J4&gt;0,SD!J4,"")</f>
        <v>50</v>
      </c>
      <c r="J4">
        <f>IF(SD!K4&gt;0,SD!K4,"")</f>
        <v>49</v>
      </c>
      <c r="K4">
        <f>IF(SD!L4&gt;0,SD!L4,"")</f>
        <v>37</v>
      </c>
      <c r="L4">
        <f>IF(SD!M4&gt;0,SD!M4,"")</f>
        <v>36</v>
      </c>
      <c r="M4">
        <f>IF(SD!N4&gt;0,SD!N4,"")</f>
        <v>36</v>
      </c>
      <c r="N4">
        <f>IF(SD!O4&gt;0,SD!O4,"")</f>
        <v>22.143750000000001</v>
      </c>
      <c r="O4">
        <f>IF(SD!P4&gt;0,SD!P4,"")</f>
        <v>21.184999999999999</v>
      </c>
      <c r="P4">
        <f>IF(SD!Q4&gt;0,SD!Q4,"")</f>
        <v>21.184999999999999</v>
      </c>
    </row>
    <row r="5" spans="1:16" x14ac:dyDescent="0.2">
      <c r="A5" t="str">
        <f>IF(SD!B11&gt;0,SD!B11,"")</f>
        <v>PAYROLL</v>
      </c>
      <c r="B5">
        <f>IF(SD!C11&gt;0,SD!C11,"")</f>
        <v>32</v>
      </c>
      <c r="C5">
        <f>IF(SD!D11&gt;0,SD!D11,"")</f>
        <v>33</v>
      </c>
      <c r="D5">
        <f>IF(SD!E11&gt;0,SD!E11,"")</f>
        <v>32</v>
      </c>
      <c r="E5">
        <f>IF(SD!F11&gt;0,SD!F11,"")</f>
        <v>32</v>
      </c>
      <c r="F5">
        <f>IF(SD!G11&gt;0,SD!G11,"")</f>
        <v>35</v>
      </c>
      <c r="G5">
        <f>IF(SD!H11&gt;0,SD!H11,"")</f>
        <v>34</v>
      </c>
      <c r="H5">
        <f>IF(SD!I11&gt;0,SD!I11,"")</f>
        <v>35</v>
      </c>
      <c r="I5">
        <f>IF(SD!J11&gt;0,SD!J11,"")</f>
        <v>33</v>
      </c>
      <c r="J5">
        <f>IF(SD!K11&gt;0,SD!K11,"")</f>
        <v>32</v>
      </c>
      <c r="K5">
        <f>IF(SD!L11&gt;0,SD!L11,"")</f>
        <v>25</v>
      </c>
      <c r="L5">
        <f>IF(SD!M11&gt;0,SD!M11,"")</f>
        <v>24</v>
      </c>
      <c r="M5">
        <f>IF(SD!N11&gt;0,SD!N11,"")</f>
        <v>24</v>
      </c>
      <c r="N5">
        <f>IF(SD!O11&gt;0,SD!O11,"")</f>
        <v>19.568750000000001</v>
      </c>
      <c r="O5">
        <f>IF(SD!P11&gt;0,SD!P11,"")</f>
        <v>18.61</v>
      </c>
      <c r="P5">
        <f>IF(SD!Q11&gt;0,SD!Q11,"")</f>
        <v>18.61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0.85</v>
      </c>
      <c r="O6">
        <f>IF(SD!P15&gt;0,SD!P15,"")</f>
        <v>0.85</v>
      </c>
      <c r="P6">
        <f>IF(SD!Q15&gt;0,SD!Q15,"")</f>
        <v>0.85</v>
      </c>
    </row>
    <row r="7" spans="1:16" x14ac:dyDescent="0.2">
      <c r="A7" t="str">
        <f>IF(SD!B19&gt;0,SD!B19,"")</f>
        <v>OUTSOURCE</v>
      </c>
      <c r="B7">
        <f>IF(SD!C19&gt;0,SD!C19,"")</f>
        <v>8</v>
      </c>
      <c r="C7">
        <f>IF(SD!D19&gt;0,SD!D19,"")</f>
        <v>11</v>
      </c>
      <c r="D7">
        <f>IF(SD!E19&gt;0,SD!E19,"")</f>
        <v>12</v>
      </c>
      <c r="E7">
        <f>IF(SD!F19&gt;0,SD!F19,"")</f>
        <v>13</v>
      </c>
      <c r="F7">
        <f>IF(SD!G19&gt;0,SD!G19,"")</f>
        <v>17</v>
      </c>
      <c r="G7">
        <f>IF(SD!H19&gt;0,SD!H19,"")</f>
        <v>17</v>
      </c>
      <c r="H7">
        <f>IF(SD!I19&gt;0,SD!I19,"")</f>
        <v>17</v>
      </c>
      <c r="I7">
        <f>IF(SD!J19&gt;0,SD!J19,"")</f>
        <v>15</v>
      </c>
      <c r="J7">
        <f>IF(SD!K19&gt;0,SD!K19,"")</f>
        <v>15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2</v>
      </c>
      <c r="O7">
        <f>IF(SD!P19&gt;0,SD!P19,"")</f>
        <v>2</v>
      </c>
      <c r="P7">
        <f>IF(SD!Q19&gt;0,SD!Q19,"")</f>
        <v>2</v>
      </c>
    </row>
    <row r="11" spans="1:16" x14ac:dyDescent="0.2">
      <c r="B11" t="str">
        <f>IF(SD!C1&gt;0,SD!C1,"")</f>
        <v>APR</v>
      </c>
      <c r="C11" t="str">
        <f>IF(SD!D1&gt;0,SD!D1,"")</f>
        <v>MAY</v>
      </c>
      <c r="D11" t="str">
        <f>IF(SD!E1&gt;0,SD!E1,"")</f>
        <v>JUN</v>
      </c>
      <c r="E11" t="str">
        <f>IF(SD!F1&gt;0,SD!F1,"")</f>
        <v>JUL</v>
      </c>
      <c r="F11" t="str">
        <f>IF(SD!G1&gt;0,SD!G1,"")</f>
        <v>AUG</v>
      </c>
      <c r="G11" t="str">
        <f>IF(SD!H1&gt;0,SD!H1,"")</f>
        <v>SEP</v>
      </c>
      <c r="H11" t="str">
        <f>IF(SD!I1&gt;0,SD!I1,"")</f>
        <v>OCT</v>
      </c>
      <c r="I11" t="str">
        <f>IF(SD!J1&gt;0,SD!J1,"")</f>
        <v>NOV</v>
      </c>
      <c r="J11" t="str">
        <f>IF(SD!K1&gt;0,SD!K1,"")</f>
        <v>DEC</v>
      </c>
      <c r="K11" t="str">
        <f>IF(SD!L1&gt;0,SD!L1,"")</f>
        <v>JAN'27</v>
      </c>
      <c r="L11" t="str">
        <f>IF(SD!M1&gt;0,SD!M1,"")</f>
        <v>FEB'27</v>
      </c>
      <c r="M11" t="str">
        <f>IF(SD!N1&gt;0,SD!N1,"")</f>
        <v>MAR'27</v>
      </c>
      <c r="N11" t="str">
        <f>IF(SD!O1&gt;0,SD!O1,"")</f>
        <v>APR'27</v>
      </c>
      <c r="O11" t="str">
        <f>IF(SD!P1&gt;0,SD!P1,"")</f>
        <v>MAY'27</v>
      </c>
      <c r="P11" t="str">
        <f>IF(SD!Q1&gt;0,SD!Q1,"")</f>
        <v>JUN'27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36</v>
      </c>
      <c r="D12">
        <f>IF(SD!E9&gt;0,SD!E9,"")</f>
        <v>35</v>
      </c>
      <c r="E12">
        <f>IF(SD!F9&gt;0,SD!F9,"")</f>
        <v>36</v>
      </c>
      <c r="F12">
        <f>IF(SD!G9&gt;0,SD!G9,"")</f>
        <v>36</v>
      </c>
      <c r="G12">
        <f>IF(SD!H9&gt;0,SD!H9,"")</f>
        <v>36</v>
      </c>
      <c r="H12">
        <f>IF(SD!I9&gt;0,SD!I9,"")</f>
        <v>36</v>
      </c>
      <c r="I12">
        <f>IF(SD!J9&gt;0,SD!J9,"")</f>
        <v>36</v>
      </c>
      <c r="J12">
        <f>IF(SD!K9&gt;0,SD!K9,"")</f>
        <v>36</v>
      </c>
      <c r="K12">
        <f>IF(SD!L9&gt;0,SD!L9,"")</f>
        <v>36</v>
      </c>
      <c r="L12">
        <f>IF(SD!M9&gt;0,SD!M9,"")</f>
        <v>36</v>
      </c>
      <c r="M12">
        <f>IF(SD!N9&gt;0,SD!N9,"")</f>
        <v>36</v>
      </c>
      <c r="N12">
        <f>IF(SD!O9&gt;0,SD!O9,"")</f>
        <v>36</v>
      </c>
      <c r="O12">
        <f>IF(SD!P9&gt;0,SD!P9,"")</f>
        <v>36</v>
      </c>
      <c r="P12">
        <f>IF(SD!Q9&gt;0,SD!Q9,"")</f>
        <v>36</v>
      </c>
    </row>
    <row r="13" spans="1:16" x14ac:dyDescent="0.2">
      <c r="A13" t="str">
        <f>IF(SD!B3&gt;0,SD!B3,"")</f>
        <v>Staff AVG</v>
      </c>
      <c r="B13">
        <f>IF(SD!C10&gt;0,SD!C10,"")</f>
        <v>36</v>
      </c>
      <c r="C13">
        <f>IF(SD!D10&gt;0,SD!D10,"")</f>
        <v>36</v>
      </c>
      <c r="D13">
        <f>IF(SD!E10&gt;0,SD!E10,"")</f>
        <v>36</v>
      </c>
      <c r="E13">
        <f>IF(SD!F10&gt;0,SD!F10,"")</f>
        <v>36</v>
      </c>
      <c r="F13">
        <f>IF(SD!G10&gt;0,SD!G10,"")</f>
        <v>36</v>
      </c>
      <c r="G13">
        <f>IF(SD!H10&gt;0,SD!H10,"")</f>
        <v>36</v>
      </c>
      <c r="H13">
        <f>IF(SD!I10&gt;0,SD!I10,"")</f>
        <v>36</v>
      </c>
      <c r="I13">
        <f>IF(SD!J10&gt;0,SD!J10,"")</f>
        <v>36</v>
      </c>
      <c r="J13">
        <f>IF(SD!K10&gt;0,SD!K10,"")</f>
        <v>36</v>
      </c>
      <c r="K13">
        <f>IF(SD!L10&gt;0,SD!L10,"")</f>
        <v>36</v>
      </c>
      <c r="L13">
        <f>IF(SD!M10&gt;0,SD!M10,"")</f>
        <v>36</v>
      </c>
      <c r="M13">
        <f>IF(SD!N10&gt;0,SD!N10,"")</f>
        <v>36</v>
      </c>
      <c r="N13">
        <f>IF(SD!O10&gt;0,SD!O10,"")</f>
        <v>35.833333330000002</v>
      </c>
      <c r="O13">
        <f>IF(SD!P10&gt;0,SD!P10,"")</f>
        <v>35.833333330000002</v>
      </c>
      <c r="P13">
        <f>IF(SD!Q10&gt;0,SD!Q10,"")</f>
        <v>35.833333330000002</v>
      </c>
    </row>
    <row r="14" spans="1:16" x14ac:dyDescent="0.2">
      <c r="A14" t="str">
        <f>IF(SD!B4&gt;0,SD!B4,"")</f>
        <v>Plan</v>
      </c>
      <c r="B14">
        <f>IF(SD!C11&gt;0,SD!C11,"")</f>
        <v>32</v>
      </c>
      <c r="C14">
        <f>IF(SD!D11&gt;0,SD!D11,"")</f>
        <v>33</v>
      </c>
      <c r="D14">
        <f>IF(SD!E11&gt;0,SD!E11,"")</f>
        <v>32</v>
      </c>
      <c r="E14">
        <f>IF(SD!F11&gt;0,SD!F11,"")</f>
        <v>32</v>
      </c>
      <c r="F14">
        <f>IF(SD!G11&gt;0,SD!G11,"")</f>
        <v>35</v>
      </c>
      <c r="G14">
        <f>IF(SD!H11&gt;0,SD!H11,"")</f>
        <v>34</v>
      </c>
      <c r="H14">
        <f>IF(SD!I11&gt;0,SD!I11,"")</f>
        <v>35</v>
      </c>
      <c r="I14">
        <f>IF(SD!J11&gt;0,SD!J11,"")</f>
        <v>33</v>
      </c>
      <c r="J14">
        <f>IF(SD!K11&gt;0,SD!K11,"")</f>
        <v>32</v>
      </c>
      <c r="K14">
        <f>IF(SD!L11&gt;0,SD!L11,"")</f>
        <v>25</v>
      </c>
      <c r="L14">
        <f>IF(SD!M11&gt;0,SD!M11,"")</f>
        <v>24</v>
      </c>
      <c r="M14">
        <f>IF(SD!N11&gt;0,SD!N11,"")</f>
        <v>24</v>
      </c>
      <c r="N14">
        <f>IF(SD!O11&gt;0,SD!O11,"")</f>
        <v>19.568750000000001</v>
      </c>
      <c r="O14">
        <f>IF(SD!P11&gt;0,SD!P11,"")</f>
        <v>18.61</v>
      </c>
      <c r="P14">
        <f>IF(SD!Q11&gt;0,SD!Q11,"")</f>
        <v>18.61</v>
      </c>
    </row>
    <row r="21" spans="1:16" x14ac:dyDescent="0.2">
      <c r="B21" t="str">
        <f>IF(SD!C1&gt;0,SD!C1,"")</f>
        <v>APR</v>
      </c>
      <c r="C21" t="str">
        <f>IF(SD!D1&gt;0,SD!D1,"")</f>
        <v>MAY</v>
      </c>
      <c r="D21" t="str">
        <f>IF(SD!E1&gt;0,SD!E1,"")</f>
        <v>JUN</v>
      </c>
      <c r="E21" t="str">
        <f>IF(SD!F1&gt;0,SD!F1,"")</f>
        <v>JUL</v>
      </c>
      <c r="F21" t="str">
        <f>IF(SD!G1&gt;0,SD!G1,"")</f>
        <v>AUG</v>
      </c>
      <c r="G21" t="str">
        <f>IF(SD!H1&gt;0,SD!H1,"")</f>
        <v>SEP</v>
      </c>
      <c r="H21" t="str">
        <f>IF(SD!I1&gt;0,SD!I1,"")</f>
        <v>OCT</v>
      </c>
      <c r="I21" t="str">
        <f>IF(SD!J1&gt;0,SD!J1,"")</f>
        <v>NOV</v>
      </c>
      <c r="J21" t="str">
        <f>IF(SD!K1&gt;0,SD!K1,"")</f>
        <v>DEC</v>
      </c>
      <c r="K21" t="str">
        <f>IF(SD!L1&gt;0,SD!L1,"")</f>
        <v>JAN'27</v>
      </c>
      <c r="L21" t="str">
        <f>IF(SD!M1&gt;0,SD!M1,"")</f>
        <v>FEB'27</v>
      </c>
      <c r="M21" t="str">
        <f>IF(SD!N1&gt;0,SD!N1,"")</f>
        <v>MAR'27</v>
      </c>
      <c r="N21" t="str">
        <f>IF(SD!O1&gt;0,SD!O1,"")</f>
        <v>APR'27</v>
      </c>
      <c r="O21" t="str">
        <f>IF(SD!P1&gt;0,SD!P1,"")</f>
        <v>MAY'27</v>
      </c>
      <c r="P21" t="str">
        <f>IF(SD!Q1&gt;0,SD!Q1,"")</f>
        <v>JUN'27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0.85</v>
      </c>
      <c r="O24">
        <f>IF(SD!P15&gt;0,SD!P15,"")</f>
        <v>0.85</v>
      </c>
      <c r="P24">
        <f>IF(SD!Q15&gt;0,SD!Q15,"")</f>
        <v>0.85</v>
      </c>
    </row>
    <row r="31" spans="1:16" x14ac:dyDescent="0.2">
      <c r="B31" t="str">
        <f>IF(SD!C1&gt;0,SD!C1,"")</f>
        <v>APR</v>
      </c>
      <c r="C31" t="str">
        <f>IF(SD!D1&gt;0,SD!D1,"")</f>
        <v>MAY</v>
      </c>
      <c r="D31" t="str">
        <f>IF(SD!E1&gt;0,SD!E1,"")</f>
        <v>JUN</v>
      </c>
      <c r="E31" t="str">
        <f>IF(SD!F1&gt;0,SD!F1,"")</f>
        <v>JUL</v>
      </c>
      <c r="F31" t="str">
        <f>IF(SD!G1&gt;0,SD!G1,"")</f>
        <v>AUG</v>
      </c>
      <c r="G31" t="str">
        <f>IF(SD!H1&gt;0,SD!H1,"")</f>
        <v>SEP</v>
      </c>
      <c r="H31" t="str">
        <f>IF(SD!I1&gt;0,SD!I1,"")</f>
        <v>OCT</v>
      </c>
      <c r="I31" t="str">
        <f>IF(SD!J1&gt;0,SD!J1,"")</f>
        <v>NOV</v>
      </c>
      <c r="J31" t="str">
        <f>IF(SD!K1&gt;0,SD!K1,"")</f>
        <v>DEC</v>
      </c>
      <c r="K31" t="str">
        <f>IF(SD!L1&gt;0,SD!L1,"")</f>
        <v>JAN'27</v>
      </c>
      <c r="L31" t="str">
        <f>IF(SD!M1&gt;0,SD!M1,"")</f>
        <v>FEB'27</v>
      </c>
      <c r="M31" t="str">
        <f>IF(SD!N1&gt;0,SD!N1,"")</f>
        <v>MAR'27</v>
      </c>
      <c r="N31" t="str">
        <f>IF(SD!O1&gt;0,SD!O1,"")</f>
        <v>APR'27</v>
      </c>
      <c r="O31" t="str">
        <f>IF(SD!P1&gt;0,SD!P1,"")</f>
        <v>MAY'27</v>
      </c>
      <c r="P31" t="str">
        <f>IF(SD!Q1&gt;0,SD!Q1,"")</f>
        <v>JUN'27</v>
      </c>
    </row>
    <row r="32" spans="1:16" x14ac:dyDescent="0.2">
      <c r="A32" t="str">
        <f>IF(SD!B2&gt;0,SD!B2,"")</f>
        <v>Staff</v>
      </c>
      <c r="B32">
        <f>IF(SD!C17&gt;0,SD!C17,"")</f>
        <v>9</v>
      </c>
      <c r="C32">
        <f>IF(SD!D17&gt;0,SD!D17,"")</f>
        <v>11</v>
      </c>
      <c r="D32">
        <f>IF(SD!E17&gt;0,SD!E17,"")</f>
        <v>14</v>
      </c>
      <c r="E32">
        <f>IF(SD!F17&gt;0,SD!F17,"")</f>
        <v>15</v>
      </c>
      <c r="F32">
        <f>IF(SD!G17&gt;0,SD!G17,"")</f>
        <v>15</v>
      </c>
      <c r="G32">
        <f>IF(SD!H17&gt;0,SD!H17,"")</f>
        <v>15</v>
      </c>
      <c r="H32">
        <f>IF(SD!I17&gt;0,SD!I17,"")</f>
        <v>15</v>
      </c>
      <c r="I32">
        <f>IF(SD!J17&gt;0,SD!J17,"")</f>
        <v>15</v>
      </c>
      <c r="J32">
        <f>IF(SD!K17&gt;0,SD!K17,"")</f>
        <v>15</v>
      </c>
      <c r="K32">
        <f>IF(SD!L17&gt;0,SD!L17,"")</f>
        <v>15</v>
      </c>
      <c r="L32">
        <f>IF(SD!M17&gt;0,SD!M17,"")</f>
        <v>15</v>
      </c>
      <c r="M32">
        <f>IF(SD!N17&gt;0,SD!N17,"")</f>
        <v>15</v>
      </c>
      <c r="N32">
        <f>IF(SD!O17&gt;0,SD!O17,"")</f>
        <v>15</v>
      </c>
      <c r="O32">
        <f>IF(SD!P17&gt;0,SD!P17,"")</f>
        <v>15</v>
      </c>
      <c r="P32">
        <f>IF(SD!Q17&gt;0,SD!Q17,"")</f>
        <v>15</v>
      </c>
    </row>
    <row r="33" spans="1:16" x14ac:dyDescent="0.2">
      <c r="A33" t="str">
        <f>IF(SD!B3&gt;0,SD!B3,"")</f>
        <v>Staff AVG</v>
      </c>
      <c r="B33">
        <f>IF(SD!C18&gt;0,SD!C18,"")</f>
        <v>12</v>
      </c>
      <c r="C33">
        <f>IF(SD!D18&gt;0,SD!D18,"")</f>
        <v>12</v>
      </c>
      <c r="D33">
        <f>IF(SD!E18&gt;0,SD!E18,"")</f>
        <v>12</v>
      </c>
      <c r="E33">
        <f>IF(SD!F18&gt;0,SD!F18,"")</f>
        <v>12</v>
      </c>
      <c r="F33">
        <f>IF(SD!G18&gt;0,SD!G18,"")</f>
        <v>12</v>
      </c>
      <c r="G33">
        <f>IF(SD!H18&gt;0,SD!H18,"")</f>
        <v>12</v>
      </c>
      <c r="H33">
        <f>IF(SD!I18&gt;0,SD!I18,"")</f>
        <v>12</v>
      </c>
      <c r="I33">
        <f>IF(SD!J18&gt;0,SD!J18,"")</f>
        <v>12</v>
      </c>
      <c r="J33">
        <f>IF(SD!K18&gt;0,SD!K18,"")</f>
        <v>12</v>
      </c>
      <c r="K33">
        <f>IF(SD!L18&gt;0,SD!L18,"")</f>
        <v>12</v>
      </c>
      <c r="L33">
        <f>IF(SD!M18&gt;0,SD!M18,"")</f>
        <v>12</v>
      </c>
      <c r="M33">
        <f>IF(SD!N18&gt;0,SD!N18,"")</f>
        <v>12</v>
      </c>
      <c r="N33">
        <f>IF(SD!O18&gt;0,SD!O18,"")</f>
        <v>12</v>
      </c>
      <c r="O33">
        <f>IF(SD!P18&gt;0,SD!P18,"")</f>
        <v>12</v>
      </c>
      <c r="P33">
        <f>IF(SD!Q18&gt;0,SD!Q18,"")</f>
        <v>12</v>
      </c>
    </row>
    <row r="34" spans="1:16" x14ac:dyDescent="0.2">
      <c r="A34" t="str">
        <f>IF(SD!B4&gt;0,SD!B4,"")</f>
        <v>Plan</v>
      </c>
      <c r="B34">
        <f>IF(SD!C19&gt;0,SD!C19,"")</f>
        <v>8</v>
      </c>
      <c r="C34">
        <f>IF(SD!D19&gt;0,SD!D19,"")</f>
        <v>11</v>
      </c>
      <c r="D34">
        <f>IF(SD!E19&gt;0,SD!E19,"")</f>
        <v>12</v>
      </c>
      <c r="E34">
        <f>IF(SD!F19&gt;0,SD!F19,"")</f>
        <v>13</v>
      </c>
      <c r="F34">
        <f>IF(SD!G19&gt;0,SD!G19,"")</f>
        <v>17</v>
      </c>
      <c r="G34">
        <f>IF(SD!H19&gt;0,SD!H19,"")</f>
        <v>17</v>
      </c>
      <c r="H34">
        <f>IF(SD!I19&gt;0,SD!I19,"")</f>
        <v>17</v>
      </c>
      <c r="I34">
        <f>IF(SD!J19&gt;0,SD!J19,"")</f>
        <v>15</v>
      </c>
      <c r="J34">
        <f>IF(SD!K19&gt;0,SD!K19,"")</f>
        <v>15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2</v>
      </c>
      <c r="O34">
        <f>IF(SD!P19&gt;0,SD!P19,"")</f>
        <v>2</v>
      </c>
      <c r="P34">
        <f>IF(SD!Q19&gt;0,SD!Q19,"")</f>
        <v>2</v>
      </c>
    </row>
    <row r="41" spans="1:16" x14ac:dyDescent="0.2">
      <c r="B41" t="str">
        <f>IF(SD!C31&gt;0,SD!C31,"")</f>
        <v>Q2</v>
      </c>
      <c r="C41" t="str">
        <f>IF(SD!D31&gt;0,SD!D31,"")</f>
        <v>Q3</v>
      </c>
      <c r="D41" t="str">
        <f>IF(SD!E31&gt;0,SD!E31,"")</f>
        <v>Q4</v>
      </c>
      <c r="E41" t="str">
        <f>IF(SD!F31&gt;0,SD!F31,"")</f>
        <v>Q1'27</v>
      </c>
      <c r="F41" t="str">
        <f>IF(SD!G31&gt;0,SD!G31,"")</f>
        <v>Q2'27</v>
      </c>
    </row>
    <row r="42" spans="1:16" x14ac:dyDescent="0.2">
      <c r="A42" t="str">
        <f>IF(SD!B32&gt;0,SD!B32,"")</f>
        <v>Staff</v>
      </c>
      <c r="B42">
        <f>IF(SD!C32&gt;0,SD!C32,"")</f>
        <v>49</v>
      </c>
      <c r="C42">
        <f>IF(SD!D32&gt;0,SD!D32,"")</f>
        <v>53</v>
      </c>
      <c r="D42">
        <f>IF(SD!E32&gt;0,SD!E32,"")</f>
        <v>53</v>
      </c>
      <c r="E42">
        <f>IF(SD!F32&gt;0,SD!F32,"")</f>
        <v>53</v>
      </c>
      <c r="F42">
        <f>IF(SD!G32&gt;0,SD!G32,"")</f>
        <v>53</v>
      </c>
    </row>
    <row r="43" spans="1:16" x14ac:dyDescent="0.2">
      <c r="A43" t="str">
        <f>IF(SD!B33&gt;0,SD!B33,"")</f>
        <v>Staff AVG</v>
      </c>
      <c r="B43">
        <f>IF(SD!C33&gt;0,SD!C33,"")</f>
        <v>52</v>
      </c>
      <c r="C43">
        <f>IF(SD!D33&gt;0,SD!D33,"")</f>
        <v>52</v>
      </c>
      <c r="D43">
        <f>IF(SD!E33&gt;0,SD!E33,"")</f>
        <v>52</v>
      </c>
      <c r="E43">
        <f>IF(SD!F33&gt;0,SD!F33,"")</f>
        <v>52</v>
      </c>
      <c r="F43">
        <f>IF(SD!G33&gt;0,SD!G33,"")</f>
        <v>52</v>
      </c>
    </row>
    <row r="44" spans="1:16" x14ac:dyDescent="0.2">
      <c r="A44" t="str">
        <f>IF(SD!B34&gt;0,SD!B34,"")</f>
        <v>Plan</v>
      </c>
      <c r="B44">
        <f>IF(SD!C34&gt;0,SD!C34,"")</f>
        <v>44</v>
      </c>
      <c r="C44">
        <f>IF(SD!D34&gt;0,SD!D34,"")</f>
        <v>52</v>
      </c>
      <c r="D44">
        <f>IF(SD!E34&gt;0,SD!E34,"")</f>
        <v>51</v>
      </c>
      <c r="E44">
        <f>IF(SD!F34&gt;0,SD!F34,"")</f>
        <v>37</v>
      </c>
      <c r="F44">
        <f>IF(SD!G34&gt;0,SD!G34,"")</f>
        <v>22</v>
      </c>
    </row>
    <row r="45" spans="1:16" x14ac:dyDescent="0.2">
      <c r="A45" t="str">
        <f>IF(SD!B41&gt;0,SD!B41,"")</f>
        <v>PAYROLL</v>
      </c>
      <c r="B45">
        <f>IF(SD!C41&gt;0,SD!C41,"")</f>
        <v>32</v>
      </c>
      <c r="C45">
        <f>IF(SD!D41&gt;0,SD!D41,"")</f>
        <v>34</v>
      </c>
      <c r="D45">
        <f>IF(SD!E41&gt;0,SD!E41,"")</f>
        <v>33</v>
      </c>
      <c r="E45">
        <f>IF(SD!F41&gt;0,SD!F41,"")</f>
        <v>25</v>
      </c>
      <c r="F45">
        <f>IF(SD!G41&gt;0,SD!G41,"")</f>
        <v>19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1</v>
      </c>
    </row>
    <row r="47" spans="1:16" x14ac:dyDescent="0.2">
      <c r="A47" t="str">
        <f>IF(SD!B49&gt;0,SD!B49,"")</f>
        <v>OUTSOURCE</v>
      </c>
      <c r="B47">
        <f>IF(SD!C49&gt;0,SD!C49,"")</f>
        <v>10</v>
      </c>
      <c r="C47">
        <f>IF(SD!D49&gt;0,SD!D49,"")</f>
        <v>16</v>
      </c>
      <c r="D47">
        <f>IF(SD!E49&gt;0,SD!E49,"")</f>
        <v>16</v>
      </c>
      <c r="E47">
        <f>IF(SD!F49&gt;0,SD!F49,"")</f>
        <v>10</v>
      </c>
      <c r="F47">
        <f>IF(SD!G49&gt;0,SD!G49,"")</f>
        <v>2</v>
      </c>
    </row>
    <row r="51" spans="1:16" x14ac:dyDescent="0.2">
      <c r="A51" s="55" t="str">
        <f>SD!A66</f>
        <v>Design</v>
      </c>
      <c r="B51" t="str">
        <f>SD!C$61</f>
        <v>APR</v>
      </c>
      <c r="C51" t="str">
        <f>SD!D$61</f>
        <v>MAY</v>
      </c>
      <c r="D51" t="str">
        <f>SD!E$61</f>
        <v>JUN</v>
      </c>
      <c r="E51" t="str">
        <f>SD!F$61</f>
        <v>JUL</v>
      </c>
      <c r="F51" t="str">
        <f>SD!G$61</f>
        <v>AUG</v>
      </c>
      <c r="G51" t="str">
        <f>SD!H$61</f>
        <v>SEP</v>
      </c>
      <c r="H51" t="str">
        <f>SD!I$61</f>
        <v>OCT</v>
      </c>
      <c r="I51" t="str">
        <f>SD!J$61</f>
        <v>NOV</v>
      </c>
      <c r="J51" t="str">
        <f>SD!K$61</f>
        <v>DEC</v>
      </c>
      <c r="K51" t="str">
        <f>SD!L$61</f>
        <v>JAN'27</v>
      </c>
      <c r="L51" t="str">
        <f>SD!M$61</f>
        <v>FEB'27</v>
      </c>
      <c r="M51" t="str">
        <f>SD!N$61</f>
        <v>MAR'27</v>
      </c>
      <c r="N51" t="str">
        <f>SD!O$61</f>
        <v>APR'27</v>
      </c>
      <c r="O51" t="str">
        <f>SD!P$61</f>
        <v>MAY'27</v>
      </c>
      <c r="P51" t="str">
        <f>SD!Q$61</f>
        <v>JUN'27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2.4562499999999998</v>
      </c>
      <c r="C53">
        <f>SD!D67</f>
        <v>3.53125</v>
      </c>
      <c r="D53">
        <f>SD!E67</f>
        <v>3.1937500000000001</v>
      </c>
      <c r="E53">
        <f>SD!F67</f>
        <v>3.2</v>
      </c>
      <c r="F53">
        <f>SD!G67</f>
        <v>4.8250000000000002</v>
      </c>
      <c r="G53">
        <f>SD!H67</f>
        <v>4.8875000000000002</v>
      </c>
      <c r="H53">
        <f>SD!I67</f>
        <v>5.3312499999999998</v>
      </c>
      <c r="I53">
        <f>SD!J67</f>
        <v>4.5812499999999998</v>
      </c>
      <c r="J53">
        <f>SD!K67</f>
        <v>4.5187499999999998</v>
      </c>
      <c r="K53">
        <f>SD!L67</f>
        <v>3.703125</v>
      </c>
      <c r="L53">
        <f>SD!M67</f>
        <v>3.2281249999999999</v>
      </c>
      <c r="M53">
        <f>SD!N67</f>
        <v>3.2281249999999999</v>
      </c>
      <c r="N53">
        <f>SD!O67</f>
        <v>3.0562499999999999</v>
      </c>
      <c r="O53">
        <f>SD!P67</f>
        <v>2.9125000000000001</v>
      </c>
      <c r="P53">
        <f>SD!Q67</f>
        <v>2.9125000000000001</v>
      </c>
    </row>
    <row r="54" spans="1:16" s="63" customFormat="1" x14ac:dyDescent="0.2">
      <c r="A54" s="63" t="s">
        <v>24</v>
      </c>
      <c r="B54" s="64">
        <f>B52-B53</f>
        <v>1.5437500000000002</v>
      </c>
      <c r="C54" s="64">
        <f t="shared" ref="C54:P54" si="0">C52-C53</f>
        <v>0.46875</v>
      </c>
      <c r="D54" s="64">
        <f t="shared" si="0"/>
        <v>0.80624999999999991</v>
      </c>
      <c r="E54" s="64">
        <f t="shared" si="0"/>
        <v>0.79999999999999982</v>
      </c>
      <c r="F54" s="64">
        <f t="shared" si="0"/>
        <v>-0.82500000000000018</v>
      </c>
      <c r="G54" s="64">
        <f t="shared" si="0"/>
        <v>-0.88750000000000018</v>
      </c>
      <c r="H54" s="64">
        <f t="shared" si="0"/>
        <v>-1.3312499999999998</v>
      </c>
      <c r="I54" s="64">
        <f t="shared" si="0"/>
        <v>-0.58124999999999982</v>
      </c>
      <c r="J54" s="64">
        <f t="shared" si="0"/>
        <v>-0.51874999999999982</v>
      </c>
      <c r="K54" s="64">
        <f t="shared" si="0"/>
        <v>0.296875</v>
      </c>
      <c r="L54" s="64">
        <f t="shared" si="0"/>
        <v>0.77187500000000009</v>
      </c>
      <c r="M54" s="64">
        <f t="shared" si="0"/>
        <v>0.77187500000000009</v>
      </c>
      <c r="N54" s="64">
        <f t="shared" si="0"/>
        <v>0.94375000000000009</v>
      </c>
      <c r="O54" s="64">
        <f t="shared" si="0"/>
        <v>1.0874999999999999</v>
      </c>
      <c r="P54" s="64">
        <f t="shared" si="0"/>
        <v>1.0874999999999999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76.510416666666671</v>
      </c>
      <c r="C56" s="56">
        <f>(AVERAGE(E53:G53)/AVERAGE(E52:G52))*100</f>
        <v>107.60416666666669</v>
      </c>
      <c r="D56" s="56">
        <f>(AVERAGE(H53:J53)/AVERAGE(H52:J52))*100</f>
        <v>120.26041666666664</v>
      </c>
      <c r="E56" s="56">
        <f>(AVERAGE(K53:M53)/AVERAGE(K52:M52))*100</f>
        <v>84.661458333333343</v>
      </c>
      <c r="F56" s="56">
        <f>(AVERAGE(N53:P53)/AVERAGE(N52:P52))*100</f>
        <v>74.010416666666671</v>
      </c>
    </row>
    <row r="61" spans="1:16" x14ac:dyDescent="0.2">
      <c r="A61" s="55" t="str">
        <f>SD!A68</f>
        <v>Data Technology</v>
      </c>
      <c r="B61" t="str">
        <f>SD!C$61</f>
        <v>APR</v>
      </c>
      <c r="C61" t="str">
        <f>SD!D$61</f>
        <v>MAY</v>
      </c>
      <c r="D61" t="str">
        <f>SD!E$61</f>
        <v>JUN</v>
      </c>
      <c r="E61" t="str">
        <f>SD!F$61</f>
        <v>JUL</v>
      </c>
      <c r="F61" t="str">
        <f>SD!G$61</f>
        <v>AUG</v>
      </c>
      <c r="G61" t="str">
        <f>SD!H$61</f>
        <v>SEP</v>
      </c>
      <c r="H61" t="str">
        <f>SD!I$61</f>
        <v>OCT</v>
      </c>
      <c r="I61" t="str">
        <f>SD!J$61</f>
        <v>NOV</v>
      </c>
      <c r="J61" t="str">
        <f>SD!K$61</f>
        <v>DEC</v>
      </c>
      <c r="K61" t="str">
        <f>SD!L$61</f>
        <v>JAN'27</v>
      </c>
      <c r="L61" t="str">
        <f>SD!M$61</f>
        <v>FEB'27</v>
      </c>
      <c r="M61" t="str">
        <f>SD!N$61</f>
        <v>MAR'27</v>
      </c>
      <c r="N61" t="str">
        <f>SD!O$61</f>
        <v>APR'27</v>
      </c>
      <c r="O61" t="str">
        <f>SD!P$61</f>
        <v>MAY'27</v>
      </c>
      <c r="P61" t="str">
        <f>SD!Q$61</f>
        <v>JUN'27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6.12</v>
      </c>
      <c r="C63">
        <f>SD!D69</f>
        <v>5.7149999999999999</v>
      </c>
      <c r="D63">
        <f>SD!E69</f>
        <v>6.42</v>
      </c>
      <c r="E63">
        <f>SD!F69</f>
        <v>5.89</v>
      </c>
      <c r="F63">
        <f>SD!G69</f>
        <v>5.72</v>
      </c>
      <c r="G63">
        <f>SD!H69</f>
        <v>5.5949999999999998</v>
      </c>
      <c r="H63">
        <f>SD!I69</f>
        <v>5.2450000000000001</v>
      </c>
      <c r="I63">
        <f>SD!J69</f>
        <v>5.07</v>
      </c>
      <c r="J63">
        <f>SD!K69</f>
        <v>5.0199999999999996</v>
      </c>
      <c r="K63">
        <f>SD!L69</f>
        <v>4.7050000000000001</v>
      </c>
      <c r="L63">
        <f>SD!M69</f>
        <v>4.5650000000000004</v>
      </c>
      <c r="M63">
        <f>SD!N69</f>
        <v>4.4649999999999999</v>
      </c>
      <c r="N63">
        <f>SD!O69</f>
        <v>4.6050000000000004</v>
      </c>
      <c r="O63">
        <f>SD!P69</f>
        <v>4.4649999999999999</v>
      </c>
      <c r="P63">
        <f>SD!Q69</f>
        <v>4.4649999999999999</v>
      </c>
    </row>
    <row r="64" spans="1:16" s="63" customFormat="1" x14ac:dyDescent="0.2">
      <c r="A64" s="63" t="s">
        <v>24</v>
      </c>
      <c r="B64" s="64">
        <f>B62-B63</f>
        <v>0.87999999999999989</v>
      </c>
      <c r="C64" s="64">
        <f t="shared" ref="C64:P64" si="2">C62-C63</f>
        <v>1.2850000000000001</v>
      </c>
      <c r="D64" s="64">
        <f t="shared" si="2"/>
        <v>0.58000000000000007</v>
      </c>
      <c r="E64" s="64">
        <f t="shared" si="2"/>
        <v>1.1100000000000003</v>
      </c>
      <c r="F64" s="64">
        <f t="shared" si="2"/>
        <v>1.2800000000000002</v>
      </c>
      <c r="G64" s="64">
        <f t="shared" si="2"/>
        <v>1.4050000000000002</v>
      </c>
      <c r="H64" s="64">
        <f t="shared" si="2"/>
        <v>1.7549999999999999</v>
      </c>
      <c r="I64" s="64">
        <f t="shared" si="2"/>
        <v>1.9299999999999997</v>
      </c>
      <c r="J64" s="64">
        <f t="shared" si="2"/>
        <v>1.9800000000000004</v>
      </c>
      <c r="K64" s="64">
        <f t="shared" si="2"/>
        <v>2.2949999999999999</v>
      </c>
      <c r="L64" s="64">
        <f t="shared" si="2"/>
        <v>2.4349999999999996</v>
      </c>
      <c r="M64" s="64">
        <f t="shared" si="2"/>
        <v>2.5350000000000001</v>
      </c>
      <c r="N64" s="64">
        <f t="shared" si="2"/>
        <v>2.3949999999999996</v>
      </c>
      <c r="O64" s="64">
        <f t="shared" si="2"/>
        <v>2.5350000000000001</v>
      </c>
      <c r="P64" s="64">
        <f t="shared" si="2"/>
        <v>2.5350000000000001</v>
      </c>
    </row>
    <row r="65" spans="1:1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16" s="56" customFormat="1" x14ac:dyDescent="0.2">
      <c r="A66" s="56" t="str">
        <f>$A$156</f>
        <v>% Plan</v>
      </c>
      <c r="B66" s="56">
        <f>(AVERAGE(B63:D63)/AVERAGE(B62:D62))*100</f>
        <v>86.928571428571445</v>
      </c>
      <c r="C66" s="56">
        <f>(AVERAGE(E63:G63)/AVERAGE(E62:G62))*100</f>
        <v>81.928571428571416</v>
      </c>
      <c r="D66" s="56">
        <f>(AVERAGE(H63:J63)/AVERAGE(H62:J62))*100</f>
        <v>73.023809523809533</v>
      </c>
      <c r="E66" s="56">
        <f>(AVERAGE(K63:M63)/AVERAGE(K62:M62))*100</f>
        <v>65.404761904761898</v>
      </c>
      <c r="F66" s="56">
        <f>(AVERAGE(N63:P63)/AVERAGE(N62:P62))*100</f>
        <v>64.452380952380949</v>
      </c>
    </row>
    <row r="71" spans="1:16" x14ac:dyDescent="0.2">
      <c r="A71" s="55" t="str">
        <f>SD!A74</f>
        <v>Solution Architecture</v>
      </c>
      <c r="B71" t="str">
        <f>SD!C$61</f>
        <v>APR</v>
      </c>
      <c r="C71" t="str">
        <f>SD!D$61</f>
        <v>MAY</v>
      </c>
      <c r="D71" t="str">
        <f>SD!E$61</f>
        <v>JUN</v>
      </c>
      <c r="E71" t="str">
        <f>SD!F$61</f>
        <v>JUL</v>
      </c>
      <c r="F71" t="str">
        <f>SD!G$61</f>
        <v>AUG</v>
      </c>
      <c r="G71" t="str">
        <f>SD!H$61</f>
        <v>SEP</v>
      </c>
      <c r="H71" t="str">
        <f>SD!I$61</f>
        <v>OCT</v>
      </c>
      <c r="I71" t="str">
        <f>SD!J$61</f>
        <v>NOV</v>
      </c>
      <c r="J71" t="str">
        <f>SD!K$61</f>
        <v>DEC</v>
      </c>
      <c r="K71" t="str">
        <f>SD!L$61</f>
        <v>JAN'27</v>
      </c>
      <c r="L71" t="str">
        <f>SD!M$61</f>
        <v>FEB'27</v>
      </c>
      <c r="M71" t="str">
        <f>SD!N$61</f>
        <v>MAR'27</v>
      </c>
      <c r="N71" t="str">
        <f>SD!O$61</f>
        <v>APR'27</v>
      </c>
      <c r="O71" t="str">
        <f>SD!P$61</f>
        <v>MAY'27</v>
      </c>
      <c r="P71" t="str">
        <f>SD!Q$61</f>
        <v>JUN'27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3.9275000000000002</v>
      </c>
      <c r="C73">
        <f>SD!D75</f>
        <v>3.5049999999999999</v>
      </c>
      <c r="D73">
        <f>SD!E75</f>
        <v>3.9049999999999998</v>
      </c>
      <c r="E73">
        <f>SD!F75</f>
        <v>4.085</v>
      </c>
      <c r="F73">
        <f>SD!G75</f>
        <v>4.2625000000000002</v>
      </c>
      <c r="G73">
        <f>SD!H75</f>
        <v>3.7749999999999999</v>
      </c>
      <c r="H73">
        <f>SD!I75</f>
        <v>3.7749999999999999</v>
      </c>
      <c r="I73">
        <f>SD!J75</f>
        <v>3.7749999999999999</v>
      </c>
      <c r="J73">
        <f>SD!K75</f>
        <v>3.65</v>
      </c>
      <c r="K73">
        <f>SD!L75</f>
        <v>2.96</v>
      </c>
      <c r="L73">
        <f>SD!M75</f>
        <v>2.96</v>
      </c>
      <c r="M73">
        <f>SD!N75</f>
        <v>2.91</v>
      </c>
      <c r="N73">
        <f>SD!O75</f>
        <v>0.32</v>
      </c>
      <c r="O73">
        <f>SD!P75</f>
        <v>0.27</v>
      </c>
      <c r="P73">
        <f>SD!Q75</f>
        <v>0.27</v>
      </c>
    </row>
    <row r="74" spans="1:16" s="63" customFormat="1" x14ac:dyDescent="0.2">
      <c r="A74" s="63" t="s">
        <v>24</v>
      </c>
      <c r="B74" s="64">
        <f>B72-B73</f>
        <v>7.2499999999999787E-2</v>
      </c>
      <c r="C74" s="64">
        <f t="shared" ref="C74:P74" si="4">C72-C73</f>
        <v>0.49500000000000011</v>
      </c>
      <c r="D74" s="64">
        <f t="shared" si="4"/>
        <v>9.5000000000000195E-2</v>
      </c>
      <c r="E74" s="64">
        <f t="shared" si="4"/>
        <v>-8.4999999999999964E-2</v>
      </c>
      <c r="F74" s="64">
        <f t="shared" si="4"/>
        <v>-0.26250000000000018</v>
      </c>
      <c r="G74" s="64">
        <f t="shared" si="4"/>
        <v>0.22500000000000009</v>
      </c>
      <c r="H74" s="64">
        <f t="shared" si="4"/>
        <v>0.22500000000000009</v>
      </c>
      <c r="I74" s="64">
        <f t="shared" si="4"/>
        <v>0.22500000000000009</v>
      </c>
      <c r="J74" s="64">
        <f t="shared" si="4"/>
        <v>0.35000000000000009</v>
      </c>
      <c r="K74" s="64">
        <f t="shared" si="4"/>
        <v>1.04</v>
      </c>
      <c r="L74" s="64">
        <f t="shared" si="4"/>
        <v>1.04</v>
      </c>
      <c r="M74" s="64">
        <f t="shared" si="4"/>
        <v>1.0899999999999999</v>
      </c>
      <c r="N74" s="64">
        <f t="shared" si="4"/>
        <v>3.68</v>
      </c>
      <c r="O74" s="64">
        <f t="shared" si="4"/>
        <v>3.73</v>
      </c>
      <c r="P74" s="64">
        <f t="shared" si="4"/>
        <v>3.73</v>
      </c>
    </row>
    <row r="75" spans="1:16" s="56" customFormat="1" x14ac:dyDescent="0.2">
      <c r="B75" s="56" t="str">
        <f>B$155</f>
        <v>Q2</v>
      </c>
      <c r="C75" s="56" t="str">
        <f t="shared" ref="C75:F75" si="5">C$155</f>
        <v>Q3</v>
      </c>
      <c r="D75" s="56" t="str">
        <f t="shared" si="5"/>
        <v>Q4</v>
      </c>
      <c r="E75" s="56" t="str">
        <f t="shared" si="5"/>
        <v>Q1'27</v>
      </c>
      <c r="F75" s="56" t="str">
        <f t="shared" si="5"/>
        <v>Q2'27</v>
      </c>
    </row>
    <row r="76" spans="1:16" s="56" customFormat="1" x14ac:dyDescent="0.2">
      <c r="A76" s="56" t="str">
        <f>$A$156</f>
        <v>% Plan</v>
      </c>
      <c r="B76" s="56">
        <f>(AVERAGE(B73:D73)/AVERAGE(B72:D72))*100</f>
        <v>94.479166666666671</v>
      </c>
      <c r="C76" s="56">
        <f>(AVERAGE(E73:G73)/AVERAGE(E72:G72))*100</f>
        <v>101.02083333333334</v>
      </c>
      <c r="D76" s="56">
        <f>(AVERAGE(H73:J73)/AVERAGE(H72:J72))*100</f>
        <v>93.333333333333329</v>
      </c>
      <c r="E76" s="56">
        <f>(AVERAGE(K73:M73)/AVERAGE(K72:M72))*100</f>
        <v>73.583333333333329</v>
      </c>
      <c r="F76" s="56">
        <f>(AVERAGE(N73:P73)/AVERAGE(N72:P72))*100</f>
        <v>7.166666666666667</v>
      </c>
    </row>
    <row r="81" spans="1:16" x14ac:dyDescent="0.2">
      <c r="A81" s="55" t="str">
        <f>SD!A76</f>
        <v>Site Reliability Engineering</v>
      </c>
      <c r="B81" t="str">
        <f>SD!C$61</f>
        <v>APR</v>
      </c>
      <c r="C81" t="str">
        <f>SD!D$61</f>
        <v>MAY</v>
      </c>
      <c r="D81" t="str">
        <f>SD!E$61</f>
        <v>JUN</v>
      </c>
      <c r="E81" t="str">
        <f>SD!F$61</f>
        <v>JUL</v>
      </c>
      <c r="F81" t="str">
        <f>SD!G$61</f>
        <v>AUG</v>
      </c>
      <c r="G81" t="str">
        <f>SD!H$61</f>
        <v>SEP</v>
      </c>
      <c r="H81" t="str">
        <f>SD!I$61</f>
        <v>OCT</v>
      </c>
      <c r="I81" t="str">
        <f>SD!J$61</f>
        <v>NOV</v>
      </c>
      <c r="J81" t="str">
        <f>SD!K$61</f>
        <v>DEC</v>
      </c>
      <c r="K81" t="str">
        <f>SD!L$61</f>
        <v>JAN'27</v>
      </c>
      <c r="L81" t="str">
        <f>SD!M$61</f>
        <v>FEB'27</v>
      </c>
      <c r="M81" t="str">
        <f>SD!N$61</f>
        <v>MAR'27</v>
      </c>
      <c r="N81" t="str">
        <f>SD!O$61</f>
        <v>APR'27</v>
      </c>
      <c r="O81" t="str">
        <f>SD!P$61</f>
        <v>MAY'27</v>
      </c>
      <c r="P81" t="str">
        <f>SD!Q$61</f>
        <v>JUN'27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3</v>
      </c>
      <c r="F82">
        <f>SD!G76</f>
        <v>3</v>
      </c>
      <c r="G82">
        <f>SD!H76</f>
        <v>3</v>
      </c>
      <c r="H82">
        <f>SD!I76</f>
        <v>3</v>
      </c>
      <c r="I82">
        <f>SD!J76</f>
        <v>3</v>
      </c>
      <c r="J82">
        <f>SD!K76</f>
        <v>3</v>
      </c>
      <c r="K82">
        <f>SD!L76</f>
        <v>3</v>
      </c>
      <c r="L82">
        <f>SD!M76</f>
        <v>3</v>
      </c>
      <c r="M82">
        <f>SD!N76</f>
        <v>3</v>
      </c>
      <c r="N82">
        <f>SD!O76</f>
        <v>3</v>
      </c>
      <c r="O82">
        <f>SD!P76</f>
        <v>3</v>
      </c>
      <c r="P82">
        <f>SD!Q76</f>
        <v>3</v>
      </c>
    </row>
    <row r="83" spans="1:16" x14ac:dyDescent="0.2">
      <c r="A83" t="str">
        <f>SD!B77</f>
        <v>Plan</v>
      </c>
      <c r="B83">
        <f>SD!C77</f>
        <v>2.605</v>
      </c>
      <c r="C83">
        <f>SD!D77</f>
        <v>2.6349999999999998</v>
      </c>
      <c r="D83">
        <f>SD!E77</f>
        <v>2.2650000000000001</v>
      </c>
      <c r="E83">
        <f>SD!F77</f>
        <v>2.4624999999999999</v>
      </c>
      <c r="F83">
        <f>SD!G77</f>
        <v>2.4624999999999999</v>
      </c>
      <c r="G83">
        <f>SD!H77</f>
        <v>2.4424999999999999</v>
      </c>
      <c r="H83">
        <f>SD!I77</f>
        <v>2.5049999999999999</v>
      </c>
      <c r="I83">
        <f>SD!J77</f>
        <v>2.3050000000000002</v>
      </c>
      <c r="J83">
        <f>SD!K77</f>
        <v>2.3050000000000002</v>
      </c>
      <c r="K83">
        <f>SD!L77</f>
        <v>0.92500000000000004</v>
      </c>
      <c r="L83">
        <f>SD!M77</f>
        <v>0.875</v>
      </c>
      <c r="M83">
        <f>SD!N77</f>
        <v>0.875</v>
      </c>
      <c r="N83">
        <f>SD!O77</f>
        <v>0.625</v>
      </c>
      <c r="O83">
        <f>SD!P77</f>
        <v>0.625</v>
      </c>
      <c r="P83">
        <f>SD!Q77</f>
        <v>0.625</v>
      </c>
    </row>
    <row r="84" spans="1:16" s="63" customFormat="1" x14ac:dyDescent="0.2">
      <c r="A84" s="63" t="s">
        <v>24</v>
      </c>
      <c r="B84" s="64">
        <f>B82-B83</f>
        <v>-0.60499999999999998</v>
      </c>
      <c r="C84" s="64">
        <f t="shared" ref="C84:P84" si="6">C82-C83</f>
        <v>-0.63499999999999979</v>
      </c>
      <c r="D84" s="64">
        <f t="shared" si="6"/>
        <v>-0.26500000000000012</v>
      </c>
      <c r="E84" s="64">
        <f t="shared" si="6"/>
        <v>0.53750000000000009</v>
      </c>
      <c r="F84" s="64">
        <f t="shared" si="6"/>
        <v>0.53750000000000009</v>
      </c>
      <c r="G84" s="64">
        <f t="shared" si="6"/>
        <v>0.55750000000000011</v>
      </c>
      <c r="H84" s="64">
        <f t="shared" si="6"/>
        <v>0.49500000000000011</v>
      </c>
      <c r="I84" s="64">
        <f t="shared" si="6"/>
        <v>0.69499999999999984</v>
      </c>
      <c r="J84" s="64">
        <f t="shared" si="6"/>
        <v>0.69499999999999984</v>
      </c>
      <c r="K84" s="64">
        <f t="shared" si="6"/>
        <v>2.0750000000000002</v>
      </c>
      <c r="L84" s="64">
        <f t="shared" si="6"/>
        <v>2.125</v>
      </c>
      <c r="M84" s="64">
        <f t="shared" si="6"/>
        <v>2.125</v>
      </c>
      <c r="N84" s="64">
        <f t="shared" si="6"/>
        <v>2.375</v>
      </c>
      <c r="O84" s="64">
        <f t="shared" si="6"/>
        <v>2.375</v>
      </c>
      <c r="P84" s="64">
        <f t="shared" si="6"/>
        <v>2.375</v>
      </c>
    </row>
    <row r="85" spans="1:16" s="56" customFormat="1" x14ac:dyDescent="0.2">
      <c r="B85" s="56" t="str">
        <f>B$155</f>
        <v>Q2</v>
      </c>
      <c r="C85" s="56" t="str">
        <f t="shared" ref="C85:F85" si="7">C$155</f>
        <v>Q3</v>
      </c>
      <c r="D85" s="56" t="str">
        <f t="shared" si="7"/>
        <v>Q4</v>
      </c>
      <c r="E85" s="56" t="str">
        <f t="shared" si="7"/>
        <v>Q1'27</v>
      </c>
      <c r="F85" s="56" t="str">
        <f t="shared" si="7"/>
        <v>Q2'27</v>
      </c>
    </row>
    <row r="86" spans="1:16" s="56" customFormat="1" x14ac:dyDescent="0.2">
      <c r="A86" s="56" t="str">
        <f>$A$156</f>
        <v>% Plan</v>
      </c>
      <c r="B86" s="56">
        <f>(AVERAGE(B83:D83)/AVERAGE(B82:D82))*100</f>
        <v>125.08333333333334</v>
      </c>
      <c r="C86" s="56">
        <f>(AVERAGE(E83:G83)/AVERAGE(E82:G82))*100</f>
        <v>81.8611111111111</v>
      </c>
      <c r="D86" s="56">
        <f>(AVERAGE(H83:J83)/AVERAGE(H82:J82))*100</f>
        <v>79.055555555555557</v>
      </c>
      <c r="E86" s="56">
        <f>(AVERAGE(K83:M83)/AVERAGE(K82:M82))*100</f>
        <v>29.722222222222221</v>
      </c>
      <c r="F86" s="56">
        <f>(AVERAGE(N83:P83)/AVERAGE(N82:P82))*100</f>
        <v>20.833333333333336</v>
      </c>
    </row>
    <row r="91" spans="1:16" x14ac:dyDescent="0.2">
      <c r="A91" s="55" t="str">
        <f>SD!A78</f>
        <v>Cyber Security</v>
      </c>
      <c r="B91" t="str">
        <f>SD!C$61</f>
        <v>APR</v>
      </c>
      <c r="C91" t="str">
        <f>SD!D$61</f>
        <v>MAY</v>
      </c>
      <c r="D91" t="str">
        <f>SD!E$61</f>
        <v>JUN</v>
      </c>
      <c r="E91" t="str">
        <f>SD!F$61</f>
        <v>JUL</v>
      </c>
      <c r="F91" t="str">
        <f>SD!G$61</f>
        <v>AUG</v>
      </c>
      <c r="G91" t="str">
        <f>SD!H$61</f>
        <v>SEP</v>
      </c>
      <c r="H91" t="str">
        <f>SD!I$61</f>
        <v>OCT</v>
      </c>
      <c r="I91" t="str">
        <f>SD!J$61</f>
        <v>NOV</v>
      </c>
      <c r="J91" t="str">
        <f>SD!K$61</f>
        <v>DEC</v>
      </c>
      <c r="K91" t="str">
        <f>SD!L$61</f>
        <v>JAN'27</v>
      </c>
      <c r="L91" t="str">
        <f>SD!M$61</f>
        <v>FEB'27</v>
      </c>
      <c r="M91" t="str">
        <f>SD!N$61</f>
        <v>MAR'27</v>
      </c>
      <c r="N91" t="str">
        <f>SD!O$61</f>
        <v>APR'27</v>
      </c>
      <c r="O91" t="str">
        <f>SD!P$61</f>
        <v>MAY'27</v>
      </c>
      <c r="P91" t="str">
        <f>SD!Q$61</f>
        <v>JUN'27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2.85</v>
      </c>
      <c r="C93">
        <f>SD!D79</f>
        <v>3.35</v>
      </c>
      <c r="D93">
        <f>SD!E79</f>
        <v>2.5125000000000002</v>
      </c>
      <c r="E93">
        <f>SD!F79</f>
        <v>2.2075</v>
      </c>
      <c r="F93">
        <f>SD!G79</f>
        <v>2.1825000000000001</v>
      </c>
      <c r="G93">
        <f>SD!H79</f>
        <v>2.1575000000000002</v>
      </c>
      <c r="H93">
        <f>SD!I79</f>
        <v>2.1575000000000002</v>
      </c>
      <c r="I93">
        <f>SD!J79</f>
        <v>2.1575000000000002</v>
      </c>
      <c r="J93">
        <f>SD!K79</f>
        <v>1.8574999999999999</v>
      </c>
      <c r="K93">
        <f>SD!L79</f>
        <v>1.3374999999999999</v>
      </c>
      <c r="L93">
        <f>SD!M79</f>
        <v>1.3374999999999999</v>
      </c>
      <c r="M93">
        <f>SD!N79</f>
        <v>1.3374999999999999</v>
      </c>
      <c r="N93">
        <f>SD!O79</f>
        <v>0.53749999999999998</v>
      </c>
      <c r="O93">
        <f>SD!P79</f>
        <v>0.53749999999999998</v>
      </c>
      <c r="P93">
        <f>SD!Q79</f>
        <v>0.53749999999999998</v>
      </c>
    </row>
    <row r="94" spans="1:16" s="63" customFormat="1" x14ac:dyDescent="0.2">
      <c r="A94" s="63" t="s">
        <v>24</v>
      </c>
      <c r="B94" s="64">
        <f>B92-B93</f>
        <v>0.14999999999999991</v>
      </c>
      <c r="C94" s="64">
        <f t="shared" ref="C94:P94" si="8">C92-C93</f>
        <v>-0.35000000000000009</v>
      </c>
      <c r="D94" s="64">
        <f t="shared" si="8"/>
        <v>0.48749999999999982</v>
      </c>
      <c r="E94" s="64">
        <f t="shared" si="8"/>
        <v>0.79249999999999998</v>
      </c>
      <c r="F94" s="64">
        <f t="shared" si="8"/>
        <v>0.81749999999999989</v>
      </c>
      <c r="G94" s="64">
        <f t="shared" si="8"/>
        <v>0.8424999999999998</v>
      </c>
      <c r="H94" s="64">
        <f t="shared" si="8"/>
        <v>0.8424999999999998</v>
      </c>
      <c r="I94" s="64">
        <f t="shared" si="8"/>
        <v>0.8424999999999998</v>
      </c>
      <c r="J94" s="64">
        <f t="shared" si="8"/>
        <v>1.1425000000000001</v>
      </c>
      <c r="K94" s="64">
        <f t="shared" si="8"/>
        <v>1.6625000000000001</v>
      </c>
      <c r="L94" s="64">
        <f t="shared" si="8"/>
        <v>1.6625000000000001</v>
      </c>
      <c r="M94" s="64">
        <f t="shared" si="8"/>
        <v>1.6625000000000001</v>
      </c>
      <c r="N94" s="64">
        <f t="shared" si="8"/>
        <v>2.4624999999999999</v>
      </c>
      <c r="O94" s="64">
        <f t="shared" si="8"/>
        <v>2.4624999999999999</v>
      </c>
      <c r="P94" s="64">
        <f t="shared" si="8"/>
        <v>2.4624999999999999</v>
      </c>
    </row>
    <row r="95" spans="1:16" s="56" customFormat="1" x14ac:dyDescent="0.2">
      <c r="B95" s="56" t="str">
        <f>B$155</f>
        <v>Q2</v>
      </c>
      <c r="C95" s="56" t="str">
        <f t="shared" ref="C95:F95" si="9">C$155</f>
        <v>Q3</v>
      </c>
      <c r="D95" s="56" t="str">
        <f t="shared" si="9"/>
        <v>Q4</v>
      </c>
      <c r="E95" s="56" t="str">
        <f t="shared" si="9"/>
        <v>Q1'27</v>
      </c>
      <c r="F95" s="56" t="str">
        <f t="shared" si="9"/>
        <v>Q2'27</v>
      </c>
    </row>
    <row r="96" spans="1:16" s="56" customFormat="1" x14ac:dyDescent="0.2">
      <c r="A96" s="56" t="str">
        <f>$A$156</f>
        <v>% Plan</v>
      </c>
      <c r="B96" s="56">
        <f>(AVERAGE(B93:D93)/AVERAGE(B92:D92))*100</f>
        <v>96.805555555555557</v>
      </c>
      <c r="C96" s="56">
        <f>(AVERAGE(E93:G93)/AVERAGE(E92:G92))*100</f>
        <v>72.750000000000014</v>
      </c>
      <c r="D96" s="56">
        <f>(AVERAGE(H93:J93)/AVERAGE(H92:J92))*100</f>
        <v>68.583333333333343</v>
      </c>
      <c r="E96" s="56">
        <f>(AVERAGE(K93:M93)/AVERAGE(K92:M92))*100</f>
        <v>44.583333333333321</v>
      </c>
      <c r="F96" s="56">
        <f>(AVERAGE(N93:P93)/AVERAGE(N92:P92))*100</f>
        <v>17.916666666666668</v>
      </c>
    </row>
    <row r="101" spans="1:16" x14ac:dyDescent="0.2">
      <c r="A101" s="55" t="str">
        <f>SD!A80</f>
        <v>Project Management</v>
      </c>
      <c r="B101" t="str">
        <f>SD!C$61</f>
        <v>APR</v>
      </c>
      <c r="C101" t="str">
        <f>SD!D$61</f>
        <v>MAY</v>
      </c>
      <c r="D101" t="str">
        <f>SD!E$61</f>
        <v>JUN</v>
      </c>
      <c r="E101" t="str">
        <f>SD!F$61</f>
        <v>JUL</v>
      </c>
      <c r="F101" t="str">
        <f>SD!G$61</f>
        <v>AUG</v>
      </c>
      <c r="G101" t="str">
        <f>SD!H$61</f>
        <v>SEP</v>
      </c>
      <c r="H101" t="str">
        <f>SD!I$61</f>
        <v>OCT</v>
      </c>
      <c r="I101" t="str">
        <f>SD!J$61</f>
        <v>NOV</v>
      </c>
      <c r="J101" t="str">
        <f>SD!K$61</f>
        <v>DEC</v>
      </c>
      <c r="K101" t="str">
        <f>SD!L$61</f>
        <v>JAN'27</v>
      </c>
      <c r="L101" t="str">
        <f>SD!M$61</f>
        <v>FEB'27</v>
      </c>
      <c r="M101" t="str">
        <f>SD!N$61</f>
        <v>MAR'27</v>
      </c>
      <c r="N101" t="str">
        <f>SD!O$61</f>
        <v>APR'27</v>
      </c>
      <c r="O101" t="str">
        <f>SD!P$61</f>
        <v>MAY'27</v>
      </c>
      <c r="P101" t="str">
        <f>SD!Q$61</f>
        <v>JUN'27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3.5</v>
      </c>
      <c r="C103">
        <f>SD!D81</f>
        <v>3.53</v>
      </c>
      <c r="D103">
        <f>SD!E81</f>
        <v>3.48</v>
      </c>
      <c r="E103">
        <f>SD!F81</f>
        <v>3.5049999999999999</v>
      </c>
      <c r="F103">
        <f>SD!G81</f>
        <v>4.3550000000000004</v>
      </c>
      <c r="G103">
        <f>SD!H81</f>
        <v>4.4424999999999999</v>
      </c>
      <c r="H103">
        <f>SD!I81</f>
        <v>4.8949999999999996</v>
      </c>
      <c r="I103">
        <f>SD!J81</f>
        <v>4.5449999999999999</v>
      </c>
      <c r="J103">
        <f>SD!K81</f>
        <v>4.0199999999999996</v>
      </c>
      <c r="K103">
        <f>SD!L81</f>
        <v>2.5625</v>
      </c>
      <c r="L103">
        <f>SD!M81</f>
        <v>2.2374999999999998</v>
      </c>
      <c r="M103">
        <f>SD!N81</f>
        <v>1.9375</v>
      </c>
      <c r="N103">
        <f>SD!O81</f>
        <v>1.3875</v>
      </c>
      <c r="O103">
        <f>SD!P81</f>
        <v>1.0125</v>
      </c>
      <c r="P103">
        <f>SD!Q81</f>
        <v>1.0125</v>
      </c>
    </row>
    <row r="104" spans="1:16" s="63" customFormat="1" x14ac:dyDescent="0.2">
      <c r="A104" s="63" t="s">
        <v>24</v>
      </c>
      <c r="B104" s="64">
        <f>B102-B103</f>
        <v>0.5</v>
      </c>
      <c r="C104" s="64">
        <f t="shared" ref="C104:P104" si="10">C102-C103</f>
        <v>0.4700000000000002</v>
      </c>
      <c r="D104" s="64">
        <f t="shared" si="10"/>
        <v>0.52</v>
      </c>
      <c r="E104" s="64">
        <f t="shared" si="10"/>
        <v>0.49500000000000011</v>
      </c>
      <c r="F104" s="64">
        <f t="shared" si="10"/>
        <v>-0.35500000000000043</v>
      </c>
      <c r="G104" s="64">
        <f t="shared" si="10"/>
        <v>-0.44249999999999989</v>
      </c>
      <c r="H104" s="64">
        <f t="shared" si="10"/>
        <v>-0.89499999999999957</v>
      </c>
      <c r="I104" s="64">
        <f t="shared" si="10"/>
        <v>-0.54499999999999993</v>
      </c>
      <c r="J104" s="64">
        <f t="shared" si="10"/>
        <v>-1.9999999999999574E-2</v>
      </c>
      <c r="K104" s="64">
        <f t="shared" si="10"/>
        <v>1.4375</v>
      </c>
      <c r="L104" s="64">
        <f t="shared" si="10"/>
        <v>1.7625000000000002</v>
      </c>
      <c r="M104" s="64">
        <f t="shared" si="10"/>
        <v>2.0625</v>
      </c>
      <c r="N104" s="64">
        <f t="shared" si="10"/>
        <v>2.6124999999999998</v>
      </c>
      <c r="O104" s="64">
        <f t="shared" si="10"/>
        <v>2.9874999999999998</v>
      </c>
      <c r="P104" s="64">
        <f t="shared" si="10"/>
        <v>2.9874999999999998</v>
      </c>
    </row>
    <row r="105" spans="1:16" s="56" customFormat="1" x14ac:dyDescent="0.2">
      <c r="B105" s="56" t="str">
        <f>B$155</f>
        <v>Q2</v>
      </c>
      <c r="C105" s="56" t="str">
        <f t="shared" ref="C105:F105" si="11">C$155</f>
        <v>Q3</v>
      </c>
      <c r="D105" s="56" t="str">
        <f t="shared" si="11"/>
        <v>Q4</v>
      </c>
      <c r="E105" s="56" t="str">
        <f t="shared" si="11"/>
        <v>Q1'27</v>
      </c>
      <c r="F105" s="56" t="str">
        <f t="shared" si="11"/>
        <v>Q2'27</v>
      </c>
    </row>
    <row r="106" spans="1:16" s="56" customFormat="1" x14ac:dyDescent="0.2">
      <c r="A106" s="56" t="str">
        <f>$A$156</f>
        <v>% Plan</v>
      </c>
      <c r="B106" s="56">
        <f>(AVERAGE(B103:D103)/AVERAGE(B102:D102))*100</f>
        <v>87.583333333333329</v>
      </c>
      <c r="C106" s="56">
        <f>(AVERAGE(E103:G103)/AVERAGE(E102:G102))*100</f>
        <v>102.52083333333333</v>
      </c>
      <c r="D106" s="56">
        <f>(AVERAGE(H103:J103)/AVERAGE(H102:J102))*100</f>
        <v>112.16666666666666</v>
      </c>
      <c r="E106" s="56">
        <f>(AVERAGE(K103:M103)/AVERAGE(K102:M102))*100</f>
        <v>56.145833333333329</v>
      </c>
      <c r="F106" s="56">
        <f>(AVERAGE(N103:P103)/AVERAGE(N102:P102))*100</f>
        <v>28.4375</v>
      </c>
    </row>
    <row r="111" spans="1:16" x14ac:dyDescent="0.2">
      <c r="A111" s="55" t="str">
        <f>SD!A82</f>
        <v>Technology Analyst</v>
      </c>
      <c r="B111" t="str">
        <f>SD!C$61</f>
        <v>APR</v>
      </c>
      <c r="C111" t="str">
        <f>SD!D$61</f>
        <v>MAY</v>
      </c>
      <c r="D111" t="str">
        <f>SD!E$61</f>
        <v>JUN</v>
      </c>
      <c r="E111" t="str">
        <f>SD!F$61</f>
        <v>JUL</v>
      </c>
      <c r="F111" t="str">
        <f>SD!G$61</f>
        <v>AUG</v>
      </c>
      <c r="G111" t="str">
        <f>SD!H$61</f>
        <v>SEP</v>
      </c>
      <c r="H111" t="str">
        <f>SD!I$61</f>
        <v>OCT</v>
      </c>
      <c r="I111" t="str">
        <f>SD!J$61</f>
        <v>NOV</v>
      </c>
      <c r="J111" t="str">
        <f>SD!K$61</f>
        <v>DEC</v>
      </c>
      <c r="K111" t="str">
        <f>SD!L$61</f>
        <v>JAN'27</v>
      </c>
      <c r="L111" t="str">
        <f>SD!M$61</f>
        <v>FEB'27</v>
      </c>
      <c r="M111" t="str">
        <f>SD!N$61</f>
        <v>MAR'27</v>
      </c>
      <c r="N111" t="str">
        <f>SD!O$61</f>
        <v>APR'27</v>
      </c>
      <c r="O111" t="str">
        <f>SD!P$61</f>
        <v>MAY'27</v>
      </c>
      <c r="P111" t="str">
        <f>SD!Q$61</f>
        <v>JUN'27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6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5.0875000000000004</v>
      </c>
      <c r="C113">
        <f>SD!D83</f>
        <v>5.4625000000000004</v>
      </c>
      <c r="D113">
        <f>SD!E83</f>
        <v>5.1375000000000002</v>
      </c>
      <c r="E113">
        <f>SD!F83</f>
        <v>4.9050000000000002</v>
      </c>
      <c r="F113">
        <f>SD!G83</f>
        <v>5.9024999999999999</v>
      </c>
      <c r="G113">
        <f>SD!H83</f>
        <v>5.54</v>
      </c>
      <c r="H113">
        <f>SD!I83</f>
        <v>5.1150000000000002</v>
      </c>
      <c r="I113">
        <f>SD!J83</f>
        <v>5.1150000000000002</v>
      </c>
      <c r="J113">
        <f>SD!K83</f>
        <v>5.1150000000000002</v>
      </c>
      <c r="K113">
        <f>SD!L83</f>
        <v>3.6524999999999999</v>
      </c>
      <c r="L113">
        <f>SD!M83</f>
        <v>3.6524999999999999</v>
      </c>
      <c r="M113">
        <f>SD!N83</f>
        <v>3.6524999999999999</v>
      </c>
      <c r="N113">
        <f>SD!O83</f>
        <v>3.4024999999999999</v>
      </c>
      <c r="O113">
        <f>SD!P83</f>
        <v>3.1524999999999999</v>
      </c>
      <c r="P113">
        <f>SD!Q83</f>
        <v>3.1524999999999999</v>
      </c>
    </row>
    <row r="114" spans="1:16" s="63" customFormat="1" x14ac:dyDescent="0.2">
      <c r="A114" s="63" t="s">
        <v>24</v>
      </c>
      <c r="B114" s="64">
        <f>B112-B113</f>
        <v>-8.7500000000000355E-2</v>
      </c>
      <c r="C114" s="64">
        <f t="shared" ref="C114:P114" si="12">C112-C113</f>
        <v>0.53749999999999964</v>
      </c>
      <c r="D114" s="64">
        <f t="shared" si="12"/>
        <v>-0.13750000000000018</v>
      </c>
      <c r="E114" s="64">
        <f t="shared" si="12"/>
        <v>9.4999999999999751E-2</v>
      </c>
      <c r="F114" s="64">
        <f t="shared" si="12"/>
        <v>-0.90249999999999986</v>
      </c>
      <c r="G114" s="64">
        <f t="shared" si="12"/>
        <v>-0.54</v>
      </c>
      <c r="H114" s="64">
        <f t="shared" si="12"/>
        <v>-0.11500000000000021</v>
      </c>
      <c r="I114" s="64">
        <f t="shared" si="12"/>
        <v>-0.11500000000000021</v>
      </c>
      <c r="J114" s="64">
        <f t="shared" si="12"/>
        <v>-0.11500000000000021</v>
      </c>
      <c r="K114" s="64">
        <f t="shared" si="12"/>
        <v>1.3475000000000001</v>
      </c>
      <c r="L114" s="64">
        <f t="shared" si="12"/>
        <v>1.3475000000000001</v>
      </c>
      <c r="M114" s="64">
        <f t="shared" si="12"/>
        <v>1.3475000000000001</v>
      </c>
      <c r="N114" s="64">
        <f t="shared" si="12"/>
        <v>1.5975000000000001</v>
      </c>
      <c r="O114" s="64">
        <f t="shared" si="12"/>
        <v>1.8475000000000001</v>
      </c>
      <c r="P114" s="64">
        <f t="shared" si="12"/>
        <v>1.8475000000000001</v>
      </c>
    </row>
    <row r="115" spans="1:16" s="56" customFormat="1" x14ac:dyDescent="0.2">
      <c r="B115" s="56" t="str">
        <f>B$155</f>
        <v>Q2</v>
      </c>
      <c r="C115" s="56" t="str">
        <f t="shared" ref="C115:F115" si="13">C$155</f>
        <v>Q3</v>
      </c>
      <c r="D115" s="56" t="str">
        <f t="shared" si="13"/>
        <v>Q4</v>
      </c>
      <c r="E115" s="56" t="str">
        <f t="shared" si="13"/>
        <v>Q1'27</v>
      </c>
      <c r="F115" s="56" t="str">
        <f t="shared" si="13"/>
        <v>Q2'27</v>
      </c>
    </row>
    <row r="116" spans="1:16" s="56" customFormat="1" x14ac:dyDescent="0.2">
      <c r="A116" s="56" t="str">
        <f>$A$156</f>
        <v>% Plan</v>
      </c>
      <c r="B116" s="56">
        <f>(AVERAGE(B113:D113)/AVERAGE(B112:D112))*100</f>
        <v>98.046875000000014</v>
      </c>
      <c r="C116" s="56">
        <f>(AVERAGE(E113:G113)/AVERAGE(E112:G112))*100</f>
        <v>108.98333333333335</v>
      </c>
      <c r="D116" s="56">
        <f>(AVERAGE(H113:J113)/AVERAGE(H112:J112))*100</f>
        <v>102.30000000000001</v>
      </c>
      <c r="E116" s="56">
        <f>(AVERAGE(K113:M113)/AVERAGE(K112:M112))*100</f>
        <v>73.05</v>
      </c>
      <c r="F116" s="56">
        <f>(AVERAGE(N113:P113)/AVERAGE(N112:P112))*100</f>
        <v>64.716666666666669</v>
      </c>
    </row>
    <row r="121" spans="1:16" x14ac:dyDescent="0.2">
      <c r="A121" s="55" t="str">
        <f>SD!A84</f>
        <v>Technology QA</v>
      </c>
      <c r="B121" t="str">
        <f>SD!C$61</f>
        <v>APR</v>
      </c>
      <c r="C121" t="str">
        <f>SD!D$61</f>
        <v>MAY</v>
      </c>
      <c r="D121" t="str">
        <f>SD!E$61</f>
        <v>JUN</v>
      </c>
      <c r="E121" t="str">
        <f>SD!F$61</f>
        <v>JUL</v>
      </c>
      <c r="F121" t="str">
        <f>SD!G$61</f>
        <v>AUG</v>
      </c>
      <c r="G121" t="str">
        <f>SD!H$61</f>
        <v>SEP</v>
      </c>
      <c r="H121" t="str">
        <f>SD!I$61</f>
        <v>OCT</v>
      </c>
      <c r="I121" t="str">
        <f>SD!J$61</f>
        <v>NOV</v>
      </c>
      <c r="J121" t="str">
        <f>SD!K$61</f>
        <v>DEC</v>
      </c>
      <c r="K121" t="str">
        <f>SD!L$61</f>
        <v>JAN'27</v>
      </c>
      <c r="L121" t="str">
        <f>SD!M$61</f>
        <v>FEB'27</v>
      </c>
      <c r="M121" t="str">
        <f>SD!N$61</f>
        <v>MAR'27</v>
      </c>
      <c r="N121" t="str">
        <f>SD!O$61</f>
        <v>APR'27</v>
      </c>
      <c r="O121" t="str">
        <f>SD!P$61</f>
        <v>MAY'27</v>
      </c>
      <c r="P121" t="str">
        <f>SD!Q$61</f>
        <v>JUN'27</v>
      </c>
    </row>
    <row r="122" spans="1:16" x14ac:dyDescent="0.2">
      <c r="A122" t="str">
        <f>SD!B84</f>
        <v>Staff</v>
      </c>
      <c r="B122">
        <f>SD!C84</f>
        <v>12</v>
      </c>
      <c r="C122">
        <f>SD!D84</f>
        <v>14</v>
      </c>
      <c r="D122">
        <f>SD!E84</f>
        <v>17</v>
      </c>
      <c r="E122">
        <f>SD!F84</f>
        <v>18</v>
      </c>
      <c r="F122">
        <f>SD!G84</f>
        <v>18</v>
      </c>
      <c r="G122">
        <f>SD!H84</f>
        <v>18</v>
      </c>
      <c r="H122">
        <f>SD!I84</f>
        <v>18</v>
      </c>
      <c r="I122">
        <f>SD!J84</f>
        <v>18</v>
      </c>
      <c r="J122">
        <f>SD!K84</f>
        <v>18</v>
      </c>
      <c r="K122">
        <f>SD!L84</f>
        <v>18</v>
      </c>
      <c r="L122">
        <f>SD!M84</f>
        <v>18</v>
      </c>
      <c r="M122">
        <f>SD!N84</f>
        <v>18</v>
      </c>
      <c r="N122">
        <f>SD!O84</f>
        <v>18</v>
      </c>
      <c r="O122">
        <f>SD!P84</f>
        <v>18</v>
      </c>
      <c r="P122">
        <f>SD!Q84</f>
        <v>18</v>
      </c>
    </row>
    <row r="123" spans="1:16" x14ac:dyDescent="0.2">
      <c r="A123" t="str">
        <f>SD!B85</f>
        <v>Plan</v>
      </c>
      <c r="B123">
        <f>SD!C85</f>
        <v>11.234999999999999</v>
      </c>
      <c r="C123">
        <f>SD!D85</f>
        <v>13.49</v>
      </c>
      <c r="D123">
        <f>SD!E85</f>
        <v>14.86</v>
      </c>
      <c r="E123">
        <f>SD!F85</f>
        <v>16.059999999999999</v>
      </c>
      <c r="F123">
        <f>SD!G85</f>
        <v>20.76</v>
      </c>
      <c r="G123">
        <f>SD!H85</f>
        <v>20.434999999999999</v>
      </c>
      <c r="H123">
        <f>SD!I85</f>
        <v>20.350000000000001</v>
      </c>
      <c r="I123">
        <f>SD!J85</f>
        <v>18.074999999999999</v>
      </c>
      <c r="J123">
        <f>SD!K85</f>
        <v>17.824999999999999</v>
      </c>
      <c r="K123">
        <f>SD!L85</f>
        <v>12.824999999999999</v>
      </c>
      <c r="L123">
        <f>SD!M85</f>
        <v>12.824999999999999</v>
      </c>
      <c r="M123">
        <f>SD!N85</f>
        <v>12.824999999999999</v>
      </c>
      <c r="N123">
        <f>SD!O85</f>
        <v>2.3250000000000002</v>
      </c>
      <c r="O123">
        <f>SD!P85</f>
        <v>2.3250000000000002</v>
      </c>
      <c r="P123">
        <f>SD!Q85</f>
        <v>2.3250000000000002</v>
      </c>
    </row>
    <row r="124" spans="1:16" s="63" customFormat="1" x14ac:dyDescent="0.2">
      <c r="A124" s="63" t="s">
        <v>24</v>
      </c>
      <c r="B124" s="64">
        <f>B122-B123</f>
        <v>0.76500000000000057</v>
      </c>
      <c r="C124" s="64">
        <f t="shared" ref="C124:P124" si="14">C122-C123</f>
        <v>0.50999999999999979</v>
      </c>
      <c r="D124" s="64">
        <f t="shared" si="14"/>
        <v>2.1400000000000006</v>
      </c>
      <c r="E124" s="64">
        <f t="shared" si="14"/>
        <v>1.9400000000000013</v>
      </c>
      <c r="F124" s="64">
        <f t="shared" si="14"/>
        <v>-2.7600000000000016</v>
      </c>
      <c r="G124" s="64">
        <f t="shared" si="14"/>
        <v>-2.4349999999999987</v>
      </c>
      <c r="H124" s="64">
        <f t="shared" si="14"/>
        <v>-2.3500000000000014</v>
      </c>
      <c r="I124" s="64">
        <f t="shared" si="14"/>
        <v>-7.4999999999999289E-2</v>
      </c>
      <c r="J124" s="64">
        <f t="shared" si="14"/>
        <v>0.17500000000000071</v>
      </c>
      <c r="K124" s="64">
        <f t="shared" si="14"/>
        <v>5.1750000000000007</v>
      </c>
      <c r="L124" s="64">
        <f t="shared" si="14"/>
        <v>5.1750000000000007</v>
      </c>
      <c r="M124" s="64">
        <f t="shared" si="14"/>
        <v>5.1750000000000007</v>
      </c>
      <c r="N124" s="64">
        <f t="shared" si="14"/>
        <v>15.675000000000001</v>
      </c>
      <c r="O124" s="64">
        <f t="shared" si="14"/>
        <v>15.675000000000001</v>
      </c>
      <c r="P124" s="64">
        <f t="shared" si="14"/>
        <v>15.675000000000001</v>
      </c>
    </row>
    <row r="125" spans="1:16" s="56" customFormat="1" x14ac:dyDescent="0.2">
      <c r="B125" s="56" t="str">
        <f>B$155</f>
        <v>Q2</v>
      </c>
      <c r="C125" s="56" t="str">
        <f t="shared" ref="C125:F125" si="15">C$155</f>
        <v>Q3</v>
      </c>
      <c r="D125" s="56" t="str">
        <f t="shared" si="15"/>
        <v>Q4</v>
      </c>
      <c r="E125" s="56" t="str">
        <f t="shared" si="15"/>
        <v>Q1'27</v>
      </c>
      <c r="F125" s="56" t="str">
        <f t="shared" si="15"/>
        <v>Q2'27</v>
      </c>
    </row>
    <row r="126" spans="1:16" s="56" customFormat="1" x14ac:dyDescent="0.2">
      <c r="A126" s="56" t="str">
        <f>$A$156</f>
        <v>% Plan</v>
      </c>
      <c r="B126" s="56">
        <f>(AVERAGE(B123:D123)/AVERAGE(B122:D122))*100</f>
        <v>92.058139534883722</v>
      </c>
      <c r="C126" s="56">
        <f>(AVERAGE(E123:G123)/AVERAGE(E122:G122))*100</f>
        <v>106.02777777777777</v>
      </c>
      <c r="D126" s="56">
        <f>(AVERAGE(H123:J123)/AVERAGE(H122:J122))*100</f>
        <v>104.16666666666667</v>
      </c>
      <c r="E126" s="56">
        <f>(AVERAGE(K123:M123)/AVERAGE(K122:M122))*100</f>
        <v>71.249999999999986</v>
      </c>
      <c r="F126" s="56">
        <f>(AVERAGE(N123:P123)/AVERAGE(N122:P122))*100</f>
        <v>12.916666666666668</v>
      </c>
    </row>
    <row r="131" spans="1:16" x14ac:dyDescent="0.2">
      <c r="A131" s="55" t="str">
        <f>SD!A92</f>
        <v>Technology Management</v>
      </c>
      <c r="B131" t="str">
        <f>SD!C$61</f>
        <v>APR</v>
      </c>
      <c r="C131" t="str">
        <f>SD!D$61</f>
        <v>MAY</v>
      </c>
      <c r="D131" t="str">
        <f>SD!E$61</f>
        <v>JUN</v>
      </c>
      <c r="E131" t="str">
        <f>SD!F$61</f>
        <v>JUL</v>
      </c>
      <c r="F131" t="str">
        <f>SD!G$61</f>
        <v>AUG</v>
      </c>
      <c r="G131" t="str">
        <f>SD!H$61</f>
        <v>SEP</v>
      </c>
      <c r="H131" t="str">
        <f>SD!I$61</f>
        <v>OCT</v>
      </c>
      <c r="I131" t="str">
        <f>SD!J$61</f>
        <v>NOV</v>
      </c>
      <c r="J131" t="str">
        <f>SD!K$61</f>
        <v>DEC</v>
      </c>
      <c r="K131" t="str">
        <f>SD!L$61</f>
        <v>JAN'27</v>
      </c>
      <c r="L131" t="str">
        <f>SD!M$61</f>
        <v>FEB'27</v>
      </c>
      <c r="M131" t="str">
        <f>SD!N$61</f>
        <v>MAR'27</v>
      </c>
      <c r="N131" t="str">
        <f>SD!O$61</f>
        <v>APR'27</v>
      </c>
      <c r="O131" t="str">
        <f>SD!P$61</f>
        <v>MAY'27</v>
      </c>
      <c r="P131" t="str">
        <f>SD!Q$61</f>
        <v>JUN'27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3.07</v>
      </c>
      <c r="C133">
        <f>SD!D93</f>
        <v>3.07</v>
      </c>
      <c r="D133">
        <f>SD!E93</f>
        <v>3.24</v>
      </c>
      <c r="E133">
        <f>SD!F93</f>
        <v>3.13</v>
      </c>
      <c r="F133">
        <f>SD!G93</f>
        <v>3.13</v>
      </c>
      <c r="G133">
        <f>SD!H93</f>
        <v>3.34</v>
      </c>
      <c r="H133">
        <f>SD!I93</f>
        <v>3.61</v>
      </c>
      <c r="I133">
        <f>SD!J93</f>
        <v>3.73</v>
      </c>
      <c r="J133">
        <f>SD!K93</f>
        <v>3.73</v>
      </c>
      <c r="K133">
        <f>SD!L93</f>
        <v>3.73</v>
      </c>
      <c r="L133">
        <f>SD!M93</f>
        <v>3.73</v>
      </c>
      <c r="M133">
        <f>SD!N93</f>
        <v>3.73</v>
      </c>
      <c r="N133">
        <f>SD!O93</f>
        <v>4.8849999999999998</v>
      </c>
      <c r="O133">
        <f>SD!P93</f>
        <v>4.8849999999999998</v>
      </c>
      <c r="P133">
        <f>SD!Q93</f>
        <v>4.8849999999999998</v>
      </c>
    </row>
    <row r="134" spans="1:16" s="63" customFormat="1" x14ac:dyDescent="0.2">
      <c r="A134" s="63" t="s">
        <v>24</v>
      </c>
      <c r="B134" s="64">
        <f>B132-B133</f>
        <v>0.93000000000000016</v>
      </c>
      <c r="C134" s="64">
        <f t="shared" ref="C134:P134" si="16">C132-C133</f>
        <v>0.93000000000000016</v>
      </c>
      <c r="D134" s="64">
        <f t="shared" si="16"/>
        <v>0.75999999999999979</v>
      </c>
      <c r="E134" s="64">
        <f t="shared" si="16"/>
        <v>0.87000000000000011</v>
      </c>
      <c r="F134" s="64">
        <f t="shared" si="16"/>
        <v>0.87000000000000011</v>
      </c>
      <c r="G134" s="64">
        <f t="shared" si="16"/>
        <v>0.66000000000000014</v>
      </c>
      <c r="H134" s="64">
        <f t="shared" si="16"/>
        <v>0.39000000000000012</v>
      </c>
      <c r="I134" s="64">
        <f t="shared" si="16"/>
        <v>0.27</v>
      </c>
      <c r="J134" s="64">
        <f t="shared" si="16"/>
        <v>0.27</v>
      </c>
      <c r="K134" s="64">
        <f t="shared" si="16"/>
        <v>0.27</v>
      </c>
      <c r="L134" s="64">
        <f t="shared" si="16"/>
        <v>0.27</v>
      </c>
      <c r="M134" s="64">
        <f t="shared" si="16"/>
        <v>0.27</v>
      </c>
      <c r="N134" s="64">
        <f t="shared" si="16"/>
        <v>-0.88499999999999979</v>
      </c>
      <c r="O134" s="64">
        <f t="shared" si="16"/>
        <v>-0.88499999999999979</v>
      </c>
      <c r="P134" s="64">
        <f t="shared" si="16"/>
        <v>-0.88499999999999979</v>
      </c>
    </row>
    <row r="135" spans="1:16" s="56" customFormat="1" x14ac:dyDescent="0.2">
      <c r="B135" s="56" t="str">
        <f>B$155</f>
        <v>Q2</v>
      </c>
      <c r="C135" s="56" t="str">
        <f t="shared" ref="C135:F135" si="17">C$155</f>
        <v>Q3</v>
      </c>
      <c r="D135" s="56" t="str">
        <f t="shared" si="17"/>
        <v>Q4</v>
      </c>
      <c r="E135" s="56" t="str">
        <f t="shared" si="17"/>
        <v>Q1'27</v>
      </c>
      <c r="F135" s="56" t="str">
        <f t="shared" si="17"/>
        <v>Q2'27</v>
      </c>
    </row>
    <row r="136" spans="1:16" s="56" customFormat="1" x14ac:dyDescent="0.2">
      <c r="A136" s="56" t="str">
        <f>$A$156</f>
        <v>% Plan</v>
      </c>
      <c r="B136" s="56">
        <f>(AVERAGE(B133:D133)/AVERAGE(B132:D132))*100</f>
        <v>78.166666666666657</v>
      </c>
      <c r="C136" s="56">
        <f>(AVERAGE(E133:G133)/AVERAGE(E132:G132))*100</f>
        <v>80</v>
      </c>
      <c r="D136" s="56">
        <f>(AVERAGE(H133:J133)/AVERAGE(H132:J132))*100</f>
        <v>92.25</v>
      </c>
      <c r="E136" s="56">
        <f>(AVERAGE(K133:M133)/AVERAGE(K132:M132))*100</f>
        <v>93.25</v>
      </c>
      <c r="F136" s="56">
        <f>(AVERAGE(N133:P133)/AVERAGE(N132:P132))*100</f>
        <v>122.125</v>
      </c>
    </row>
    <row r="151" spans="1:16" x14ac:dyDescent="0.2">
      <c r="B151" t="str">
        <f>SD!C1</f>
        <v>APR</v>
      </c>
      <c r="C151" t="str">
        <f>SD!D1</f>
        <v>MAY</v>
      </c>
      <c r="D151" t="str">
        <f>SD!E1</f>
        <v>JUN</v>
      </c>
      <c r="E151" t="str">
        <f>SD!F1</f>
        <v>JUL</v>
      </c>
      <c r="F151" t="str">
        <f>SD!G1</f>
        <v>AUG</v>
      </c>
      <c r="G151" t="str">
        <f>SD!H1</f>
        <v>SEP</v>
      </c>
      <c r="H151" t="str">
        <f>SD!I1</f>
        <v>OCT</v>
      </c>
      <c r="I151" t="str">
        <f>SD!J1</f>
        <v>NOV</v>
      </c>
      <c r="J151" t="str">
        <f>SD!K1</f>
        <v>DEC</v>
      </c>
      <c r="K151" t="str">
        <f>SD!L1</f>
        <v>JAN'27</v>
      </c>
      <c r="L151" t="str">
        <f>SD!M1</f>
        <v>FEB'27</v>
      </c>
      <c r="M151" t="str">
        <f>SD!N1</f>
        <v>MAR'27</v>
      </c>
      <c r="N151" t="str">
        <f>SD!O1</f>
        <v>APR'27</v>
      </c>
      <c r="O151" t="str">
        <f>SD!P1</f>
        <v>MAY'27</v>
      </c>
      <c r="P151" t="str">
        <f>SD!Q1</f>
        <v>JUN'27</v>
      </c>
    </row>
    <row r="152" spans="1:16" x14ac:dyDescent="0.2">
      <c r="A152" t="str">
        <f>SD!B6</f>
        <v>% Plan</v>
      </c>
      <c r="B152">
        <f>SD!C6*100</f>
        <v>90.98</v>
      </c>
      <c r="C152">
        <f>SD!D6*100</f>
        <v>92.43</v>
      </c>
      <c r="D152">
        <f>SD!E6*100</f>
        <v>90.22</v>
      </c>
      <c r="E152">
        <f>SD!F6*100</f>
        <v>87.63</v>
      </c>
      <c r="F152">
        <f>SD!G6*100</f>
        <v>103.02</v>
      </c>
      <c r="G152">
        <f>SD!H6*100</f>
        <v>101.16000000000001</v>
      </c>
      <c r="H152">
        <f>SD!I6*100</f>
        <v>101.86</v>
      </c>
      <c r="I152">
        <f>SD!J6*100</f>
        <v>95.009999999999991</v>
      </c>
      <c r="J152">
        <f>SD!K6*100</f>
        <v>92.53</v>
      </c>
      <c r="K152">
        <f>SD!L6*100</f>
        <v>70.569999999999993</v>
      </c>
      <c r="L152">
        <f>SD!M6*100</f>
        <v>68.7</v>
      </c>
      <c r="M152">
        <f>SD!N6*100</f>
        <v>67.849999999999994</v>
      </c>
      <c r="N152">
        <f>SD!O6*100</f>
        <v>41.78</v>
      </c>
      <c r="O152">
        <f>SD!P6*100</f>
        <v>39.97</v>
      </c>
      <c r="P152">
        <f>SD!Q6*100</f>
        <v>39.97</v>
      </c>
    </row>
    <row r="153" spans="1:16" x14ac:dyDescent="0.2">
      <c r="A153" t="str">
        <f>SD!B7</f>
        <v>Available FTE</v>
      </c>
      <c r="B153">
        <f>SD!C7</f>
        <v>4</v>
      </c>
      <c r="C153">
        <f>SD!D7</f>
        <v>4</v>
      </c>
      <c r="D153">
        <f>SD!E7</f>
        <v>5</v>
      </c>
      <c r="E153">
        <f>SD!F7</f>
        <v>7</v>
      </c>
      <c r="F153">
        <f>SD!G7</f>
        <v>-2</v>
      </c>
      <c r="G153">
        <f>SD!H7</f>
        <v>-1</v>
      </c>
      <c r="H153">
        <f>SD!I7</f>
        <v>-1</v>
      </c>
      <c r="I153">
        <f>SD!J7</f>
        <v>3</v>
      </c>
      <c r="J153">
        <f>SD!K7</f>
        <v>4</v>
      </c>
      <c r="K153">
        <f>SD!L7</f>
        <v>16</v>
      </c>
      <c r="L153">
        <f>SD!M7</f>
        <v>17</v>
      </c>
      <c r="M153">
        <f>SD!N7</f>
        <v>17</v>
      </c>
      <c r="N153">
        <f>SD!O7</f>
        <v>31</v>
      </c>
      <c r="O153">
        <f>SD!P7</f>
        <v>32</v>
      </c>
      <c r="P153">
        <f>SD!Q7</f>
        <v>32</v>
      </c>
    </row>
    <row r="155" spans="1:16" x14ac:dyDescent="0.2">
      <c r="B155" t="str">
        <f>SD!C31</f>
        <v>Q2</v>
      </c>
      <c r="C155" t="str">
        <f>SD!D31</f>
        <v>Q3</v>
      </c>
      <c r="D155" t="str">
        <f>SD!E31</f>
        <v>Q4</v>
      </c>
      <c r="E155" t="str">
        <f>SD!F31</f>
        <v>Q1'27</v>
      </c>
      <c r="F155" t="str">
        <f>SD!G31</f>
        <v>Q2'27</v>
      </c>
    </row>
    <row r="156" spans="1:16" x14ac:dyDescent="0.2">
      <c r="A156" t="str">
        <f>SD!B6</f>
        <v>% Plan</v>
      </c>
      <c r="B156">
        <f>SD!C36*100</f>
        <v>91.2</v>
      </c>
      <c r="C156">
        <f>SD!D36*100</f>
        <v>97.27</v>
      </c>
      <c r="D156">
        <f>SD!E36*100</f>
        <v>96.460000000000008</v>
      </c>
      <c r="E156">
        <f>SD!F36*100</f>
        <v>69.040000000000006</v>
      </c>
      <c r="F156">
        <f>SD!G36*100</f>
        <v>40.57</v>
      </c>
    </row>
    <row r="157" spans="1:16" x14ac:dyDescent="0.2">
      <c r="A157" t="str">
        <f>SD!B7</f>
        <v>Available FTE</v>
      </c>
      <c r="B157">
        <f>SD!C37</f>
        <v>4</v>
      </c>
      <c r="C157">
        <f>SD!D37</f>
        <v>1</v>
      </c>
      <c r="D157">
        <f>SD!E37</f>
        <v>2</v>
      </c>
      <c r="E157">
        <f>SD!F37</f>
        <v>7</v>
      </c>
      <c r="F157">
        <f>SD!G37</f>
        <v>31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workbookViewId="0">
      <pane ySplit="1" topLeftCell="A96" activePane="bottomLeft" state="frozen"/>
      <selection pane="bottomLeft" activeCell="S9" sqref="S9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34</v>
      </c>
      <c r="B2" s="6" t="s">
        <v>16</v>
      </c>
      <c r="C2" s="7">
        <v>21</v>
      </c>
      <c r="D2" s="7">
        <v>21</v>
      </c>
      <c r="E2" s="7">
        <v>21</v>
      </c>
      <c r="F2" s="7">
        <v>19</v>
      </c>
      <c r="G2" s="7">
        <v>19</v>
      </c>
      <c r="H2" s="7">
        <v>19</v>
      </c>
      <c r="I2" s="7">
        <v>19</v>
      </c>
      <c r="J2" s="7">
        <v>19</v>
      </c>
      <c r="K2" s="7">
        <v>19</v>
      </c>
      <c r="L2" s="7">
        <v>20</v>
      </c>
      <c r="M2" s="7">
        <v>20</v>
      </c>
      <c r="N2" s="7">
        <v>20</v>
      </c>
      <c r="O2" s="7">
        <v>20</v>
      </c>
      <c r="P2" s="7">
        <v>20</v>
      </c>
      <c r="Q2" s="7">
        <v>20</v>
      </c>
    </row>
    <row r="3" spans="1:17" x14ac:dyDescent="0.2">
      <c r="A3" s="11" t="s">
        <v>34</v>
      </c>
      <c r="B3" s="8" t="s">
        <v>17</v>
      </c>
      <c r="C3" s="7">
        <v>20</v>
      </c>
      <c r="D3" s="7">
        <v>20</v>
      </c>
      <c r="E3" s="7">
        <v>20</v>
      </c>
      <c r="F3" s="7">
        <v>20</v>
      </c>
      <c r="G3" s="7">
        <v>20</v>
      </c>
      <c r="H3" s="7">
        <v>20</v>
      </c>
      <c r="I3" s="7">
        <v>20</v>
      </c>
      <c r="J3" s="7">
        <v>20</v>
      </c>
      <c r="K3" s="7">
        <v>20</v>
      </c>
      <c r="L3" s="7">
        <v>20</v>
      </c>
      <c r="M3" s="7">
        <v>20</v>
      </c>
      <c r="N3" s="7">
        <v>20</v>
      </c>
      <c r="O3" s="7">
        <v>20.399999999999999</v>
      </c>
      <c r="P3" s="7">
        <v>20.399999999999999</v>
      </c>
      <c r="Q3" s="7">
        <v>20.399999999999999</v>
      </c>
    </row>
    <row r="4" spans="1:17" x14ac:dyDescent="0.2">
      <c r="A4" s="12" t="s">
        <v>34</v>
      </c>
      <c r="B4" s="9" t="s">
        <v>18</v>
      </c>
      <c r="C4" s="7">
        <v>17</v>
      </c>
      <c r="D4" s="7">
        <v>17</v>
      </c>
      <c r="E4" s="7">
        <v>16</v>
      </c>
      <c r="F4" s="7">
        <v>16</v>
      </c>
      <c r="G4" s="7">
        <v>16</v>
      </c>
      <c r="H4" s="7">
        <v>15</v>
      </c>
      <c r="I4" s="7">
        <v>16</v>
      </c>
      <c r="J4" s="7">
        <v>16</v>
      </c>
      <c r="K4" s="7">
        <v>15</v>
      </c>
      <c r="L4" s="7">
        <v>14</v>
      </c>
      <c r="M4" s="7">
        <v>14</v>
      </c>
      <c r="N4" s="7">
        <v>13</v>
      </c>
      <c r="O4" s="7">
        <v>11.445</v>
      </c>
      <c r="P4" s="7">
        <v>11.307499999999999</v>
      </c>
      <c r="Q4" s="7">
        <v>11.307499999999999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0.83279999999999998</v>
      </c>
      <c r="D6" s="18">
        <v>0.8044</v>
      </c>
      <c r="E6" s="18">
        <v>0.77439999999999998</v>
      </c>
      <c r="F6" s="18">
        <v>0.82799999999999996</v>
      </c>
      <c r="G6" s="18">
        <v>0.83330000000000004</v>
      </c>
      <c r="H6" s="18">
        <v>0.78590000000000004</v>
      </c>
      <c r="I6" s="18">
        <v>0.81820000000000004</v>
      </c>
      <c r="J6" s="18">
        <v>0.81620000000000004</v>
      </c>
      <c r="K6" s="18">
        <v>0.81089999999999995</v>
      </c>
      <c r="L6" s="18">
        <v>0.69230000000000003</v>
      </c>
      <c r="M6" s="18">
        <v>0.68540000000000001</v>
      </c>
      <c r="N6" s="18">
        <v>0.64659999999999995</v>
      </c>
      <c r="O6" s="18">
        <v>0.57230000000000003</v>
      </c>
      <c r="P6" s="18">
        <v>0.56540000000000001</v>
      </c>
      <c r="Q6" s="18">
        <v>0.56540000000000001</v>
      </c>
    </row>
    <row r="7" spans="1:17" x14ac:dyDescent="0.2">
      <c r="A7" s="16"/>
      <c r="B7" s="17" t="s">
        <v>24</v>
      </c>
      <c r="C7" s="19">
        <v>4</v>
      </c>
      <c r="D7" s="19">
        <v>4</v>
      </c>
      <c r="E7" s="19">
        <v>5</v>
      </c>
      <c r="F7" s="19">
        <v>3</v>
      </c>
      <c r="G7" s="19">
        <v>3</v>
      </c>
      <c r="H7" s="19">
        <v>4</v>
      </c>
      <c r="I7" s="19">
        <v>3</v>
      </c>
      <c r="J7" s="19">
        <v>3</v>
      </c>
      <c r="K7" s="19">
        <v>4</v>
      </c>
      <c r="L7" s="19">
        <v>6</v>
      </c>
      <c r="M7" s="19">
        <v>6</v>
      </c>
      <c r="N7" s="19">
        <v>7</v>
      </c>
      <c r="O7" s="19">
        <v>9</v>
      </c>
      <c r="P7" s="19">
        <v>9</v>
      </c>
      <c r="Q7" s="19">
        <v>9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21</v>
      </c>
      <c r="D9" s="7">
        <v>21</v>
      </c>
      <c r="E9" s="7">
        <v>21</v>
      </c>
      <c r="F9" s="7">
        <v>19</v>
      </c>
      <c r="G9" s="7">
        <v>19</v>
      </c>
      <c r="H9" s="7">
        <v>19</v>
      </c>
      <c r="I9" s="7">
        <v>19</v>
      </c>
      <c r="J9" s="7">
        <v>19</v>
      </c>
      <c r="K9" s="7">
        <v>19</v>
      </c>
      <c r="L9" s="7">
        <v>20</v>
      </c>
      <c r="M9" s="7">
        <v>20</v>
      </c>
      <c r="N9" s="7">
        <v>20</v>
      </c>
      <c r="O9" s="7">
        <v>20</v>
      </c>
      <c r="P9" s="7">
        <v>20</v>
      </c>
      <c r="Q9" s="7">
        <v>20</v>
      </c>
    </row>
    <row r="10" spans="1:17" x14ac:dyDescent="0.2">
      <c r="A10" s="8" t="s">
        <v>17</v>
      </c>
      <c r="B10" s="11" t="s">
        <v>19</v>
      </c>
      <c r="C10" s="7">
        <v>20</v>
      </c>
      <c r="D10" s="7">
        <v>20</v>
      </c>
      <c r="E10" s="7">
        <v>20</v>
      </c>
      <c r="F10" s="7">
        <v>20</v>
      </c>
      <c r="G10" s="7">
        <v>20</v>
      </c>
      <c r="H10" s="7">
        <v>20</v>
      </c>
      <c r="I10" s="7">
        <v>20</v>
      </c>
      <c r="J10" s="7">
        <v>20</v>
      </c>
      <c r="K10" s="7">
        <v>20</v>
      </c>
      <c r="L10" s="7">
        <v>20</v>
      </c>
      <c r="M10" s="7">
        <v>20</v>
      </c>
      <c r="N10" s="7">
        <v>20</v>
      </c>
      <c r="O10" s="7">
        <v>19.75</v>
      </c>
      <c r="P10" s="7">
        <v>19.75</v>
      </c>
      <c r="Q10" s="7">
        <v>19.75</v>
      </c>
    </row>
    <row r="11" spans="1:17" x14ac:dyDescent="0.2">
      <c r="A11" s="15" t="s">
        <v>18</v>
      </c>
      <c r="B11" s="12" t="s">
        <v>19</v>
      </c>
      <c r="C11" s="7">
        <v>17</v>
      </c>
      <c r="D11" s="7">
        <v>17</v>
      </c>
      <c r="E11" s="7">
        <v>16</v>
      </c>
      <c r="F11" s="7">
        <v>16</v>
      </c>
      <c r="G11" s="7">
        <v>16</v>
      </c>
      <c r="H11" s="7">
        <v>15</v>
      </c>
      <c r="I11" s="7">
        <v>16</v>
      </c>
      <c r="J11" s="7">
        <v>16</v>
      </c>
      <c r="K11" s="7">
        <v>15</v>
      </c>
      <c r="L11" s="7">
        <v>14</v>
      </c>
      <c r="M11" s="7">
        <v>14</v>
      </c>
      <c r="N11" s="7">
        <v>13</v>
      </c>
      <c r="O11" s="7">
        <v>11.445</v>
      </c>
      <c r="P11" s="7">
        <v>11.307499999999999</v>
      </c>
      <c r="Q11" s="7">
        <v>11.307499999999999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30</v>
      </c>
      <c r="B13" s="10" t="s">
        <v>20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</row>
    <row r="14" spans="1:17" x14ac:dyDescent="0.2">
      <c r="A14" s="8" t="s">
        <v>17</v>
      </c>
      <c r="B14" s="11" t="s">
        <v>20</v>
      </c>
      <c r="C14" s="7">
        <v>0</v>
      </c>
      <c r="D14" s="7">
        <v>0</v>
      </c>
      <c r="E14" s="7">
        <v>0</v>
      </c>
      <c r="F14" s="7">
        <v>0</v>
      </c>
      <c r="G14" s="7">
        <v>0</v>
      </c>
      <c r="H14" s="7">
        <v>0</v>
      </c>
      <c r="I14" s="7">
        <v>0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</row>
    <row r="15" spans="1:17" x14ac:dyDescent="0.2">
      <c r="A15" s="15">
        <v>0</v>
      </c>
      <c r="B15" s="12" t="s">
        <v>20</v>
      </c>
      <c r="C15" s="7">
        <v>0</v>
      </c>
      <c r="D15" s="7">
        <v>0</v>
      </c>
      <c r="E15" s="7">
        <v>0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0</v>
      </c>
      <c r="M15" s="7">
        <v>0</v>
      </c>
      <c r="N15" s="7">
        <v>0</v>
      </c>
      <c r="O15" s="7">
        <v>0</v>
      </c>
      <c r="P15" s="7">
        <v>0</v>
      </c>
      <c r="Q15" s="7">
        <v>0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30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183</v>
      </c>
    </row>
    <row r="32" spans="1:17" x14ac:dyDescent="0.2">
      <c r="A32" s="10" t="s">
        <v>34</v>
      </c>
      <c r="B32" s="6" t="s">
        <v>16</v>
      </c>
      <c r="C32" s="20">
        <v>21</v>
      </c>
      <c r="D32" s="20">
        <v>19</v>
      </c>
      <c r="E32" s="20">
        <v>19</v>
      </c>
      <c r="F32" s="20">
        <v>20</v>
      </c>
      <c r="G32" s="20">
        <v>20</v>
      </c>
    </row>
    <row r="33" spans="1:7" x14ac:dyDescent="0.2">
      <c r="A33" s="11" t="s">
        <v>34</v>
      </c>
      <c r="B33" s="8" t="s">
        <v>17</v>
      </c>
      <c r="C33" s="20">
        <v>20</v>
      </c>
      <c r="D33" s="20">
        <v>20</v>
      </c>
      <c r="E33" s="20">
        <v>20</v>
      </c>
      <c r="F33" s="20">
        <v>20</v>
      </c>
      <c r="G33" s="20">
        <v>20</v>
      </c>
    </row>
    <row r="34" spans="1:7" x14ac:dyDescent="0.2">
      <c r="A34" s="12" t="s">
        <v>34</v>
      </c>
      <c r="B34" s="9" t="s">
        <v>18</v>
      </c>
      <c r="C34" s="20">
        <v>17</v>
      </c>
      <c r="D34" s="20">
        <v>15</v>
      </c>
      <c r="E34" s="20">
        <v>15</v>
      </c>
      <c r="F34" s="20">
        <v>13</v>
      </c>
      <c r="G34" s="20">
        <v>11</v>
      </c>
    </row>
    <row r="35" spans="1:7" x14ac:dyDescent="0.2">
      <c r="A35" s="16"/>
      <c r="B35" s="7"/>
      <c r="C35" s="27">
        <v>0.1961</v>
      </c>
      <c r="D35" s="27">
        <v>0.18429999999999999</v>
      </c>
      <c r="E35" s="27">
        <v>0.18490000000000001</v>
      </c>
      <c r="F35" s="27">
        <v>0.32529999999999998</v>
      </c>
      <c r="G35" s="27">
        <v>0.43230000000000002</v>
      </c>
    </row>
    <row r="36" spans="1:7" x14ac:dyDescent="0.2">
      <c r="A36" s="7"/>
      <c r="B36" s="17" t="s">
        <v>23</v>
      </c>
      <c r="C36" s="18">
        <v>0.80389999999999995</v>
      </c>
      <c r="D36" s="18">
        <v>0.81569999999999998</v>
      </c>
      <c r="E36" s="18">
        <v>0.81510000000000005</v>
      </c>
      <c r="F36" s="18">
        <v>0.67479999999999996</v>
      </c>
      <c r="G36" s="18">
        <v>0.56769999999999998</v>
      </c>
    </row>
    <row r="37" spans="1:7" x14ac:dyDescent="0.2">
      <c r="A37" s="16"/>
      <c r="B37" s="17" t="s">
        <v>24</v>
      </c>
      <c r="C37" s="19">
        <v>4</v>
      </c>
      <c r="D37" s="19">
        <v>4</v>
      </c>
      <c r="E37" s="19">
        <v>4</v>
      </c>
      <c r="F37" s="19">
        <v>4</v>
      </c>
      <c r="G37" s="19">
        <v>9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21</v>
      </c>
      <c r="D39" s="20">
        <v>19</v>
      </c>
      <c r="E39" s="20">
        <v>19</v>
      </c>
      <c r="F39" s="20">
        <v>20</v>
      </c>
      <c r="G39" s="20">
        <v>20</v>
      </c>
    </row>
    <row r="40" spans="1:7" x14ac:dyDescent="0.2">
      <c r="A40" s="8" t="s">
        <v>17</v>
      </c>
      <c r="B40" s="11" t="s">
        <v>19</v>
      </c>
      <c r="C40" s="20">
        <v>20</v>
      </c>
      <c r="D40" s="20">
        <v>20</v>
      </c>
      <c r="E40" s="20">
        <v>20</v>
      </c>
      <c r="F40" s="20">
        <v>20</v>
      </c>
      <c r="G40" s="20">
        <v>20</v>
      </c>
    </row>
    <row r="41" spans="1:7" x14ac:dyDescent="0.2">
      <c r="A41" s="15" t="s">
        <v>18</v>
      </c>
      <c r="B41" s="12" t="s">
        <v>19</v>
      </c>
      <c r="C41" s="20">
        <v>17</v>
      </c>
      <c r="D41" s="20">
        <v>15</v>
      </c>
      <c r="E41" s="20">
        <v>15</v>
      </c>
      <c r="F41" s="20">
        <v>13</v>
      </c>
      <c r="G41" s="20">
        <v>11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30</v>
      </c>
      <c r="B43" s="10" t="s">
        <v>20</v>
      </c>
      <c r="C43" s="20">
        <v>0</v>
      </c>
      <c r="D43" s="20">
        <v>0</v>
      </c>
      <c r="E43" s="20">
        <v>0</v>
      </c>
      <c r="F43" s="20">
        <v>0</v>
      </c>
      <c r="G43" s="20">
        <v>0</v>
      </c>
    </row>
    <row r="44" spans="1:7" x14ac:dyDescent="0.2">
      <c r="A44" s="8" t="s">
        <v>17</v>
      </c>
      <c r="B44" s="11" t="s">
        <v>20</v>
      </c>
      <c r="C44" s="20">
        <v>0</v>
      </c>
      <c r="D44" s="20">
        <v>0</v>
      </c>
      <c r="E44" s="20">
        <v>0</v>
      </c>
      <c r="F44" s="20">
        <v>0</v>
      </c>
      <c r="G44" s="20">
        <v>0</v>
      </c>
    </row>
    <row r="45" spans="1:7" x14ac:dyDescent="0.2">
      <c r="A45" s="15">
        <v>0</v>
      </c>
      <c r="B45" s="12" t="s">
        <v>20</v>
      </c>
      <c r="C45" s="20">
        <v>0</v>
      </c>
      <c r="D45" s="20">
        <v>0</v>
      </c>
      <c r="E45" s="20">
        <v>0</v>
      </c>
      <c r="F45" s="20">
        <v>0</v>
      </c>
      <c r="G45" s="20">
        <v>0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30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5" t="s">
        <v>180</v>
      </c>
      <c r="P61" s="5" t="s">
        <v>181</v>
      </c>
      <c r="Q61" s="5" t="s">
        <v>182</v>
      </c>
    </row>
    <row r="62" spans="1:17" x14ac:dyDescent="0.2">
      <c r="A62" s="11"/>
      <c r="B62" s="43" t="s">
        <v>16</v>
      </c>
      <c r="C62" s="11">
        <v>21</v>
      </c>
      <c r="D62" s="11">
        <v>21</v>
      </c>
      <c r="E62" s="11">
        <v>21</v>
      </c>
      <c r="F62" s="11">
        <v>19</v>
      </c>
      <c r="G62" s="11">
        <v>19</v>
      </c>
      <c r="H62" s="11">
        <v>19</v>
      </c>
      <c r="I62" s="11">
        <v>19</v>
      </c>
      <c r="J62" s="11">
        <v>19</v>
      </c>
      <c r="K62" s="11">
        <v>19</v>
      </c>
      <c r="L62" s="11">
        <v>20</v>
      </c>
      <c r="M62" s="11">
        <v>20</v>
      </c>
      <c r="N62" s="11">
        <v>20</v>
      </c>
      <c r="O62" s="11">
        <v>20</v>
      </c>
      <c r="P62" s="11">
        <v>20</v>
      </c>
      <c r="Q62" s="11">
        <v>20</v>
      </c>
    </row>
    <row r="63" spans="1:17" x14ac:dyDescent="0.2">
      <c r="A63" s="34"/>
      <c r="B63" s="44" t="s">
        <v>18</v>
      </c>
      <c r="C63" s="45">
        <v>17.488125</v>
      </c>
      <c r="D63" s="45">
        <v>16.893125000000001</v>
      </c>
      <c r="E63" s="45">
        <v>16.263124999999999</v>
      </c>
      <c r="F63" s="45">
        <v>15.7325</v>
      </c>
      <c r="G63" s="45">
        <v>15.8325</v>
      </c>
      <c r="H63" s="45">
        <v>14.932499999999999</v>
      </c>
      <c r="I63" s="45">
        <v>15.545</v>
      </c>
      <c r="J63" s="45">
        <v>15.5075</v>
      </c>
      <c r="K63" s="45">
        <v>15.407500000000001</v>
      </c>
      <c r="L63" s="45">
        <v>13.845000000000001</v>
      </c>
      <c r="M63" s="45">
        <v>13.7075</v>
      </c>
      <c r="N63" s="45">
        <v>12.932499999999999</v>
      </c>
      <c r="O63" s="45">
        <v>11.445</v>
      </c>
      <c r="P63" s="45">
        <v>11.307499999999999</v>
      </c>
      <c r="Q63" s="45">
        <v>11.307499999999999</v>
      </c>
    </row>
    <row r="64" spans="1:17" x14ac:dyDescent="0.2">
      <c r="A64" s="14" t="s">
        <v>72</v>
      </c>
      <c r="B64" s="6" t="s">
        <v>16</v>
      </c>
      <c r="C64" s="33">
        <v>3</v>
      </c>
      <c r="D64" s="33">
        <v>3</v>
      </c>
      <c r="E64" s="33">
        <v>3</v>
      </c>
      <c r="F64" s="33">
        <v>2</v>
      </c>
      <c r="G64" s="33">
        <v>2</v>
      </c>
      <c r="H64" s="33">
        <v>2</v>
      </c>
      <c r="I64" s="33">
        <v>2</v>
      </c>
      <c r="J64" s="33">
        <v>2</v>
      </c>
      <c r="K64" s="33">
        <v>2</v>
      </c>
      <c r="L64" s="33">
        <v>3</v>
      </c>
      <c r="M64" s="33">
        <v>3</v>
      </c>
      <c r="N64" s="33">
        <v>3</v>
      </c>
      <c r="O64" s="33">
        <v>3</v>
      </c>
      <c r="P64" s="33">
        <v>3</v>
      </c>
      <c r="Q64" s="33">
        <v>3</v>
      </c>
    </row>
    <row r="65" spans="1:17" x14ac:dyDescent="0.2">
      <c r="A65" s="37" t="s">
        <v>72</v>
      </c>
      <c r="B65" s="9" t="s">
        <v>18</v>
      </c>
      <c r="C65" s="7">
        <v>2.9</v>
      </c>
      <c r="D65" s="7">
        <v>2.9</v>
      </c>
      <c r="E65" s="7">
        <v>2.9</v>
      </c>
      <c r="F65" s="7">
        <v>2</v>
      </c>
      <c r="G65" s="7">
        <v>2</v>
      </c>
      <c r="H65" s="7">
        <v>2</v>
      </c>
      <c r="I65" s="7">
        <v>2</v>
      </c>
      <c r="J65" s="7">
        <v>2</v>
      </c>
      <c r="K65" s="7">
        <v>2</v>
      </c>
      <c r="L65" s="7">
        <v>2.9</v>
      </c>
      <c r="M65" s="7">
        <v>2.9</v>
      </c>
      <c r="N65" s="7">
        <v>2.9</v>
      </c>
      <c r="O65" s="7">
        <v>2.9</v>
      </c>
      <c r="P65" s="7">
        <v>2.9</v>
      </c>
      <c r="Q65" s="7">
        <v>2.9</v>
      </c>
    </row>
    <row r="66" spans="1:17" x14ac:dyDescent="0.2">
      <c r="A66" s="14" t="s">
        <v>73</v>
      </c>
      <c r="B66" s="6" t="s">
        <v>16</v>
      </c>
      <c r="C66" s="33">
        <v>8</v>
      </c>
      <c r="D66" s="33">
        <v>8</v>
      </c>
      <c r="E66" s="33">
        <v>8</v>
      </c>
      <c r="F66" s="33">
        <v>8</v>
      </c>
      <c r="G66" s="33">
        <v>8</v>
      </c>
      <c r="H66" s="33">
        <v>8</v>
      </c>
      <c r="I66" s="33">
        <v>8</v>
      </c>
      <c r="J66" s="33">
        <v>8</v>
      </c>
      <c r="K66" s="33">
        <v>8</v>
      </c>
      <c r="L66" s="33">
        <v>8</v>
      </c>
      <c r="M66" s="33">
        <v>8</v>
      </c>
      <c r="N66" s="33">
        <v>8</v>
      </c>
      <c r="O66" s="33">
        <v>8</v>
      </c>
      <c r="P66" s="33">
        <v>8</v>
      </c>
      <c r="Q66" s="33">
        <v>8</v>
      </c>
    </row>
    <row r="67" spans="1:17" x14ac:dyDescent="0.2">
      <c r="A67" s="37" t="s">
        <v>73</v>
      </c>
      <c r="B67" s="9" t="s">
        <v>18</v>
      </c>
      <c r="C67" s="7">
        <v>6.913125</v>
      </c>
      <c r="D67" s="7">
        <v>6.9881250000000001</v>
      </c>
      <c r="E67" s="7">
        <v>6.8881249999999996</v>
      </c>
      <c r="F67" s="7">
        <v>6.1574999999999998</v>
      </c>
      <c r="G67" s="7">
        <v>6.1074999999999999</v>
      </c>
      <c r="H67" s="7">
        <v>6.1074999999999999</v>
      </c>
      <c r="I67" s="7">
        <v>6.42</v>
      </c>
      <c r="J67" s="7">
        <v>6.1325000000000003</v>
      </c>
      <c r="K67" s="7">
        <v>6.1325000000000003</v>
      </c>
      <c r="L67" s="7">
        <v>5.62</v>
      </c>
      <c r="M67" s="7">
        <v>5.4824999999999999</v>
      </c>
      <c r="N67" s="7">
        <v>5.4824999999999999</v>
      </c>
      <c r="O67" s="7">
        <v>4.6449999999999996</v>
      </c>
      <c r="P67" s="7">
        <v>4.5075000000000003</v>
      </c>
      <c r="Q67" s="7">
        <v>4.5075000000000003</v>
      </c>
    </row>
    <row r="68" spans="1:17" x14ac:dyDescent="0.2">
      <c r="A68" s="14" t="s">
        <v>74</v>
      </c>
      <c r="B68" s="6" t="s">
        <v>16</v>
      </c>
      <c r="C68" s="33">
        <v>6</v>
      </c>
      <c r="D68" s="33">
        <v>6</v>
      </c>
      <c r="E68" s="33">
        <v>6</v>
      </c>
      <c r="F68" s="33">
        <v>5</v>
      </c>
      <c r="G68" s="33">
        <v>5</v>
      </c>
      <c r="H68" s="33">
        <v>5</v>
      </c>
      <c r="I68" s="33">
        <v>5</v>
      </c>
      <c r="J68" s="33">
        <v>5</v>
      </c>
      <c r="K68" s="33">
        <v>5</v>
      </c>
      <c r="L68" s="33">
        <v>5</v>
      </c>
      <c r="M68" s="33">
        <v>5</v>
      </c>
      <c r="N68" s="33">
        <v>5</v>
      </c>
      <c r="O68" s="33">
        <v>5</v>
      </c>
      <c r="P68" s="33">
        <v>5</v>
      </c>
      <c r="Q68" s="33">
        <v>5</v>
      </c>
    </row>
    <row r="69" spans="1:17" x14ac:dyDescent="0.2">
      <c r="A69" s="37" t="s">
        <v>74</v>
      </c>
      <c r="B69" s="9" t="s">
        <v>18</v>
      </c>
      <c r="C69" s="7">
        <v>4.4249999999999998</v>
      </c>
      <c r="D69" s="7">
        <v>4.3499999999999996</v>
      </c>
      <c r="E69" s="7">
        <v>4.0999999999999996</v>
      </c>
      <c r="F69" s="7">
        <v>4.2249999999999996</v>
      </c>
      <c r="G69" s="7">
        <v>4.2249999999999996</v>
      </c>
      <c r="H69" s="7">
        <v>4.2249999999999996</v>
      </c>
      <c r="I69" s="7">
        <v>4.125</v>
      </c>
      <c r="J69" s="7">
        <v>4.125</v>
      </c>
      <c r="K69" s="7">
        <v>4.125</v>
      </c>
      <c r="L69" s="7">
        <v>2.875</v>
      </c>
      <c r="M69" s="7">
        <v>2.875</v>
      </c>
      <c r="N69" s="7">
        <v>2.1</v>
      </c>
      <c r="O69" s="7">
        <v>1.85</v>
      </c>
      <c r="P69" s="7">
        <v>1.85</v>
      </c>
      <c r="Q69" s="7">
        <v>1.85</v>
      </c>
    </row>
    <row r="70" spans="1:17" x14ac:dyDescent="0.2">
      <c r="A70" s="14" t="s">
        <v>75</v>
      </c>
      <c r="B70" s="6" t="s">
        <v>16</v>
      </c>
      <c r="C70" s="33">
        <v>4</v>
      </c>
      <c r="D70" s="33">
        <v>4</v>
      </c>
      <c r="E70" s="33">
        <v>4</v>
      </c>
      <c r="F70" s="33">
        <v>4</v>
      </c>
      <c r="G70" s="33">
        <v>4</v>
      </c>
      <c r="H70" s="33">
        <v>4</v>
      </c>
      <c r="I70" s="33">
        <v>4</v>
      </c>
      <c r="J70" s="33">
        <v>4</v>
      </c>
      <c r="K70" s="33">
        <v>4</v>
      </c>
      <c r="L70" s="33">
        <v>4</v>
      </c>
      <c r="M70" s="33">
        <v>4</v>
      </c>
      <c r="N70" s="33">
        <v>4</v>
      </c>
      <c r="O70" s="33">
        <v>4</v>
      </c>
      <c r="P70" s="33">
        <v>4</v>
      </c>
      <c r="Q70" s="33">
        <v>4</v>
      </c>
    </row>
    <row r="71" spans="1:17" x14ac:dyDescent="0.2">
      <c r="A71" s="37" t="s">
        <v>75</v>
      </c>
      <c r="B71" s="9" t="s">
        <v>18</v>
      </c>
      <c r="C71" s="7">
        <v>3.25</v>
      </c>
      <c r="D71" s="7">
        <v>2.6549999999999998</v>
      </c>
      <c r="E71" s="7">
        <v>2.375</v>
      </c>
      <c r="F71" s="7">
        <v>3.35</v>
      </c>
      <c r="G71" s="7">
        <v>3.5</v>
      </c>
      <c r="H71" s="7">
        <v>2.6</v>
      </c>
      <c r="I71" s="7">
        <v>3</v>
      </c>
      <c r="J71" s="7">
        <v>3.25</v>
      </c>
      <c r="K71" s="7">
        <v>3.15</v>
      </c>
      <c r="L71" s="7">
        <v>2.4500000000000002</v>
      </c>
      <c r="M71" s="7">
        <v>2.4500000000000002</v>
      </c>
      <c r="N71" s="7">
        <v>2.4500000000000002</v>
      </c>
      <c r="O71" s="7">
        <v>2.0499999999999998</v>
      </c>
      <c r="P71" s="7">
        <v>2.0499999999999998</v>
      </c>
      <c r="Q71" s="7">
        <v>2.0499999999999998</v>
      </c>
    </row>
    <row r="72" spans="1:17" x14ac:dyDescent="0.2">
      <c r="A72" s="14" t="s">
        <v>76</v>
      </c>
      <c r="B72" s="6" t="s">
        <v>16</v>
      </c>
      <c r="C72" s="33">
        <v>0</v>
      </c>
      <c r="D72" s="33">
        <v>0</v>
      </c>
      <c r="E72" s="33">
        <v>0</v>
      </c>
      <c r="F72" s="33">
        <v>0</v>
      </c>
      <c r="G72" s="33">
        <v>0</v>
      </c>
      <c r="H72" s="33">
        <v>0</v>
      </c>
      <c r="I72" s="33">
        <v>0</v>
      </c>
      <c r="J72" s="33">
        <v>0</v>
      </c>
      <c r="K72" s="33">
        <v>0</v>
      </c>
      <c r="L72" s="33">
        <v>0</v>
      </c>
      <c r="M72" s="33">
        <v>0</v>
      </c>
      <c r="N72" s="33">
        <v>0</v>
      </c>
      <c r="O72" s="33">
        <v>0</v>
      </c>
      <c r="P72" s="33">
        <v>0</v>
      </c>
      <c r="Q72" s="33">
        <v>0</v>
      </c>
    </row>
    <row r="73" spans="1:17" x14ac:dyDescent="0.2">
      <c r="A73" s="37" t="s">
        <v>76</v>
      </c>
      <c r="B73" s="9" t="s">
        <v>18</v>
      </c>
      <c r="C73" s="7">
        <v>0</v>
      </c>
      <c r="D73" s="7">
        <v>0</v>
      </c>
      <c r="E73" s="7">
        <v>0</v>
      </c>
      <c r="F73" s="7">
        <v>0</v>
      </c>
      <c r="G73" s="7">
        <v>0</v>
      </c>
      <c r="H73" s="7">
        <v>0</v>
      </c>
      <c r="I73" s="7">
        <v>0</v>
      </c>
      <c r="J73" s="7">
        <v>0</v>
      </c>
      <c r="K73" s="7">
        <v>0</v>
      </c>
      <c r="L73" s="7">
        <v>0</v>
      </c>
      <c r="M73" s="7">
        <v>0</v>
      </c>
      <c r="N73" s="7">
        <v>0</v>
      </c>
      <c r="O73" s="7">
        <v>0</v>
      </c>
      <c r="P73" s="7">
        <v>0</v>
      </c>
      <c r="Q73" s="7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157"/>
  <sheetViews>
    <sheetView topLeftCell="A142" workbookViewId="0">
      <selection activeCell="A94" sqref="A94:XFD94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APR</v>
      </c>
      <c r="C1" t="str">
        <f>IF(AIC!D1&gt;0,AIC!D1,"")</f>
        <v>MAY</v>
      </c>
      <c r="D1" t="str">
        <f>IF(AIC!E1&gt;0,AIC!E1,"")</f>
        <v>JUN</v>
      </c>
      <c r="E1" t="str">
        <f>IF(AIC!F1&gt;0,AIC!F1,"")</f>
        <v>JUL</v>
      </c>
      <c r="F1" t="str">
        <f>IF(AIC!G1&gt;0,AIC!G1,"")</f>
        <v>AUG</v>
      </c>
      <c r="G1" t="str">
        <f>IF(AIC!H1&gt;0,AIC!H1,"")</f>
        <v>SEP</v>
      </c>
      <c r="H1" t="str">
        <f>IF(AIC!I1&gt;0,AIC!I1,"")</f>
        <v>OCT</v>
      </c>
      <c r="I1" t="str">
        <f>IF(AIC!J1&gt;0,AIC!J1,"")</f>
        <v>NOV</v>
      </c>
      <c r="J1" t="str">
        <f>IF(AIC!K1&gt;0,AIC!K1,"")</f>
        <v>DEC</v>
      </c>
      <c r="K1" t="str">
        <f>IF(AIC!L1&gt;0,AIC!L1,"")</f>
        <v>JAN'27</v>
      </c>
      <c r="L1" t="str">
        <f>IF(AIC!M1&gt;0,AIC!M1,"")</f>
        <v>FEB'27</v>
      </c>
      <c r="M1" t="str">
        <f>IF(AIC!N1&gt;0,AIC!N1,"")</f>
        <v>MAR'27</v>
      </c>
      <c r="N1" t="str">
        <f>IF(AIC!O1&gt;0,AIC!O1,"")</f>
        <v>APR'27</v>
      </c>
      <c r="O1" t="str">
        <f>IF(AIC!P1&gt;0,AIC!P1,"")</f>
        <v>MAY'27</v>
      </c>
      <c r="P1" t="str">
        <f>IF(AIC!Q1&gt;0,AIC!Q1,"")</f>
        <v>JUN'27</v>
      </c>
    </row>
    <row r="2" spans="1:16" x14ac:dyDescent="0.2">
      <c r="A2" t="str">
        <f>IF(AIC!B2&gt;0,AIC!B2,"")</f>
        <v>Staff</v>
      </c>
      <c r="B2">
        <f>IF(AIC!C2&gt;0,AIC!C2,"")</f>
        <v>21</v>
      </c>
      <c r="C2">
        <f>IF(AIC!D2&gt;0,AIC!D2,"")</f>
        <v>21</v>
      </c>
      <c r="D2">
        <f>IF(AIC!E2&gt;0,AIC!E2,"")</f>
        <v>21</v>
      </c>
      <c r="E2">
        <f>IF(AIC!F2&gt;0,AIC!F2,"")</f>
        <v>19</v>
      </c>
      <c r="F2">
        <f>IF(AIC!G2&gt;0,AIC!G2,"")</f>
        <v>19</v>
      </c>
      <c r="G2">
        <f>IF(AIC!H2&gt;0,AIC!H2,"")</f>
        <v>19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20</v>
      </c>
      <c r="L2">
        <f>IF(AIC!M2&gt;0,AIC!M2,"")</f>
        <v>20</v>
      </c>
      <c r="M2">
        <f>IF(AIC!N2&gt;0,AIC!N2,"")</f>
        <v>20</v>
      </c>
      <c r="N2">
        <f>IF(AIC!O2&gt;0,AIC!O2,"")</f>
        <v>20</v>
      </c>
      <c r="O2">
        <f>IF(AIC!P2&gt;0,AIC!P2,"")</f>
        <v>20</v>
      </c>
      <c r="P2">
        <f>IF(AIC!Q2&gt;0,AIC!Q2,"")</f>
        <v>20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20</v>
      </c>
      <c r="F3">
        <f>IF(AIC!G3&gt;0,AIC!G3,"")</f>
        <v>20</v>
      </c>
      <c r="G3">
        <f>IF(AIC!H3&gt;0,AIC!H3,"")</f>
        <v>20</v>
      </c>
      <c r="H3">
        <f>IF(AIC!I3&gt;0,AIC!I3,"")</f>
        <v>20</v>
      </c>
      <c r="I3">
        <f>IF(AIC!J3&gt;0,AIC!J3,"")</f>
        <v>20</v>
      </c>
      <c r="J3">
        <f>IF(AIC!K3&gt;0,AIC!K3,"")</f>
        <v>20</v>
      </c>
      <c r="K3">
        <f>IF(AIC!L3&gt;0,AIC!L3,"")</f>
        <v>20</v>
      </c>
      <c r="L3">
        <f>IF(AIC!M3&gt;0,AIC!M3,"")</f>
        <v>20</v>
      </c>
      <c r="M3">
        <f>IF(AIC!N3&gt;0,AIC!N3,"")</f>
        <v>20</v>
      </c>
      <c r="N3">
        <f>IF(AIC!O3&gt;0,AIC!O3,"")</f>
        <v>20.399999999999999</v>
      </c>
      <c r="O3">
        <f>IF(AIC!P3&gt;0,AIC!P3,"")</f>
        <v>20.399999999999999</v>
      </c>
      <c r="P3">
        <f>IF(AIC!Q3&gt;0,AIC!Q3,"")</f>
        <v>20.399999999999999</v>
      </c>
    </row>
    <row r="4" spans="1:16" x14ac:dyDescent="0.2">
      <c r="A4" t="str">
        <f>IF(AIC!B4&gt;0,AIC!B4,"")</f>
        <v>Plan</v>
      </c>
      <c r="B4">
        <f>IF(AIC!C4&gt;0,AIC!C4,"")</f>
        <v>17</v>
      </c>
      <c r="C4">
        <f>IF(AIC!D4&gt;0,AIC!D4,"")</f>
        <v>17</v>
      </c>
      <c r="D4">
        <f>IF(AIC!E4&gt;0,AIC!E4,"")</f>
        <v>16</v>
      </c>
      <c r="E4">
        <f>IF(AIC!F4&gt;0,AIC!F4,"")</f>
        <v>16</v>
      </c>
      <c r="F4">
        <f>IF(AIC!G4&gt;0,AIC!G4,"")</f>
        <v>16</v>
      </c>
      <c r="G4">
        <f>IF(AIC!H4&gt;0,AIC!H4,"")</f>
        <v>15</v>
      </c>
      <c r="H4">
        <f>IF(AIC!I4&gt;0,AIC!I4,"")</f>
        <v>16</v>
      </c>
      <c r="I4">
        <f>IF(AIC!J4&gt;0,AIC!J4,"")</f>
        <v>16</v>
      </c>
      <c r="J4">
        <f>IF(AIC!K4&gt;0,AIC!K4,"")</f>
        <v>15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11.445</v>
      </c>
      <c r="O4">
        <f>IF(AIC!P4&gt;0,AIC!P4,"")</f>
        <v>11.307499999999999</v>
      </c>
      <c r="P4">
        <f>IF(AIC!Q4&gt;0,AIC!Q4,"")</f>
        <v>11.307499999999999</v>
      </c>
    </row>
    <row r="5" spans="1:16" x14ac:dyDescent="0.2">
      <c r="A5" t="str">
        <f>IF(AIC!B11&gt;0,AIC!B11,"")</f>
        <v>PAYROLL</v>
      </c>
      <c r="B5">
        <f>IF(AIC!C11&gt;0,AIC!C11,"")</f>
        <v>17</v>
      </c>
      <c r="C5">
        <f>IF(AIC!D11&gt;0,AIC!D11,"")</f>
        <v>17</v>
      </c>
      <c r="D5">
        <f>IF(AIC!E11&gt;0,AIC!E11,"")</f>
        <v>16</v>
      </c>
      <c r="E5">
        <f>IF(AIC!F11&gt;0,AIC!F11,"")</f>
        <v>16</v>
      </c>
      <c r="F5">
        <f>IF(AIC!G11&gt;0,AIC!G11,"")</f>
        <v>16</v>
      </c>
      <c r="G5">
        <f>IF(AIC!H11&gt;0,AIC!H11,"")</f>
        <v>15</v>
      </c>
      <c r="H5">
        <f>IF(AIC!I11&gt;0,AIC!I11,"")</f>
        <v>16</v>
      </c>
      <c r="I5">
        <f>IF(AIC!J11&gt;0,AIC!J11,"")</f>
        <v>16</v>
      </c>
      <c r="J5">
        <f>IF(AIC!K11&gt;0,AIC!K11,"")</f>
        <v>15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11.445</v>
      </c>
      <c r="O5">
        <f>IF(AIC!P11&gt;0,AIC!P11,"")</f>
        <v>11.307499999999999</v>
      </c>
      <c r="P5">
        <f>IF(AIC!Q11&gt;0,AIC!Q11,"")</f>
        <v>11.307499999999999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APR</v>
      </c>
      <c r="C11" t="str">
        <f>IF(AIC!D1&gt;0,AIC!D1,"")</f>
        <v>MAY</v>
      </c>
      <c r="D11" t="str">
        <f>IF(AIC!E1&gt;0,AIC!E1,"")</f>
        <v>JUN</v>
      </c>
      <c r="E11" t="str">
        <f>IF(AIC!F1&gt;0,AIC!F1,"")</f>
        <v>JUL</v>
      </c>
      <c r="F11" t="str">
        <f>IF(AIC!G1&gt;0,AIC!G1,"")</f>
        <v>AUG</v>
      </c>
      <c r="G11" t="str">
        <f>IF(AIC!H1&gt;0,AIC!H1,"")</f>
        <v>SEP</v>
      </c>
      <c r="H11" t="str">
        <f>IF(AIC!I1&gt;0,AIC!I1,"")</f>
        <v>OCT</v>
      </c>
      <c r="I11" t="str">
        <f>IF(AIC!J1&gt;0,AIC!J1,"")</f>
        <v>NOV</v>
      </c>
      <c r="J11" t="str">
        <f>IF(AIC!K1&gt;0,AIC!K1,"")</f>
        <v>DEC</v>
      </c>
      <c r="K11" t="str">
        <f>IF(AIC!L1&gt;0,AIC!L1,"")</f>
        <v>JAN'27</v>
      </c>
      <c r="L11" t="str">
        <f>IF(AIC!M1&gt;0,AIC!M1,"")</f>
        <v>FEB'27</v>
      </c>
      <c r="M11" t="str">
        <f>IF(AIC!N1&gt;0,AIC!N1,"")</f>
        <v>MAR'27</v>
      </c>
      <c r="N11" t="str">
        <f>IF(AIC!O1&gt;0,AIC!O1,"")</f>
        <v>APR'27</v>
      </c>
      <c r="O11" t="str">
        <f>IF(AIC!P1&gt;0,AIC!P1,"")</f>
        <v>MAY'27</v>
      </c>
      <c r="P11" t="str">
        <f>IF(AIC!Q1&gt;0,AIC!Q1,"")</f>
        <v>JUN'27</v>
      </c>
    </row>
    <row r="12" spans="1:16" x14ac:dyDescent="0.2">
      <c r="A12" t="str">
        <f>IF(AIC!B2&gt;0,AIC!B2,"")</f>
        <v>Staff</v>
      </c>
      <c r="B12">
        <f>IF(AIC!C9&gt;0,AIC!C9,"")</f>
        <v>21</v>
      </c>
      <c r="C12">
        <f>IF(AIC!D9&gt;0,AIC!D9,"")</f>
        <v>21</v>
      </c>
      <c r="D12">
        <f>IF(AIC!E9&gt;0,AIC!E9,"")</f>
        <v>21</v>
      </c>
      <c r="E12">
        <f>IF(AIC!F9&gt;0,AIC!F9,"")</f>
        <v>19</v>
      </c>
      <c r="F12">
        <f>IF(AIC!G9&gt;0,AIC!G9,"")</f>
        <v>19</v>
      </c>
      <c r="G12">
        <f>IF(AIC!H9&gt;0,AIC!H9,"")</f>
        <v>19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20</v>
      </c>
      <c r="L12">
        <f>IF(AIC!M9&gt;0,AIC!M9,"")</f>
        <v>20</v>
      </c>
      <c r="M12">
        <f>IF(AIC!N9&gt;0,AIC!N9,"")</f>
        <v>20</v>
      </c>
      <c r="N12">
        <f>IF(AIC!O9&gt;0,AIC!O9,"")</f>
        <v>20</v>
      </c>
      <c r="O12">
        <f>IF(AIC!P9&gt;0,AIC!P9,"")</f>
        <v>20</v>
      </c>
      <c r="P12">
        <f>IF(AIC!Q9&gt;0,AIC!Q9,"")</f>
        <v>20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20</v>
      </c>
      <c r="F13">
        <f>IF(AIC!G10&gt;0,AIC!G10,"")</f>
        <v>20</v>
      </c>
      <c r="G13">
        <f>IF(AIC!H10&gt;0,AIC!H10,"")</f>
        <v>20</v>
      </c>
      <c r="H13">
        <f>IF(AIC!I10&gt;0,AIC!I10,"")</f>
        <v>20</v>
      </c>
      <c r="I13">
        <f>IF(AIC!J10&gt;0,AIC!J10,"")</f>
        <v>20</v>
      </c>
      <c r="J13">
        <f>IF(AIC!K10&gt;0,AIC!K10,"")</f>
        <v>20</v>
      </c>
      <c r="K13">
        <f>IF(AIC!L10&gt;0,AIC!L10,"")</f>
        <v>20</v>
      </c>
      <c r="L13">
        <f>IF(AIC!M10&gt;0,AIC!M10,"")</f>
        <v>20</v>
      </c>
      <c r="M13">
        <f>IF(AIC!N10&gt;0,AIC!N10,"")</f>
        <v>20</v>
      </c>
      <c r="N13">
        <f>IF(AIC!O10&gt;0,AIC!O10,"")</f>
        <v>19.75</v>
      </c>
      <c r="O13">
        <f>IF(AIC!P10&gt;0,AIC!P10,"")</f>
        <v>19.75</v>
      </c>
      <c r="P13">
        <f>IF(AIC!Q10&gt;0,AIC!Q10,"")</f>
        <v>19.75</v>
      </c>
    </row>
    <row r="14" spans="1:16" x14ac:dyDescent="0.2">
      <c r="A14" t="str">
        <f>IF(AIC!B4&gt;0,AIC!B4,"")</f>
        <v>Plan</v>
      </c>
      <c r="B14">
        <f>IF(AIC!C11&gt;0,AIC!C11,"")</f>
        <v>17</v>
      </c>
      <c r="C14">
        <f>IF(AIC!D11&gt;0,AIC!D11,"")</f>
        <v>17</v>
      </c>
      <c r="D14">
        <f>IF(AIC!E11&gt;0,AIC!E11,"")</f>
        <v>16</v>
      </c>
      <c r="E14">
        <f>IF(AIC!F11&gt;0,AIC!F11,"")</f>
        <v>16</v>
      </c>
      <c r="F14">
        <f>IF(AIC!G11&gt;0,AIC!G11,"")</f>
        <v>16</v>
      </c>
      <c r="G14">
        <f>IF(AIC!H11&gt;0,AIC!H11,"")</f>
        <v>15</v>
      </c>
      <c r="H14">
        <f>IF(AIC!I11&gt;0,AIC!I11,"")</f>
        <v>16</v>
      </c>
      <c r="I14">
        <f>IF(AIC!J11&gt;0,AIC!J11,"")</f>
        <v>16</v>
      </c>
      <c r="J14">
        <f>IF(AIC!K11&gt;0,AIC!K11,"")</f>
        <v>15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11.445</v>
      </c>
      <c r="O14">
        <f>IF(AIC!P11&gt;0,AIC!P11,"")</f>
        <v>11.307499999999999</v>
      </c>
      <c r="P14">
        <f>IF(AIC!Q11&gt;0,AIC!Q11,"")</f>
        <v>11.307499999999999</v>
      </c>
    </row>
    <row r="21" spans="1:16" x14ac:dyDescent="0.2">
      <c r="B21" t="str">
        <f>IF(AIC!C1&gt;0,AIC!C1,"")</f>
        <v>APR</v>
      </c>
      <c r="C21" t="str">
        <f>IF(AIC!D1&gt;0,AIC!D1,"")</f>
        <v>MAY</v>
      </c>
      <c r="D21" t="str">
        <f>IF(AIC!E1&gt;0,AIC!E1,"")</f>
        <v>JUN</v>
      </c>
      <c r="E21" t="str">
        <f>IF(AIC!F1&gt;0,AIC!F1,"")</f>
        <v>JUL</v>
      </c>
      <c r="F21" t="str">
        <f>IF(AIC!G1&gt;0,AIC!G1,"")</f>
        <v>AUG</v>
      </c>
      <c r="G21" t="str">
        <f>IF(AIC!H1&gt;0,AIC!H1,"")</f>
        <v>SEP</v>
      </c>
      <c r="H21" t="str">
        <f>IF(AIC!I1&gt;0,AIC!I1,"")</f>
        <v>OCT</v>
      </c>
      <c r="I21" t="str">
        <f>IF(AIC!J1&gt;0,AIC!J1,"")</f>
        <v>NOV</v>
      </c>
      <c r="J21" t="str">
        <f>IF(AIC!K1&gt;0,AIC!K1,"")</f>
        <v>DEC</v>
      </c>
      <c r="K21" t="str">
        <f>IF(AIC!L1&gt;0,AIC!L1,"")</f>
        <v>JAN'27</v>
      </c>
      <c r="L21" t="str">
        <f>IF(AIC!M1&gt;0,AIC!M1,"")</f>
        <v>FEB'27</v>
      </c>
      <c r="M21" t="str">
        <f>IF(AIC!N1&gt;0,AIC!N1,"")</f>
        <v>MAR'27</v>
      </c>
      <c r="N21" t="str">
        <f>IF(AIC!O1&gt;0,AIC!O1,"")</f>
        <v>APR'27</v>
      </c>
      <c r="O21" t="str">
        <f>IF(AIC!P1&gt;0,AIC!P1,"")</f>
        <v>MAY'27</v>
      </c>
      <c r="P21" t="str">
        <f>IF(AIC!Q1&gt;0,AIC!Q1,"")</f>
        <v>JUN'27</v>
      </c>
    </row>
    <row r="22" spans="1:16" x14ac:dyDescent="0.2">
      <c r="A22" t="str">
        <f>IF(AIC!B2&gt;0,AIC!B2,"")</f>
        <v>Staff</v>
      </c>
      <c r="B22">
        <f>AIC!C13</f>
        <v>0</v>
      </c>
      <c r="C22">
        <f>AIC!D13</f>
        <v>0</v>
      </c>
      <c r="D22">
        <f>AIC!E13</f>
        <v>0</v>
      </c>
      <c r="E22">
        <f>AIC!F13</f>
        <v>0</v>
      </c>
      <c r="F22">
        <f>AIC!G13</f>
        <v>0</v>
      </c>
      <c r="G22">
        <f>AIC!H13</f>
        <v>0</v>
      </c>
      <c r="H22">
        <f>AIC!I13</f>
        <v>0</v>
      </c>
      <c r="I22">
        <f>AIC!J13</f>
        <v>0</v>
      </c>
      <c r="J22">
        <f>AIC!K13</f>
        <v>0</v>
      </c>
      <c r="K22">
        <f>AIC!L13</f>
        <v>0</v>
      </c>
      <c r="L22">
        <f>AIC!M13</f>
        <v>0</v>
      </c>
      <c r="M22">
        <f>AIC!N13</f>
        <v>0</v>
      </c>
      <c r="N22">
        <f>AIC!O13</f>
        <v>0</v>
      </c>
      <c r="O22">
        <f>AIC!P13</f>
        <v>0</v>
      </c>
      <c r="P22">
        <f>AIC!Q13</f>
        <v>0</v>
      </c>
    </row>
    <row r="23" spans="1:16" x14ac:dyDescent="0.2">
      <c r="A23" t="str">
        <f>IF(AIC!B3&gt;0,AIC!B3,"")</f>
        <v>Staff AVG</v>
      </c>
      <c r="B23">
        <f>AIC!C14</f>
        <v>0</v>
      </c>
      <c r="C23">
        <f>AIC!D14</f>
        <v>0</v>
      </c>
      <c r="D23">
        <f>AIC!E14</f>
        <v>0</v>
      </c>
      <c r="E23">
        <f>AIC!F14</f>
        <v>0</v>
      </c>
      <c r="F23">
        <f>AIC!G14</f>
        <v>0</v>
      </c>
      <c r="G23">
        <f>AIC!H14</f>
        <v>0</v>
      </c>
      <c r="H23">
        <f>AIC!I14</f>
        <v>0</v>
      </c>
      <c r="I23">
        <f>AIC!J14</f>
        <v>0</v>
      </c>
      <c r="J23">
        <f>AIC!K14</f>
        <v>0</v>
      </c>
      <c r="K23">
        <f>AIC!L14</f>
        <v>0</v>
      </c>
      <c r="L23">
        <f>AIC!M14</f>
        <v>0</v>
      </c>
      <c r="M23">
        <f>AIC!N14</f>
        <v>0</v>
      </c>
      <c r="N23">
        <f>AIC!O14</f>
        <v>0</v>
      </c>
      <c r="O23">
        <f>AIC!P14</f>
        <v>0</v>
      </c>
      <c r="P23">
        <f>AIC!Q14</f>
        <v>0</v>
      </c>
    </row>
    <row r="24" spans="1:16" x14ac:dyDescent="0.2">
      <c r="A24" t="str">
        <f>IF(AIC!B4&gt;0,AIC!B4,"")</f>
        <v>Plan</v>
      </c>
      <c r="B24">
        <f>AIC!C15</f>
        <v>0</v>
      </c>
      <c r="C24">
        <f>AIC!D15</f>
        <v>0</v>
      </c>
      <c r="D24">
        <f>AIC!E15</f>
        <v>0</v>
      </c>
      <c r="E24">
        <f>AIC!F15</f>
        <v>0</v>
      </c>
      <c r="F24">
        <f>AIC!G15</f>
        <v>0</v>
      </c>
      <c r="G24">
        <f>AIC!H15</f>
        <v>0</v>
      </c>
      <c r="H24">
        <f>AIC!I15</f>
        <v>0</v>
      </c>
      <c r="I24">
        <f>AIC!J15</f>
        <v>0</v>
      </c>
      <c r="J24">
        <f>AIC!K15</f>
        <v>0</v>
      </c>
      <c r="K24">
        <f>AIC!L15</f>
        <v>0</v>
      </c>
      <c r="L24">
        <f>AIC!M15</f>
        <v>0</v>
      </c>
      <c r="M24">
        <f>AIC!N15</f>
        <v>0</v>
      </c>
      <c r="N24">
        <f>AIC!O15</f>
        <v>0</v>
      </c>
      <c r="O24">
        <f>AIC!P15</f>
        <v>0</v>
      </c>
      <c r="P24">
        <f>AIC!Q15</f>
        <v>0</v>
      </c>
    </row>
    <row r="31" spans="1:16" x14ac:dyDescent="0.2">
      <c r="B31" t="str">
        <f>IF(AIC!C1&gt;0,AIC!C1,"")</f>
        <v>APR</v>
      </c>
      <c r="C31" t="str">
        <f>IF(AIC!D1&gt;0,AIC!D1,"")</f>
        <v>MAY</v>
      </c>
      <c r="D31" t="str">
        <f>IF(AIC!E1&gt;0,AIC!E1,"")</f>
        <v>JUN</v>
      </c>
      <c r="E31" t="str">
        <f>IF(AIC!F1&gt;0,AIC!F1,"")</f>
        <v>JUL</v>
      </c>
      <c r="F31" t="str">
        <f>IF(AIC!G1&gt;0,AIC!G1,"")</f>
        <v>AUG</v>
      </c>
      <c r="G31" t="str">
        <f>IF(AIC!H1&gt;0,AIC!H1,"")</f>
        <v>SEP</v>
      </c>
      <c r="H31" t="str">
        <f>IF(AIC!I1&gt;0,AIC!I1,"")</f>
        <v>OCT</v>
      </c>
      <c r="I31" t="str">
        <f>IF(AIC!J1&gt;0,AIC!J1,"")</f>
        <v>NOV</v>
      </c>
      <c r="J31" t="str">
        <f>IF(AIC!K1&gt;0,AIC!K1,"")</f>
        <v>DEC</v>
      </c>
      <c r="K31" t="str">
        <f>IF(AIC!L1&gt;0,AIC!L1,"")</f>
        <v>JAN'27</v>
      </c>
      <c r="L31" t="str">
        <f>IF(AIC!M1&gt;0,AIC!M1,"")</f>
        <v>FEB'27</v>
      </c>
      <c r="M31" t="str">
        <f>IF(AIC!N1&gt;0,AIC!N1,"")</f>
        <v>MAR'27</v>
      </c>
      <c r="N31" t="str">
        <f>IF(AIC!O1&gt;0,AIC!O1,"")</f>
        <v>APR'27</v>
      </c>
      <c r="O31" t="str">
        <f>IF(AIC!P1&gt;0,AIC!P1,"")</f>
        <v>MAY'27</v>
      </c>
      <c r="P31" t="str">
        <f>IF(AIC!Q1&gt;0,AIC!Q1,"")</f>
        <v>JUN'27</v>
      </c>
    </row>
    <row r="32" spans="1:16" x14ac:dyDescent="0.2">
      <c r="A32" t="str">
        <f>IF(AIC!B2&gt;0,AIC!B2,"")</f>
        <v>Staff</v>
      </c>
      <c r="B32">
        <f>AIC!C17</f>
        <v>0</v>
      </c>
      <c r="C32">
        <f>AIC!D17</f>
        <v>0</v>
      </c>
      <c r="D32">
        <f>AIC!E17</f>
        <v>0</v>
      </c>
      <c r="E32">
        <f>AIC!F17</f>
        <v>0</v>
      </c>
      <c r="F32">
        <f>AIC!G17</f>
        <v>0</v>
      </c>
      <c r="G32">
        <f>AIC!H17</f>
        <v>0</v>
      </c>
      <c r="H32">
        <f>AIC!I17</f>
        <v>0</v>
      </c>
      <c r="I32">
        <f>AIC!J17</f>
        <v>0</v>
      </c>
      <c r="J32">
        <f>AIC!K17</f>
        <v>0</v>
      </c>
      <c r="K32">
        <f>AIC!L17</f>
        <v>0</v>
      </c>
      <c r="L32">
        <f>AIC!M17</f>
        <v>0</v>
      </c>
      <c r="M32">
        <f>AIC!N17</f>
        <v>0</v>
      </c>
      <c r="N32">
        <f>AIC!O17</f>
        <v>0</v>
      </c>
      <c r="O32">
        <f>AIC!P17</f>
        <v>0</v>
      </c>
      <c r="P32">
        <f>AIC!Q17</f>
        <v>0</v>
      </c>
    </row>
    <row r="33" spans="1:16" x14ac:dyDescent="0.2">
      <c r="A33" t="str">
        <f>IF(AIC!B3&gt;0,AIC!B3,"")</f>
        <v>Staff AVG</v>
      </c>
      <c r="B33">
        <f>AIC!C18</f>
        <v>0</v>
      </c>
      <c r="C33">
        <f>AIC!D18</f>
        <v>0</v>
      </c>
      <c r="D33">
        <f>AIC!E18</f>
        <v>0</v>
      </c>
      <c r="E33">
        <f>AIC!F18</f>
        <v>0</v>
      </c>
      <c r="F33">
        <f>AIC!G18</f>
        <v>0</v>
      </c>
      <c r="G33">
        <f>AIC!H18</f>
        <v>0</v>
      </c>
      <c r="H33">
        <f>AIC!I18</f>
        <v>0</v>
      </c>
      <c r="I33">
        <f>AIC!J18</f>
        <v>0</v>
      </c>
      <c r="J33">
        <f>AIC!K18</f>
        <v>0</v>
      </c>
      <c r="K33">
        <f>AIC!L18</f>
        <v>0</v>
      </c>
      <c r="L33">
        <f>AIC!M18</f>
        <v>0</v>
      </c>
      <c r="M33">
        <f>AIC!N18</f>
        <v>0</v>
      </c>
      <c r="N33">
        <f>AIC!O18</f>
        <v>0</v>
      </c>
      <c r="O33">
        <f>AIC!P18</f>
        <v>0</v>
      </c>
      <c r="P33">
        <f>AIC!Q18</f>
        <v>0</v>
      </c>
    </row>
    <row r="34" spans="1:16" x14ac:dyDescent="0.2">
      <c r="A34" t="str">
        <f>IF(AIC!B4&gt;0,AIC!B4,"")</f>
        <v>Plan</v>
      </c>
      <c r="B34">
        <f>AIC!C19</f>
        <v>0</v>
      </c>
      <c r="C34">
        <f>AIC!D19</f>
        <v>0</v>
      </c>
      <c r="D34">
        <f>AIC!E19</f>
        <v>0</v>
      </c>
      <c r="E34">
        <f>AIC!F19</f>
        <v>0</v>
      </c>
      <c r="F34">
        <f>AIC!G19</f>
        <v>0</v>
      </c>
      <c r="G34">
        <f>AIC!H19</f>
        <v>0</v>
      </c>
      <c r="H34">
        <f>AIC!I19</f>
        <v>0</v>
      </c>
      <c r="I34">
        <f>AIC!J19</f>
        <v>0</v>
      </c>
      <c r="J34">
        <f>AIC!K19</f>
        <v>0</v>
      </c>
      <c r="K34">
        <f>AIC!L19</f>
        <v>0</v>
      </c>
      <c r="L34">
        <f>AIC!M19</f>
        <v>0</v>
      </c>
      <c r="M34">
        <f>AIC!N19</f>
        <v>0</v>
      </c>
      <c r="N34">
        <f>AIC!O19</f>
        <v>0</v>
      </c>
      <c r="O34">
        <f>AIC!P19</f>
        <v>0</v>
      </c>
      <c r="P34">
        <f>AIC!Q19</f>
        <v>0</v>
      </c>
    </row>
    <row r="41" spans="1:16" x14ac:dyDescent="0.2">
      <c r="B41" t="str">
        <f>IF(AIC!C31&gt;0,AIC!C31,"")</f>
        <v>Q2</v>
      </c>
      <c r="C41" t="str">
        <f>IF(AIC!D31&gt;0,AIC!D31,"")</f>
        <v>Q3</v>
      </c>
      <c r="D41" t="str">
        <f>IF(AIC!E31&gt;0,AIC!E31,"")</f>
        <v>Q4</v>
      </c>
      <c r="E41" t="str">
        <f>IF(AIC!F31&gt;0,AIC!F31,"")</f>
        <v>Q1'27</v>
      </c>
      <c r="F41" t="str">
        <f>IF(AIC!G31&gt;0,AIC!G31,"")</f>
        <v>Q2'27</v>
      </c>
    </row>
    <row r="42" spans="1:16" x14ac:dyDescent="0.2">
      <c r="A42" t="str">
        <f>IF(AIC!B32&gt;0,AIC!B32,"")</f>
        <v>Staff</v>
      </c>
      <c r="B42">
        <f>IF(AIC!C32&gt;0,AIC!C32,"")</f>
        <v>21</v>
      </c>
      <c r="C42">
        <f>IF(AIC!D32&gt;0,AIC!D32,"")</f>
        <v>19</v>
      </c>
      <c r="D42">
        <f>IF(AIC!E32&gt;0,AIC!E32,"")</f>
        <v>19</v>
      </c>
      <c r="E42">
        <f>IF(AIC!F32&gt;0,AIC!F32,"")</f>
        <v>20</v>
      </c>
      <c r="F42">
        <f>IF(AIC!G32&gt;0,AIC!G32,"")</f>
        <v>20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20</v>
      </c>
      <c r="D43">
        <f>IF(AIC!E33&gt;0,AIC!E33,"")</f>
        <v>20</v>
      </c>
      <c r="E43">
        <f>IF(AIC!F33&gt;0,AIC!F33,"")</f>
        <v>20</v>
      </c>
      <c r="F43">
        <f>IF(AIC!G33&gt;0,AIC!G33,"")</f>
        <v>20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15</v>
      </c>
      <c r="D44">
        <f>IF(AIC!E34&gt;0,AIC!E34,"")</f>
        <v>15</v>
      </c>
      <c r="E44">
        <f>IF(AIC!F34&gt;0,AIC!F34,"")</f>
        <v>13</v>
      </c>
      <c r="F44">
        <f>IF(AIC!G34&gt;0,AIC!G34,"")</f>
        <v>11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15</v>
      </c>
      <c r="D45">
        <f>IF(AIC!E41&gt;0,AIC!E41,"")</f>
        <v>15</v>
      </c>
      <c r="E45">
        <f>IF(AIC!F41&gt;0,AIC!F41,"")</f>
        <v>13</v>
      </c>
      <c r="F45">
        <f>IF(AIC!G41&gt;0,AIC!G41,"")</f>
        <v>11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s="55" t="str">
        <f>AIC!A64</f>
        <v>AI Research &amp; Alliance</v>
      </c>
      <c r="B51" t="str">
        <f>AIC!C$61</f>
        <v>APR</v>
      </c>
      <c r="C51" t="str">
        <f>AIC!D$61</f>
        <v>MAY</v>
      </c>
      <c r="D51" t="str">
        <f>AIC!E$61</f>
        <v>JUN</v>
      </c>
      <c r="E51" t="str">
        <f>AIC!F$61</f>
        <v>JUL</v>
      </c>
      <c r="F51" t="str">
        <f>AIC!G$61</f>
        <v>AUG</v>
      </c>
      <c r="G51" t="str">
        <f>AIC!H$61</f>
        <v>SEP</v>
      </c>
      <c r="H51" t="str">
        <f>AIC!I$61</f>
        <v>OCT</v>
      </c>
      <c r="I51" t="str">
        <f>AIC!J$61</f>
        <v>NOV</v>
      </c>
      <c r="J51" t="str">
        <f>AIC!K$61</f>
        <v>DEC</v>
      </c>
      <c r="K51" t="str">
        <f>AIC!L$61</f>
        <v>JAN'27</v>
      </c>
      <c r="L51" t="str">
        <f>AIC!M$61</f>
        <v>FEB'27</v>
      </c>
      <c r="M51" t="str">
        <f>AIC!N$61</f>
        <v>MAR'27</v>
      </c>
      <c r="N51" t="str">
        <f>AIC!O$61</f>
        <v>APR'27</v>
      </c>
      <c r="O51" t="str">
        <f>AIC!P$61</f>
        <v>MAY'27</v>
      </c>
      <c r="P51" t="str">
        <f>AIC!Q$61</f>
        <v>JUN'27</v>
      </c>
    </row>
    <row r="52" spans="1:16" x14ac:dyDescent="0.2">
      <c r="A52" t="str">
        <f>IF(AIC!B64&gt;0,AIC!B64,"")</f>
        <v>Staff</v>
      </c>
      <c r="B52">
        <f>IF(AIC!C64&gt;0,AIC!C64,"")</f>
        <v>3</v>
      </c>
      <c r="C52">
        <f>IF(AIC!D64&gt;0,AIC!D64,"")</f>
        <v>3</v>
      </c>
      <c r="D52">
        <f>IF(AIC!E64&gt;0,AIC!E64,"")</f>
        <v>3</v>
      </c>
      <c r="E52">
        <f>IF(AIC!F64&gt;0,AIC!F64,"")</f>
        <v>2</v>
      </c>
      <c r="F52">
        <f>IF(AIC!G64&gt;0,AIC!G64,"")</f>
        <v>2</v>
      </c>
      <c r="G52">
        <f>IF(AIC!H64&gt;0,AIC!H64,"")</f>
        <v>2</v>
      </c>
      <c r="H52">
        <f>IF(AIC!I64&gt;0,AIC!I64,"")</f>
        <v>2</v>
      </c>
      <c r="I52">
        <f>IF(AIC!J64&gt;0,AIC!J64,"")</f>
        <v>2</v>
      </c>
      <c r="J52">
        <f>IF(AIC!K64&gt;0,AIC!K64,"")</f>
        <v>2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2.9</v>
      </c>
      <c r="C53">
        <f>IF(AIC!D65&gt;0,AIC!D65,"")</f>
        <v>2.9</v>
      </c>
      <c r="D53">
        <f>IF(AIC!E65&gt;0,AIC!E65,"")</f>
        <v>2.9</v>
      </c>
      <c r="E53">
        <f>IF(AIC!F65&gt;0,AIC!F65,"")</f>
        <v>2</v>
      </c>
      <c r="F53">
        <f>IF(AIC!G65&gt;0,AIC!G65,"")</f>
        <v>2</v>
      </c>
      <c r="G53">
        <f>IF(AIC!H65&gt;0,AIC!H65,"")</f>
        <v>2</v>
      </c>
      <c r="H53">
        <f>IF(AIC!I65&gt;0,AIC!I65,"")</f>
        <v>2</v>
      </c>
      <c r="I53">
        <f>IF(AIC!J65&gt;0,AIC!J65,"")</f>
        <v>2</v>
      </c>
      <c r="J53">
        <f>IF(AIC!K65&gt;0,AIC!K65,"")</f>
        <v>2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54" spans="1:16" s="63" customFormat="1" x14ac:dyDescent="0.2">
      <c r="A54" s="63" t="s">
        <v>24</v>
      </c>
      <c r="B54" s="64">
        <f>B52-B53</f>
        <v>0.10000000000000009</v>
      </c>
      <c r="C54" s="64">
        <f t="shared" ref="C54:P54" si="0">C52-C53</f>
        <v>0.10000000000000009</v>
      </c>
      <c r="D54" s="64">
        <f t="shared" si="0"/>
        <v>0.10000000000000009</v>
      </c>
      <c r="E54" s="64">
        <f t="shared" si="0"/>
        <v>0</v>
      </c>
      <c r="F54" s="64">
        <f t="shared" si="0"/>
        <v>0</v>
      </c>
      <c r="G54" s="64">
        <f t="shared" si="0"/>
        <v>0</v>
      </c>
      <c r="H54" s="64">
        <f t="shared" si="0"/>
        <v>0</v>
      </c>
      <c r="I54" s="64">
        <f t="shared" si="0"/>
        <v>0</v>
      </c>
      <c r="J54" s="64">
        <f t="shared" si="0"/>
        <v>0</v>
      </c>
      <c r="K54" s="64">
        <f t="shared" si="0"/>
        <v>0.10000000000000009</v>
      </c>
      <c r="L54" s="64">
        <f t="shared" si="0"/>
        <v>0.10000000000000009</v>
      </c>
      <c r="M54" s="64">
        <f t="shared" si="0"/>
        <v>0.10000000000000009</v>
      </c>
      <c r="N54" s="64">
        <f t="shared" si="0"/>
        <v>0.10000000000000009</v>
      </c>
      <c r="O54" s="64">
        <f t="shared" si="0"/>
        <v>0.10000000000000009</v>
      </c>
      <c r="P54" s="64">
        <f t="shared" si="0"/>
        <v>0.10000000000000009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96.666666666666671</v>
      </c>
      <c r="C56" s="56">
        <f>(AVERAGE(E53:G53)/AVERAGE(E52:G52))*100</f>
        <v>100</v>
      </c>
      <c r="D56" s="56">
        <f>(AVERAGE(H53:J53)/AVERAGE(H52:J52))*100</f>
        <v>100</v>
      </c>
      <c r="E56" s="56">
        <f>(AVERAGE(K53:M53)/AVERAGE(K52:M52))*100</f>
        <v>96.666666666666671</v>
      </c>
      <c r="F56" s="56">
        <f>(AVERAGE(N53:P53)/AVERAGE(N52:P52))*100</f>
        <v>96.666666666666671</v>
      </c>
    </row>
    <row r="61" spans="1:16" x14ac:dyDescent="0.2">
      <c r="A61" s="55" t="str">
        <f>AIC!A66</f>
        <v>AIET AI Engineering</v>
      </c>
      <c r="B61" t="str">
        <f>AIC!C$61</f>
        <v>APR</v>
      </c>
      <c r="C61" t="str">
        <f>AIC!D$61</f>
        <v>MAY</v>
      </c>
      <c r="D61" t="str">
        <f>AIC!E$61</f>
        <v>JUN</v>
      </c>
      <c r="E61" t="str">
        <f>AIC!F$61</f>
        <v>JUL</v>
      </c>
      <c r="F61" t="str">
        <f>AIC!G$61</f>
        <v>AUG</v>
      </c>
      <c r="G61" t="str">
        <f>AIC!H$61</f>
        <v>SEP</v>
      </c>
      <c r="H61" t="str">
        <f>AIC!I$61</f>
        <v>OCT</v>
      </c>
      <c r="I61" t="str">
        <f>AIC!J$61</f>
        <v>NOV</v>
      </c>
      <c r="J61" t="str">
        <f>AIC!K$61</f>
        <v>DEC</v>
      </c>
      <c r="K61" t="str">
        <f>AIC!L$61</f>
        <v>JAN'27</v>
      </c>
      <c r="L61" t="str">
        <f>AIC!M$61</f>
        <v>FEB'27</v>
      </c>
      <c r="M61" t="str">
        <f>AIC!N$61</f>
        <v>MAR'27</v>
      </c>
      <c r="N61" t="str">
        <f>AIC!O$61</f>
        <v>APR'27</v>
      </c>
      <c r="O61" t="str">
        <f>AIC!P$61</f>
        <v>MAY'27</v>
      </c>
      <c r="P61" t="str">
        <f>AIC!Q$61</f>
        <v>JUN'27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6.913125</v>
      </c>
      <c r="C63">
        <f>AIC!D67</f>
        <v>6.9881250000000001</v>
      </c>
      <c r="D63">
        <f>AIC!E67</f>
        <v>6.8881249999999996</v>
      </c>
      <c r="E63">
        <f>AIC!F67</f>
        <v>6.1574999999999998</v>
      </c>
      <c r="F63">
        <f>AIC!G67</f>
        <v>6.1074999999999999</v>
      </c>
      <c r="G63">
        <f>AIC!H67</f>
        <v>6.1074999999999999</v>
      </c>
      <c r="H63">
        <f>AIC!I67</f>
        <v>6.42</v>
      </c>
      <c r="I63">
        <f>AIC!J67</f>
        <v>6.1325000000000003</v>
      </c>
      <c r="J63">
        <f>AIC!K67</f>
        <v>6.1325000000000003</v>
      </c>
      <c r="K63">
        <f>AIC!L67</f>
        <v>5.62</v>
      </c>
      <c r="L63">
        <f>AIC!M67</f>
        <v>5.4824999999999999</v>
      </c>
      <c r="M63">
        <f>AIC!N67</f>
        <v>5.4824999999999999</v>
      </c>
      <c r="N63">
        <f>AIC!O67</f>
        <v>4.6449999999999996</v>
      </c>
      <c r="O63">
        <f>AIC!P67</f>
        <v>4.5075000000000003</v>
      </c>
      <c r="P63">
        <f>AIC!Q67</f>
        <v>4.5075000000000003</v>
      </c>
    </row>
    <row r="64" spans="1:16" s="63" customFormat="1" x14ac:dyDescent="0.2">
      <c r="A64" s="63" t="s">
        <v>24</v>
      </c>
      <c r="B64" s="64">
        <f>B62-B63</f>
        <v>1.086875</v>
      </c>
      <c r="C64" s="64">
        <f t="shared" ref="C64:P64" si="2">C62-C63</f>
        <v>1.0118749999999999</v>
      </c>
      <c r="D64" s="64">
        <f t="shared" si="2"/>
        <v>1.1118750000000004</v>
      </c>
      <c r="E64" s="64">
        <f t="shared" si="2"/>
        <v>1.8425000000000002</v>
      </c>
      <c r="F64" s="64">
        <f t="shared" si="2"/>
        <v>1.8925000000000001</v>
      </c>
      <c r="G64" s="64">
        <f t="shared" si="2"/>
        <v>1.8925000000000001</v>
      </c>
      <c r="H64" s="64">
        <f t="shared" si="2"/>
        <v>1.58</v>
      </c>
      <c r="I64" s="64">
        <f t="shared" si="2"/>
        <v>1.8674999999999997</v>
      </c>
      <c r="J64" s="64">
        <f t="shared" si="2"/>
        <v>1.8674999999999997</v>
      </c>
      <c r="K64" s="64">
        <f t="shared" si="2"/>
        <v>2.38</v>
      </c>
      <c r="L64" s="64">
        <f t="shared" si="2"/>
        <v>2.5175000000000001</v>
      </c>
      <c r="M64" s="64">
        <f t="shared" si="2"/>
        <v>2.5175000000000001</v>
      </c>
      <c r="N64" s="64">
        <f t="shared" si="2"/>
        <v>3.3550000000000004</v>
      </c>
      <c r="O64" s="64">
        <f t="shared" si="2"/>
        <v>3.4924999999999997</v>
      </c>
      <c r="P64" s="64">
        <f t="shared" si="2"/>
        <v>3.4924999999999997</v>
      </c>
    </row>
    <row r="65" spans="1:1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16" s="56" customFormat="1" x14ac:dyDescent="0.2">
      <c r="A66" s="56" t="str">
        <f>$A$156</f>
        <v>% Plan</v>
      </c>
      <c r="B66" s="56">
        <f>(AVERAGE(B63:D63)/AVERAGE(B62:D62))*100</f>
        <v>86.622395833333329</v>
      </c>
      <c r="C66" s="56">
        <f>(AVERAGE(E63:G63)/AVERAGE(E62:G62))*100</f>
        <v>76.552083333333343</v>
      </c>
      <c r="D66" s="56">
        <f>(AVERAGE(H63:J63)/AVERAGE(H62:J62))*100</f>
        <v>77.854166666666686</v>
      </c>
      <c r="E66" s="56">
        <f>(AVERAGE(K63:M63)/AVERAGE(K62:M62))*100</f>
        <v>69.104166666666671</v>
      </c>
      <c r="F66" s="56">
        <f>(AVERAGE(N63:P63)/AVERAGE(N62:P62))*100</f>
        <v>56.916666666666671</v>
      </c>
    </row>
    <row r="71" spans="1:16" x14ac:dyDescent="0.2">
      <c r="A71" s="55" t="str">
        <f>AIC!A68</f>
        <v>AIET IoT Engineering</v>
      </c>
      <c r="B71" t="str">
        <f>AIC!C$61</f>
        <v>APR</v>
      </c>
      <c r="C71" t="str">
        <f>AIC!D$61</f>
        <v>MAY</v>
      </c>
      <c r="D71" t="str">
        <f>AIC!E$61</f>
        <v>JUN</v>
      </c>
      <c r="E71" t="str">
        <f>AIC!F$61</f>
        <v>JUL</v>
      </c>
      <c r="F71" t="str">
        <f>AIC!G$61</f>
        <v>AUG</v>
      </c>
      <c r="G71" t="str">
        <f>AIC!H$61</f>
        <v>SEP</v>
      </c>
      <c r="H71" t="str">
        <f>AIC!I$61</f>
        <v>OCT</v>
      </c>
      <c r="I71" t="str">
        <f>AIC!J$61</f>
        <v>NOV</v>
      </c>
      <c r="J71" t="str">
        <f>AIC!K$61</f>
        <v>DEC</v>
      </c>
      <c r="K71" t="str">
        <f>AIC!L$61</f>
        <v>JAN'27</v>
      </c>
      <c r="L71" t="str">
        <f>AIC!M$61</f>
        <v>FEB'27</v>
      </c>
      <c r="M71" t="str">
        <f>AIC!N$61</f>
        <v>MAR'27</v>
      </c>
      <c r="N71" t="str">
        <f>AIC!O$61</f>
        <v>APR'27</v>
      </c>
      <c r="O71" t="str">
        <f>AIC!P$61</f>
        <v>MAY'27</v>
      </c>
      <c r="P71" t="str">
        <f>AIC!Q$61</f>
        <v>JUN'27</v>
      </c>
    </row>
    <row r="72" spans="1:16" x14ac:dyDescent="0.2">
      <c r="A72" t="str">
        <f>AIC!B68</f>
        <v>Staff</v>
      </c>
      <c r="B72">
        <f>AIC!C68</f>
        <v>6</v>
      </c>
      <c r="C72">
        <f>AIC!D68</f>
        <v>6</v>
      </c>
      <c r="D72">
        <f>AIC!E68</f>
        <v>6</v>
      </c>
      <c r="E72">
        <f>AIC!F68</f>
        <v>5</v>
      </c>
      <c r="F72">
        <f>AIC!G68</f>
        <v>5</v>
      </c>
      <c r="G72">
        <f>AIC!H68</f>
        <v>5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4.4249999999999998</v>
      </c>
      <c r="C73">
        <f>AIC!D69</f>
        <v>4.3499999999999996</v>
      </c>
      <c r="D73">
        <f>AIC!E69</f>
        <v>4.0999999999999996</v>
      </c>
      <c r="E73">
        <f>AIC!F69</f>
        <v>4.2249999999999996</v>
      </c>
      <c r="F73">
        <f>AIC!G69</f>
        <v>4.2249999999999996</v>
      </c>
      <c r="G73">
        <f>AIC!H69</f>
        <v>4.2249999999999996</v>
      </c>
      <c r="H73">
        <f>AIC!I69</f>
        <v>4.125</v>
      </c>
      <c r="I73">
        <f>AIC!J69</f>
        <v>4.125</v>
      </c>
      <c r="J73">
        <f>AIC!K69</f>
        <v>4.125</v>
      </c>
      <c r="K73">
        <f>AIC!L69</f>
        <v>2.875</v>
      </c>
      <c r="L73">
        <f>AIC!M69</f>
        <v>2.875</v>
      </c>
      <c r="M73">
        <f>AIC!N69</f>
        <v>2.1</v>
      </c>
      <c r="N73">
        <f>AIC!O69</f>
        <v>1.85</v>
      </c>
      <c r="O73">
        <f>AIC!P69</f>
        <v>1.85</v>
      </c>
      <c r="P73">
        <f>AIC!Q69</f>
        <v>1.85</v>
      </c>
    </row>
    <row r="74" spans="1:16" s="63" customFormat="1" x14ac:dyDescent="0.2">
      <c r="A74" s="63" t="s">
        <v>24</v>
      </c>
      <c r="B74" s="64">
        <f>B72-B73</f>
        <v>1.5750000000000002</v>
      </c>
      <c r="C74" s="64">
        <f t="shared" ref="C74:P74" si="4">C72-C73</f>
        <v>1.6500000000000004</v>
      </c>
      <c r="D74" s="64">
        <f t="shared" si="4"/>
        <v>1.9000000000000004</v>
      </c>
      <c r="E74" s="64">
        <f t="shared" si="4"/>
        <v>0.77500000000000036</v>
      </c>
      <c r="F74" s="64">
        <f t="shared" si="4"/>
        <v>0.77500000000000036</v>
      </c>
      <c r="G74" s="64">
        <f t="shared" si="4"/>
        <v>0.77500000000000036</v>
      </c>
      <c r="H74" s="64">
        <f t="shared" si="4"/>
        <v>0.875</v>
      </c>
      <c r="I74" s="64">
        <f t="shared" si="4"/>
        <v>0.875</v>
      </c>
      <c r="J74" s="64">
        <f t="shared" si="4"/>
        <v>0.875</v>
      </c>
      <c r="K74" s="64">
        <f t="shared" si="4"/>
        <v>2.125</v>
      </c>
      <c r="L74" s="64">
        <f t="shared" si="4"/>
        <v>2.125</v>
      </c>
      <c r="M74" s="64">
        <f t="shared" si="4"/>
        <v>2.9</v>
      </c>
      <c r="N74" s="64">
        <f t="shared" si="4"/>
        <v>3.15</v>
      </c>
      <c r="O74" s="64">
        <f t="shared" si="4"/>
        <v>3.15</v>
      </c>
      <c r="P74" s="64">
        <f t="shared" si="4"/>
        <v>3.15</v>
      </c>
    </row>
    <row r="75" spans="1:16" s="56" customFormat="1" x14ac:dyDescent="0.2">
      <c r="B75" s="56" t="str">
        <f>B$155</f>
        <v>Q2</v>
      </c>
      <c r="C75" s="56" t="str">
        <f t="shared" ref="C75:F75" si="5">C$155</f>
        <v>Q3</v>
      </c>
      <c r="D75" s="56" t="str">
        <f t="shared" si="5"/>
        <v>Q4</v>
      </c>
      <c r="E75" s="56" t="str">
        <f t="shared" si="5"/>
        <v>Q1'27</v>
      </c>
      <c r="F75" s="56" t="str">
        <f t="shared" si="5"/>
        <v>Q2'27</v>
      </c>
    </row>
    <row r="76" spans="1:16" s="56" customFormat="1" x14ac:dyDescent="0.2">
      <c r="A76" s="56" t="str">
        <f>$A$156</f>
        <v>% Plan</v>
      </c>
      <c r="B76" s="56">
        <f>(AVERAGE(B73:D73)/AVERAGE(B72:D72))*100</f>
        <v>71.527777777777771</v>
      </c>
      <c r="C76" s="56">
        <f>(AVERAGE(E73:G73)/AVERAGE(E72:G72))*100</f>
        <v>84.5</v>
      </c>
      <c r="D76" s="56">
        <f>(AVERAGE(H73:J73)/AVERAGE(H72:J72))*100</f>
        <v>82.5</v>
      </c>
      <c r="E76" s="56">
        <f>(AVERAGE(K73:M73)/AVERAGE(K72:M72))*100</f>
        <v>52.333333333333329</v>
      </c>
      <c r="F76" s="56">
        <f>(AVERAGE(N73:P73)/AVERAGE(N72:P72))*100</f>
        <v>37.000000000000007</v>
      </c>
    </row>
    <row r="81" spans="1:16" x14ac:dyDescent="0.2">
      <c r="A81" s="55" t="str">
        <f>AIC!A70</f>
        <v>AIET Spatial AI Engineering</v>
      </c>
      <c r="B81" t="str">
        <f>AIC!C$61</f>
        <v>APR</v>
      </c>
      <c r="C81" t="str">
        <f>AIC!D$61</f>
        <v>MAY</v>
      </c>
      <c r="D81" t="str">
        <f>AIC!E$61</f>
        <v>JUN</v>
      </c>
      <c r="E81" t="str">
        <f>AIC!F$61</f>
        <v>JUL</v>
      </c>
      <c r="F81" t="str">
        <f>AIC!G$61</f>
        <v>AUG</v>
      </c>
      <c r="G81" t="str">
        <f>AIC!H$61</f>
        <v>SEP</v>
      </c>
      <c r="H81" t="str">
        <f>AIC!I$61</f>
        <v>OCT</v>
      </c>
      <c r="I81" t="str">
        <f>AIC!J$61</f>
        <v>NOV</v>
      </c>
      <c r="J81" t="str">
        <f>AIC!K$61</f>
        <v>DEC</v>
      </c>
      <c r="K81" t="str">
        <f>AIC!L$61</f>
        <v>JAN'27</v>
      </c>
      <c r="L81" t="str">
        <f>AIC!M$61</f>
        <v>FEB'27</v>
      </c>
      <c r="M81" t="str">
        <f>AIC!N$61</f>
        <v>MAR'27</v>
      </c>
      <c r="N81" t="str">
        <f>AIC!O$61</f>
        <v>APR'27</v>
      </c>
      <c r="O81" t="str">
        <f>AIC!P$61</f>
        <v>MAY'27</v>
      </c>
      <c r="P81" t="str">
        <f>AIC!Q$61</f>
        <v>JUN'27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4</v>
      </c>
      <c r="G82">
        <f>AIC!H70</f>
        <v>4</v>
      </c>
      <c r="H82">
        <f>AIC!I70</f>
        <v>4</v>
      </c>
      <c r="I82">
        <f>AIC!J70</f>
        <v>4</v>
      </c>
      <c r="J82">
        <f>AIC!K70</f>
        <v>4</v>
      </c>
      <c r="K82">
        <f>AIC!L70</f>
        <v>4</v>
      </c>
      <c r="L82">
        <f>AIC!M70</f>
        <v>4</v>
      </c>
      <c r="M82">
        <f>AIC!N70</f>
        <v>4</v>
      </c>
      <c r="N82">
        <f>AIC!O70</f>
        <v>4</v>
      </c>
      <c r="O82">
        <f>AIC!P70</f>
        <v>4</v>
      </c>
      <c r="P82">
        <f>AIC!Q70</f>
        <v>4</v>
      </c>
    </row>
    <row r="83" spans="1:16" x14ac:dyDescent="0.2">
      <c r="A83" t="str">
        <f>AIC!B71</f>
        <v>Plan</v>
      </c>
      <c r="B83">
        <f>AIC!C71</f>
        <v>3.25</v>
      </c>
      <c r="C83">
        <f>AIC!D71</f>
        <v>2.6549999999999998</v>
      </c>
      <c r="D83">
        <f>AIC!E71</f>
        <v>2.375</v>
      </c>
      <c r="E83">
        <f>AIC!F71</f>
        <v>3.35</v>
      </c>
      <c r="F83">
        <f>AIC!G71</f>
        <v>3.5</v>
      </c>
      <c r="G83">
        <f>AIC!H71</f>
        <v>2.6</v>
      </c>
      <c r="H83">
        <f>AIC!I71</f>
        <v>3</v>
      </c>
      <c r="I83">
        <f>AIC!J71</f>
        <v>3.25</v>
      </c>
      <c r="J83">
        <f>AIC!K71</f>
        <v>3.15</v>
      </c>
      <c r="K83">
        <f>AIC!L71</f>
        <v>2.4500000000000002</v>
      </c>
      <c r="L83">
        <f>AIC!M71</f>
        <v>2.4500000000000002</v>
      </c>
      <c r="M83">
        <f>AIC!N71</f>
        <v>2.4500000000000002</v>
      </c>
      <c r="N83">
        <f>AIC!O71</f>
        <v>2.0499999999999998</v>
      </c>
      <c r="O83">
        <f>AIC!P71</f>
        <v>2.0499999999999998</v>
      </c>
      <c r="P83">
        <f>AIC!Q71</f>
        <v>2.0499999999999998</v>
      </c>
    </row>
    <row r="84" spans="1:16" s="63" customFormat="1" x14ac:dyDescent="0.2">
      <c r="A84" s="63" t="s">
        <v>24</v>
      </c>
      <c r="B84" s="64">
        <f>B82-B83</f>
        <v>0.75</v>
      </c>
      <c r="C84" s="64">
        <f t="shared" ref="C84:P84" si="6">C82-C83</f>
        <v>1.3450000000000002</v>
      </c>
      <c r="D84" s="64">
        <f t="shared" si="6"/>
        <v>1.625</v>
      </c>
      <c r="E84" s="64">
        <f t="shared" si="6"/>
        <v>0.64999999999999991</v>
      </c>
      <c r="F84" s="64">
        <f t="shared" si="6"/>
        <v>0.5</v>
      </c>
      <c r="G84" s="64">
        <f t="shared" si="6"/>
        <v>1.4</v>
      </c>
      <c r="H84" s="64">
        <f t="shared" si="6"/>
        <v>1</v>
      </c>
      <c r="I84" s="64">
        <f t="shared" si="6"/>
        <v>0.75</v>
      </c>
      <c r="J84" s="64">
        <f t="shared" si="6"/>
        <v>0.85000000000000009</v>
      </c>
      <c r="K84" s="64">
        <f t="shared" si="6"/>
        <v>1.5499999999999998</v>
      </c>
      <c r="L84" s="64">
        <f t="shared" si="6"/>
        <v>1.5499999999999998</v>
      </c>
      <c r="M84" s="64">
        <f t="shared" si="6"/>
        <v>1.5499999999999998</v>
      </c>
      <c r="N84" s="64">
        <f t="shared" si="6"/>
        <v>1.9500000000000002</v>
      </c>
      <c r="O84" s="64">
        <f t="shared" si="6"/>
        <v>1.9500000000000002</v>
      </c>
      <c r="P84" s="64">
        <f t="shared" si="6"/>
        <v>1.9500000000000002</v>
      </c>
    </row>
    <row r="85" spans="1:16" s="56" customFormat="1" x14ac:dyDescent="0.2">
      <c r="B85" s="56" t="str">
        <f>B$155</f>
        <v>Q2</v>
      </c>
      <c r="C85" s="56" t="str">
        <f t="shared" ref="C85:F85" si="7">C$155</f>
        <v>Q3</v>
      </c>
      <c r="D85" s="56" t="str">
        <f t="shared" si="7"/>
        <v>Q4</v>
      </c>
      <c r="E85" s="56" t="str">
        <f t="shared" si="7"/>
        <v>Q1'27</v>
      </c>
      <c r="F85" s="56" t="str">
        <f t="shared" si="7"/>
        <v>Q2'27</v>
      </c>
    </row>
    <row r="86" spans="1:16" s="56" customFormat="1" x14ac:dyDescent="0.2">
      <c r="A86" s="56" t="str">
        <f>$A$156</f>
        <v>% Plan</v>
      </c>
      <c r="B86" s="56">
        <f>(AVERAGE(B83:D83)/AVERAGE(B82:D82))*100</f>
        <v>69</v>
      </c>
      <c r="C86" s="56">
        <f>(AVERAGE(E83:G83)/AVERAGE(E82:G82))*100</f>
        <v>78.75</v>
      </c>
      <c r="D86" s="56">
        <f>(AVERAGE(H83:J83)/AVERAGE(H82:J82))*100</f>
        <v>78.333333333333329</v>
      </c>
      <c r="E86" s="56">
        <f>(AVERAGE(K83:M83)/AVERAGE(K82:M82))*100</f>
        <v>61.250000000000007</v>
      </c>
      <c r="F86" s="56">
        <f>(AVERAGE(N83:P83)/AVERAGE(N82:P82))*100</f>
        <v>51.249999999999993</v>
      </c>
    </row>
    <row r="91" spans="1:16" x14ac:dyDescent="0.2">
      <c r="A91" s="55" t="str">
        <f>AIC!A72</f>
        <v>Product Innovation</v>
      </c>
      <c r="B91" t="str">
        <f>AIC!C$61</f>
        <v>APR</v>
      </c>
      <c r="C91" t="str">
        <f>AIC!D$61</f>
        <v>MAY</v>
      </c>
      <c r="D91" t="str">
        <f>AIC!E$61</f>
        <v>JUN</v>
      </c>
      <c r="E91" t="str">
        <f>AIC!F$61</f>
        <v>JUL</v>
      </c>
      <c r="F91" t="str">
        <f>AIC!G$61</f>
        <v>AUG</v>
      </c>
      <c r="G91" t="str">
        <f>AIC!H$61</f>
        <v>SEP</v>
      </c>
      <c r="H91" t="str">
        <f>AIC!I$61</f>
        <v>OCT</v>
      </c>
      <c r="I91" t="str">
        <f>AIC!J$61</f>
        <v>NOV</v>
      </c>
      <c r="J91" t="str">
        <f>AIC!K$61</f>
        <v>DEC</v>
      </c>
      <c r="K91" t="str">
        <f>AIC!L$61</f>
        <v>JAN'27</v>
      </c>
      <c r="L91" t="str">
        <f>AIC!M$61</f>
        <v>FEB'27</v>
      </c>
      <c r="M91" t="str">
        <f>AIC!N$61</f>
        <v>MAR'27</v>
      </c>
      <c r="N91" t="str">
        <f>AIC!O$61</f>
        <v>APR'27</v>
      </c>
      <c r="O91" t="str">
        <f>AIC!P$61</f>
        <v>MAY'27</v>
      </c>
      <c r="P91" t="str">
        <f>AIC!Q$61</f>
        <v>JUN'27</v>
      </c>
    </row>
    <row r="92" spans="1:16" x14ac:dyDescent="0.2">
      <c r="A92" t="str">
        <f>AIC!B72</f>
        <v>Staff</v>
      </c>
      <c r="B92">
        <f>AIC!C72</f>
        <v>0</v>
      </c>
      <c r="C92">
        <f>AIC!D72</f>
        <v>0</v>
      </c>
      <c r="D92">
        <f>AIC!E72</f>
        <v>0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</v>
      </c>
      <c r="C93">
        <f>AIC!D73</f>
        <v>0</v>
      </c>
      <c r="D93">
        <f>AIC!E73</f>
        <v>0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  <row r="94" spans="1:16" s="63" customFormat="1" x14ac:dyDescent="0.2">
      <c r="A94" s="63" t="s">
        <v>24</v>
      </c>
      <c r="B94" s="64">
        <f>B92-B93</f>
        <v>0</v>
      </c>
      <c r="C94" s="64">
        <f t="shared" ref="C94:P94" si="8">C92-C93</f>
        <v>0</v>
      </c>
      <c r="D94" s="64">
        <f t="shared" si="8"/>
        <v>0</v>
      </c>
      <c r="E94" s="64">
        <f t="shared" si="8"/>
        <v>0</v>
      </c>
      <c r="F94" s="64">
        <f t="shared" si="8"/>
        <v>0</v>
      </c>
      <c r="G94" s="64">
        <f t="shared" si="8"/>
        <v>0</v>
      </c>
      <c r="H94" s="64">
        <f t="shared" si="8"/>
        <v>0</v>
      </c>
      <c r="I94" s="64">
        <f t="shared" si="8"/>
        <v>0</v>
      </c>
      <c r="J94" s="64">
        <f t="shared" si="8"/>
        <v>0</v>
      </c>
      <c r="K94" s="64">
        <f t="shared" si="8"/>
        <v>0</v>
      </c>
      <c r="L94" s="64">
        <f t="shared" si="8"/>
        <v>0</v>
      </c>
      <c r="M94" s="64">
        <f t="shared" si="8"/>
        <v>0</v>
      </c>
      <c r="N94" s="64">
        <f t="shared" si="8"/>
        <v>0</v>
      </c>
      <c r="O94" s="64">
        <f t="shared" si="8"/>
        <v>0</v>
      </c>
      <c r="P94" s="64">
        <f t="shared" si="8"/>
        <v>0</v>
      </c>
    </row>
    <row r="95" spans="1:16" s="56" customFormat="1" x14ac:dyDescent="0.2">
      <c r="B95" s="56" t="str">
        <f>B$155</f>
        <v>Q2</v>
      </c>
      <c r="C95" s="56" t="str">
        <f t="shared" ref="C95:F95" si="9">C$155</f>
        <v>Q3</v>
      </c>
      <c r="D95" s="56" t="str">
        <f t="shared" si="9"/>
        <v>Q4</v>
      </c>
      <c r="E95" s="56" t="str">
        <f t="shared" si="9"/>
        <v>Q1'27</v>
      </c>
      <c r="F95" s="56" t="str">
        <f t="shared" si="9"/>
        <v>Q2'27</v>
      </c>
    </row>
    <row r="96" spans="1:16" s="56" customFormat="1" x14ac:dyDescent="0.2">
      <c r="A96" s="56" t="str">
        <f>$A$156</f>
        <v>% Plan</v>
      </c>
      <c r="B96" s="56" t="e">
        <f>(AVERAGE(B93:D93)/AVERAGE(B92:D92))*100</f>
        <v>#DIV/0!</v>
      </c>
      <c r="C96" s="57">
        <v>0</v>
      </c>
      <c r="D96" s="57">
        <v>0</v>
      </c>
      <c r="E96" s="57">
        <v>0</v>
      </c>
      <c r="F96" s="57">
        <v>0</v>
      </c>
    </row>
    <row r="151" spans="1:16" x14ac:dyDescent="0.2">
      <c r="B151" t="str">
        <f>AIC!C1</f>
        <v>APR</v>
      </c>
      <c r="C151" t="str">
        <f>AIC!D1</f>
        <v>MAY</v>
      </c>
      <c r="D151" t="str">
        <f>AIC!E1</f>
        <v>JUN</v>
      </c>
      <c r="E151" t="str">
        <f>AIC!F1</f>
        <v>JUL</v>
      </c>
      <c r="F151" t="str">
        <f>AIC!G1</f>
        <v>AUG</v>
      </c>
      <c r="G151" t="str">
        <f>AIC!H1</f>
        <v>SEP</v>
      </c>
      <c r="H151" t="str">
        <f>AIC!I1</f>
        <v>OCT</v>
      </c>
      <c r="I151" t="str">
        <f>AIC!J1</f>
        <v>NOV</v>
      </c>
      <c r="J151" t="str">
        <f>AIC!K1</f>
        <v>DEC</v>
      </c>
      <c r="K151" t="str">
        <f>AIC!L1</f>
        <v>JAN'27</v>
      </c>
      <c r="L151" t="str">
        <f>AIC!M1</f>
        <v>FEB'27</v>
      </c>
      <c r="M151" t="str">
        <f>AIC!N1</f>
        <v>MAR'27</v>
      </c>
      <c r="N151" t="str">
        <f>AIC!O1</f>
        <v>APR'27</v>
      </c>
      <c r="O151" t="str">
        <f>AIC!P1</f>
        <v>MAY'27</v>
      </c>
      <c r="P151" t="str">
        <f>AIC!Q1</f>
        <v>JUN'27</v>
      </c>
    </row>
    <row r="152" spans="1:16" x14ac:dyDescent="0.2">
      <c r="A152" t="str">
        <f>AIC!B6</f>
        <v>% Plan</v>
      </c>
      <c r="B152">
        <f>AIC!C6*100</f>
        <v>83.28</v>
      </c>
      <c r="C152">
        <f>AIC!D6*100</f>
        <v>80.44</v>
      </c>
      <c r="D152">
        <f>AIC!E6*100</f>
        <v>77.44</v>
      </c>
      <c r="E152">
        <f>AIC!F6*100</f>
        <v>82.8</v>
      </c>
      <c r="F152">
        <f>AIC!G6*100</f>
        <v>83.33</v>
      </c>
      <c r="G152">
        <f>AIC!H6*100</f>
        <v>78.59</v>
      </c>
      <c r="H152">
        <f>AIC!I6*100</f>
        <v>81.820000000000007</v>
      </c>
      <c r="I152">
        <f>AIC!J6*100</f>
        <v>81.62</v>
      </c>
      <c r="J152">
        <f>AIC!K6*100</f>
        <v>81.089999999999989</v>
      </c>
      <c r="K152">
        <f>AIC!L6*100</f>
        <v>69.23</v>
      </c>
      <c r="L152">
        <f>AIC!M6*100</f>
        <v>68.540000000000006</v>
      </c>
      <c r="M152">
        <f>AIC!N6*100</f>
        <v>64.66</v>
      </c>
      <c r="N152">
        <f>AIC!O6*100</f>
        <v>57.230000000000004</v>
      </c>
      <c r="O152">
        <f>AIC!P6*100</f>
        <v>56.54</v>
      </c>
      <c r="P152">
        <f>AIC!Q6*100</f>
        <v>56.54</v>
      </c>
    </row>
    <row r="153" spans="1:16" x14ac:dyDescent="0.2">
      <c r="A153" t="str">
        <f>AIC!B7</f>
        <v>Available FTE</v>
      </c>
      <c r="B153">
        <f>AIC!C7</f>
        <v>4</v>
      </c>
      <c r="C153">
        <f>AIC!D7</f>
        <v>4</v>
      </c>
      <c r="D153">
        <f>AIC!E7</f>
        <v>5</v>
      </c>
      <c r="E153">
        <f>AIC!F7</f>
        <v>3</v>
      </c>
      <c r="F153">
        <f>AIC!G7</f>
        <v>3</v>
      </c>
      <c r="G153">
        <f>AIC!H7</f>
        <v>4</v>
      </c>
      <c r="H153">
        <f>AIC!I7</f>
        <v>3</v>
      </c>
      <c r="I153">
        <f>AIC!J7</f>
        <v>3</v>
      </c>
      <c r="J153">
        <f>AIC!K7</f>
        <v>4</v>
      </c>
      <c r="K153">
        <f>AIC!L7</f>
        <v>6</v>
      </c>
      <c r="L153">
        <f>AIC!M7</f>
        <v>6</v>
      </c>
      <c r="M153">
        <f>AIC!N7</f>
        <v>7</v>
      </c>
      <c r="N153">
        <f>AIC!O7</f>
        <v>9</v>
      </c>
      <c r="O153">
        <f>AIC!P7</f>
        <v>9</v>
      </c>
      <c r="P153">
        <f>AIC!Q7</f>
        <v>9</v>
      </c>
    </row>
    <row r="155" spans="1:16" x14ac:dyDescent="0.2">
      <c r="B155" t="str">
        <f>AIC!C31</f>
        <v>Q2</v>
      </c>
      <c r="C155" t="str">
        <f>AIC!D31</f>
        <v>Q3</v>
      </c>
      <c r="D155" t="str">
        <f>AIC!E31</f>
        <v>Q4</v>
      </c>
      <c r="E155" t="str">
        <f>AIC!F31</f>
        <v>Q1'27</v>
      </c>
      <c r="F155" t="str">
        <f>AIC!G31</f>
        <v>Q2'27</v>
      </c>
    </row>
    <row r="156" spans="1:16" x14ac:dyDescent="0.2">
      <c r="A156" t="str">
        <f>AIC!B6</f>
        <v>% Plan</v>
      </c>
      <c r="B156">
        <f>AIC!C36*100</f>
        <v>80.39</v>
      </c>
      <c r="C156">
        <f>AIC!D36*100</f>
        <v>81.569999999999993</v>
      </c>
      <c r="D156">
        <f>AIC!E36*100</f>
        <v>81.510000000000005</v>
      </c>
      <c r="E156">
        <f>AIC!F36*100</f>
        <v>67.47999999999999</v>
      </c>
      <c r="F156">
        <f>AIC!G36*100</f>
        <v>56.769999999999996</v>
      </c>
    </row>
    <row r="157" spans="1:16" x14ac:dyDescent="0.2">
      <c r="A157" t="str">
        <f>AIC!B7</f>
        <v>Available FTE</v>
      </c>
      <c r="B157">
        <f>AIC!C37</f>
        <v>4</v>
      </c>
      <c r="C157">
        <f>AIC!D37</f>
        <v>4</v>
      </c>
      <c r="D157">
        <f>AIC!E37</f>
        <v>4</v>
      </c>
      <c r="E157">
        <f>AIC!F37</f>
        <v>4</v>
      </c>
      <c r="F157">
        <f>AIC!G37</f>
        <v>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3C198-0F99-6748-AF46-FB3CC9A0A00A}">
  <sheetPr>
    <tabColor theme="3"/>
  </sheetPr>
  <dimension ref="A1:Q81"/>
  <sheetViews>
    <sheetView workbookViewId="0">
      <pane ySplit="1" topLeftCell="A70" activePane="bottomLeft" state="frozen"/>
      <selection pane="bottomLeft" activeCell="C1" sqref="C1:Q1"/>
    </sheetView>
  </sheetViews>
  <sheetFormatPr baseColWidth="10" defaultRowHeight="16" x14ac:dyDescent="0.2"/>
  <sheetData>
    <row r="1" spans="1:17" x14ac:dyDescent="0.2">
      <c r="A1" s="16"/>
      <c r="B1" s="1" t="s">
        <v>0</v>
      </c>
      <c r="C1" s="80" t="s">
        <v>4</v>
      </c>
      <c r="D1" s="80" t="s">
        <v>5</v>
      </c>
      <c r="E1" s="80" t="s">
        <v>6</v>
      </c>
      <c r="F1" s="3" t="s">
        <v>7</v>
      </c>
      <c r="G1" s="3" t="s">
        <v>8</v>
      </c>
      <c r="H1" s="3" t="s">
        <v>9</v>
      </c>
      <c r="I1" s="4" t="s">
        <v>10</v>
      </c>
      <c r="J1" s="4" t="s">
        <v>11</v>
      </c>
      <c r="K1" s="4" t="s">
        <v>12</v>
      </c>
      <c r="L1" s="5" t="s">
        <v>13</v>
      </c>
      <c r="M1" s="5" t="s">
        <v>14</v>
      </c>
      <c r="N1" s="5" t="s">
        <v>15</v>
      </c>
      <c r="O1" s="81" t="s">
        <v>180</v>
      </c>
      <c r="P1" s="81" t="s">
        <v>181</v>
      </c>
      <c r="Q1" s="81" t="s">
        <v>182</v>
      </c>
    </row>
    <row r="2" spans="1:17" x14ac:dyDescent="0.2">
      <c r="A2" s="10" t="s">
        <v>77</v>
      </c>
      <c r="B2" s="6" t="s">
        <v>16</v>
      </c>
      <c r="C2" s="7">
        <v>16</v>
      </c>
      <c r="D2" s="7">
        <v>16</v>
      </c>
      <c r="E2" s="7">
        <v>16</v>
      </c>
      <c r="F2" s="7">
        <v>16</v>
      </c>
      <c r="G2" s="7">
        <v>16</v>
      </c>
      <c r="H2" s="7">
        <v>16</v>
      </c>
      <c r="I2" s="7">
        <v>15</v>
      </c>
      <c r="J2" s="7">
        <v>15</v>
      </c>
      <c r="K2" s="7">
        <v>15</v>
      </c>
      <c r="L2" s="7">
        <v>15</v>
      </c>
      <c r="M2" s="7">
        <v>16</v>
      </c>
      <c r="N2" s="7">
        <v>16</v>
      </c>
      <c r="O2" s="7">
        <v>16</v>
      </c>
      <c r="P2" s="7">
        <v>16</v>
      </c>
      <c r="Q2" s="7">
        <v>16</v>
      </c>
    </row>
    <row r="3" spans="1:17" x14ac:dyDescent="0.2">
      <c r="A3" s="11" t="s">
        <v>77</v>
      </c>
      <c r="B3" s="8" t="s">
        <v>17</v>
      </c>
      <c r="C3" s="7">
        <v>16</v>
      </c>
      <c r="D3" s="7">
        <v>16</v>
      </c>
      <c r="E3" s="7">
        <v>16</v>
      </c>
      <c r="F3" s="7">
        <v>16</v>
      </c>
      <c r="G3" s="7">
        <v>16</v>
      </c>
      <c r="H3" s="7">
        <v>16</v>
      </c>
      <c r="I3" s="7">
        <v>16</v>
      </c>
      <c r="J3" s="7">
        <v>16</v>
      </c>
      <c r="K3" s="7">
        <v>16</v>
      </c>
      <c r="L3" s="7">
        <v>16</v>
      </c>
      <c r="M3" s="7">
        <v>16</v>
      </c>
      <c r="N3" s="7">
        <v>16</v>
      </c>
      <c r="O3" s="7">
        <v>15.733333330000001</v>
      </c>
      <c r="P3" s="7">
        <v>15.733333330000001</v>
      </c>
      <c r="Q3" s="7">
        <v>15.733333330000001</v>
      </c>
    </row>
    <row r="4" spans="1:17" x14ac:dyDescent="0.2">
      <c r="A4" s="12" t="s">
        <v>77</v>
      </c>
      <c r="B4" s="9" t="s">
        <v>18</v>
      </c>
      <c r="C4" s="7">
        <v>16</v>
      </c>
      <c r="D4" s="7">
        <v>16</v>
      </c>
      <c r="E4" s="7">
        <v>16</v>
      </c>
      <c r="F4" s="7">
        <v>16</v>
      </c>
      <c r="G4" s="7">
        <v>16</v>
      </c>
      <c r="H4" s="7">
        <v>16</v>
      </c>
      <c r="I4" s="7">
        <v>15</v>
      </c>
      <c r="J4" s="7">
        <v>15</v>
      </c>
      <c r="K4" s="7">
        <v>15</v>
      </c>
      <c r="L4" s="7">
        <v>15</v>
      </c>
      <c r="M4" s="7">
        <v>16</v>
      </c>
      <c r="N4" s="7">
        <v>16</v>
      </c>
      <c r="O4" s="7">
        <v>16</v>
      </c>
      <c r="P4" s="7">
        <v>16</v>
      </c>
      <c r="Q4" s="7">
        <v>16</v>
      </c>
    </row>
    <row r="5" spans="1:17" x14ac:dyDescent="0.2">
      <c r="A5" s="16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x14ac:dyDescent="0.2">
      <c r="A6" s="7"/>
      <c r="B6" s="17" t="s">
        <v>23</v>
      </c>
      <c r="C6" s="18">
        <v>1</v>
      </c>
      <c r="D6" s="18">
        <v>1</v>
      </c>
      <c r="E6" s="18">
        <v>1</v>
      </c>
      <c r="F6" s="18">
        <v>1</v>
      </c>
      <c r="G6" s="18">
        <v>1</v>
      </c>
      <c r="H6" s="18">
        <v>1</v>
      </c>
      <c r="I6" s="18">
        <v>1</v>
      </c>
      <c r="J6" s="18">
        <v>1</v>
      </c>
      <c r="K6" s="18">
        <v>1</v>
      </c>
      <c r="L6" s="18">
        <v>1</v>
      </c>
      <c r="M6" s="18">
        <v>1</v>
      </c>
      <c r="N6" s="18">
        <v>1</v>
      </c>
      <c r="O6" s="18">
        <v>1</v>
      </c>
      <c r="P6" s="18">
        <v>1</v>
      </c>
      <c r="Q6" s="18">
        <v>1</v>
      </c>
    </row>
    <row r="7" spans="1:17" x14ac:dyDescent="0.2">
      <c r="A7" s="16"/>
      <c r="B7" s="17" t="s">
        <v>24</v>
      </c>
      <c r="C7" s="19">
        <v>0</v>
      </c>
      <c r="D7" s="19">
        <v>0</v>
      </c>
      <c r="E7" s="19">
        <v>0</v>
      </c>
      <c r="F7" s="19">
        <v>0</v>
      </c>
      <c r="G7" s="19">
        <v>0</v>
      </c>
      <c r="H7" s="19">
        <v>0</v>
      </c>
      <c r="I7" s="19">
        <v>0</v>
      </c>
      <c r="J7" s="19">
        <v>0</v>
      </c>
      <c r="K7" s="19">
        <v>0</v>
      </c>
      <c r="L7" s="19">
        <v>0</v>
      </c>
      <c r="M7" s="19">
        <v>0</v>
      </c>
      <c r="N7" s="19">
        <v>0</v>
      </c>
      <c r="O7" s="19">
        <v>0</v>
      </c>
      <c r="P7" s="19">
        <v>0</v>
      </c>
      <c r="Q7" s="19">
        <v>0</v>
      </c>
    </row>
    <row r="8" spans="1:17" x14ac:dyDescent="0.2">
      <c r="A8" s="1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x14ac:dyDescent="0.2">
      <c r="A9" s="14" t="s">
        <v>16</v>
      </c>
      <c r="B9" s="10" t="s">
        <v>19</v>
      </c>
      <c r="C9" s="7">
        <v>14</v>
      </c>
      <c r="D9" s="7">
        <v>14</v>
      </c>
      <c r="E9" s="7">
        <v>14</v>
      </c>
      <c r="F9" s="7">
        <v>14</v>
      </c>
      <c r="G9" s="7">
        <v>14</v>
      </c>
      <c r="H9" s="7">
        <v>14</v>
      </c>
      <c r="I9" s="7">
        <v>13</v>
      </c>
      <c r="J9" s="7">
        <v>13</v>
      </c>
      <c r="K9" s="7">
        <v>13</v>
      </c>
      <c r="L9" s="7">
        <v>13</v>
      </c>
      <c r="M9" s="7">
        <v>14</v>
      </c>
      <c r="N9" s="7">
        <v>14</v>
      </c>
      <c r="O9" s="7">
        <v>14</v>
      </c>
      <c r="P9" s="7">
        <v>14</v>
      </c>
      <c r="Q9" s="7">
        <v>14</v>
      </c>
    </row>
    <row r="10" spans="1:17" x14ac:dyDescent="0.2">
      <c r="A10" s="8" t="s">
        <v>17</v>
      </c>
      <c r="B10" s="11" t="s">
        <v>19</v>
      </c>
      <c r="C10" s="7">
        <v>14</v>
      </c>
      <c r="D10" s="7">
        <v>14</v>
      </c>
      <c r="E10" s="7">
        <v>14</v>
      </c>
      <c r="F10" s="7">
        <v>14</v>
      </c>
      <c r="G10" s="7">
        <v>14</v>
      </c>
      <c r="H10" s="7">
        <v>14</v>
      </c>
      <c r="I10" s="7">
        <v>14</v>
      </c>
      <c r="J10" s="7">
        <v>14</v>
      </c>
      <c r="K10" s="7">
        <v>14</v>
      </c>
      <c r="L10" s="7">
        <v>14</v>
      </c>
      <c r="M10" s="7">
        <v>14</v>
      </c>
      <c r="N10" s="7">
        <v>14</v>
      </c>
      <c r="O10" s="7">
        <v>13.66666667</v>
      </c>
      <c r="P10" s="7">
        <v>13.66666667</v>
      </c>
      <c r="Q10" s="7">
        <v>13.66666667</v>
      </c>
    </row>
    <row r="11" spans="1:17" x14ac:dyDescent="0.2">
      <c r="A11" s="15" t="s">
        <v>18</v>
      </c>
      <c r="B11" s="12" t="s">
        <v>19</v>
      </c>
      <c r="C11" s="7">
        <v>14</v>
      </c>
      <c r="D11" s="7">
        <v>14</v>
      </c>
      <c r="E11" s="7">
        <v>14</v>
      </c>
      <c r="F11" s="7">
        <v>14</v>
      </c>
      <c r="G11" s="7">
        <v>14</v>
      </c>
      <c r="H11" s="7">
        <v>14</v>
      </c>
      <c r="I11" s="7">
        <v>13</v>
      </c>
      <c r="J11" s="7">
        <v>13</v>
      </c>
      <c r="K11" s="7">
        <v>13</v>
      </c>
      <c r="L11" s="7">
        <v>13</v>
      </c>
      <c r="M11" s="7">
        <v>14</v>
      </c>
      <c r="N11" s="7">
        <v>14</v>
      </c>
      <c r="O11" s="7">
        <v>14</v>
      </c>
      <c r="P11" s="7">
        <v>14</v>
      </c>
      <c r="Q11" s="7">
        <v>14</v>
      </c>
    </row>
    <row r="12" spans="1:17" x14ac:dyDescent="0.2">
      <c r="A12" s="7"/>
      <c r="B12" s="16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x14ac:dyDescent="0.2">
      <c r="A13" s="14" t="s">
        <v>16</v>
      </c>
      <c r="B13" s="10" t="s">
        <v>20</v>
      </c>
      <c r="C13" s="7">
        <v>2</v>
      </c>
      <c r="D13" s="7">
        <v>2</v>
      </c>
      <c r="E13" s="7">
        <v>2</v>
      </c>
      <c r="F13" s="7">
        <v>2</v>
      </c>
      <c r="G13" s="7">
        <v>2</v>
      </c>
      <c r="H13" s="7">
        <v>2</v>
      </c>
      <c r="I13" s="7">
        <v>2</v>
      </c>
      <c r="J13" s="7">
        <v>2</v>
      </c>
      <c r="K13" s="7">
        <v>2</v>
      </c>
      <c r="L13" s="7">
        <v>2</v>
      </c>
      <c r="M13" s="7">
        <v>2</v>
      </c>
      <c r="N13" s="7">
        <v>2</v>
      </c>
      <c r="O13" s="7">
        <v>2</v>
      </c>
      <c r="P13" s="7">
        <v>2</v>
      </c>
      <c r="Q13" s="7">
        <v>2</v>
      </c>
    </row>
    <row r="14" spans="1:17" x14ac:dyDescent="0.2">
      <c r="A14" s="8" t="s">
        <v>17</v>
      </c>
      <c r="B14" s="11" t="s">
        <v>20</v>
      </c>
      <c r="C14" s="7">
        <v>2</v>
      </c>
      <c r="D14" s="7">
        <v>2</v>
      </c>
      <c r="E14" s="7">
        <v>2</v>
      </c>
      <c r="F14" s="7">
        <v>2</v>
      </c>
      <c r="G14" s="7">
        <v>2</v>
      </c>
      <c r="H14" s="7">
        <v>2</v>
      </c>
      <c r="I14" s="7">
        <v>2</v>
      </c>
      <c r="J14" s="7">
        <v>2</v>
      </c>
      <c r="K14" s="7">
        <v>2</v>
      </c>
      <c r="L14" s="7">
        <v>2</v>
      </c>
      <c r="M14" s="7">
        <v>2</v>
      </c>
      <c r="N14" s="7">
        <v>2</v>
      </c>
      <c r="O14" s="7">
        <v>2</v>
      </c>
      <c r="P14" s="7">
        <v>2</v>
      </c>
      <c r="Q14" s="7">
        <v>2</v>
      </c>
    </row>
    <row r="15" spans="1:17" x14ac:dyDescent="0.2">
      <c r="A15" s="15" t="s">
        <v>18</v>
      </c>
      <c r="B15" s="12" t="s">
        <v>20</v>
      </c>
      <c r="C15" s="7">
        <v>2</v>
      </c>
      <c r="D15" s="7">
        <v>2</v>
      </c>
      <c r="E15" s="7">
        <v>2</v>
      </c>
      <c r="F15" s="7">
        <v>2</v>
      </c>
      <c r="G15" s="7">
        <v>2</v>
      </c>
      <c r="H15" s="7">
        <v>2</v>
      </c>
      <c r="I15" s="7">
        <v>2</v>
      </c>
      <c r="J15" s="7">
        <v>2</v>
      </c>
      <c r="K15" s="7">
        <v>2</v>
      </c>
      <c r="L15" s="7">
        <v>2</v>
      </c>
      <c r="M15" s="7">
        <v>2</v>
      </c>
      <c r="N15" s="7">
        <v>2</v>
      </c>
      <c r="O15" s="7">
        <v>2</v>
      </c>
      <c r="P15" s="7">
        <v>2</v>
      </c>
      <c r="Q15" s="7">
        <v>2</v>
      </c>
    </row>
    <row r="16" spans="1:17" x14ac:dyDescent="0.2">
      <c r="A16" s="7"/>
      <c r="B16" s="16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 spans="1:17" x14ac:dyDescent="0.2">
      <c r="A17" s="14" t="s">
        <v>30</v>
      </c>
      <c r="B17" s="10" t="s">
        <v>21</v>
      </c>
      <c r="C17" s="7">
        <v>0</v>
      </c>
      <c r="D17" s="7">
        <v>0</v>
      </c>
      <c r="E17" s="7">
        <v>0</v>
      </c>
      <c r="F17" s="7">
        <v>0</v>
      </c>
      <c r="G17" s="7">
        <v>0</v>
      </c>
      <c r="H17" s="7">
        <v>0</v>
      </c>
      <c r="I17" s="7">
        <v>0</v>
      </c>
      <c r="J17" s="7">
        <v>0</v>
      </c>
      <c r="K17" s="7">
        <v>0</v>
      </c>
      <c r="L17" s="7">
        <v>0</v>
      </c>
      <c r="M17" s="7">
        <v>0</v>
      </c>
      <c r="N17" s="7">
        <v>0</v>
      </c>
      <c r="O17" s="7">
        <v>0</v>
      </c>
      <c r="P17" s="7">
        <v>0</v>
      </c>
      <c r="Q17" s="7">
        <v>0</v>
      </c>
    </row>
    <row r="18" spans="1:17" x14ac:dyDescent="0.2">
      <c r="A18" s="8" t="s">
        <v>17</v>
      </c>
      <c r="B18" s="11" t="s">
        <v>21</v>
      </c>
      <c r="C18" s="7">
        <v>0</v>
      </c>
      <c r="D18" s="7">
        <v>0</v>
      </c>
      <c r="E18" s="7">
        <v>0</v>
      </c>
      <c r="F18" s="7">
        <v>0</v>
      </c>
      <c r="G18" s="7">
        <v>0</v>
      </c>
      <c r="H18" s="7">
        <v>0</v>
      </c>
      <c r="I18" s="7">
        <v>0</v>
      </c>
      <c r="J18" s="7">
        <v>0</v>
      </c>
      <c r="K18" s="7">
        <v>0</v>
      </c>
      <c r="L18" s="7">
        <v>0</v>
      </c>
      <c r="M18" s="7">
        <v>0</v>
      </c>
      <c r="N18" s="7">
        <v>0</v>
      </c>
      <c r="O18" s="7">
        <v>0</v>
      </c>
      <c r="P18" s="7">
        <v>0</v>
      </c>
      <c r="Q18" s="7">
        <v>0</v>
      </c>
    </row>
    <row r="19" spans="1:17" x14ac:dyDescent="0.2">
      <c r="A19" s="15">
        <v>0</v>
      </c>
      <c r="B19" s="12" t="s">
        <v>21</v>
      </c>
      <c r="C19" s="7">
        <v>0</v>
      </c>
      <c r="D19" s="7">
        <v>0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0</v>
      </c>
      <c r="L19" s="7">
        <v>0</v>
      </c>
      <c r="M19" s="7">
        <v>0</v>
      </c>
      <c r="N19" s="7">
        <v>0</v>
      </c>
      <c r="O19" s="7">
        <v>0</v>
      </c>
      <c r="P19" s="7">
        <v>0</v>
      </c>
      <c r="Q19" s="7">
        <v>0</v>
      </c>
    </row>
    <row r="31" spans="1:17" x14ac:dyDescent="0.2">
      <c r="A31" s="16"/>
      <c r="B31" s="1" t="s">
        <v>0</v>
      </c>
      <c r="C31" s="22" t="s">
        <v>26</v>
      </c>
      <c r="D31" s="22" t="s">
        <v>27</v>
      </c>
      <c r="E31" s="22" t="s">
        <v>28</v>
      </c>
      <c r="F31" s="23" t="s">
        <v>29</v>
      </c>
      <c r="G31" s="23" t="s">
        <v>183</v>
      </c>
    </row>
    <row r="32" spans="1:17" x14ac:dyDescent="0.2">
      <c r="A32" s="10" t="s">
        <v>77</v>
      </c>
      <c r="B32" s="6" t="s">
        <v>16</v>
      </c>
      <c r="C32" s="20">
        <v>16</v>
      </c>
      <c r="D32" s="20">
        <v>16</v>
      </c>
      <c r="E32" s="20">
        <v>15</v>
      </c>
      <c r="F32" s="20">
        <v>16</v>
      </c>
      <c r="G32" s="20">
        <v>16</v>
      </c>
    </row>
    <row r="33" spans="1:7" x14ac:dyDescent="0.2">
      <c r="A33" s="11" t="s">
        <v>77</v>
      </c>
      <c r="B33" s="8" t="s">
        <v>17</v>
      </c>
      <c r="C33" s="20">
        <v>16</v>
      </c>
      <c r="D33" s="20">
        <v>16</v>
      </c>
      <c r="E33" s="20">
        <v>16</v>
      </c>
      <c r="F33" s="20">
        <v>16</v>
      </c>
      <c r="G33" s="20">
        <v>16</v>
      </c>
    </row>
    <row r="34" spans="1:7" x14ac:dyDescent="0.2">
      <c r="A34" s="12" t="s">
        <v>77</v>
      </c>
      <c r="B34" s="9" t="s">
        <v>18</v>
      </c>
      <c r="C34" s="20">
        <v>16</v>
      </c>
      <c r="D34" s="20">
        <v>16</v>
      </c>
      <c r="E34" s="20">
        <v>15</v>
      </c>
      <c r="F34" s="20">
        <v>16</v>
      </c>
      <c r="G34" s="20">
        <v>16</v>
      </c>
    </row>
    <row r="35" spans="1:7" x14ac:dyDescent="0.2">
      <c r="A35" s="16"/>
      <c r="B35" s="7"/>
      <c r="C35" s="27">
        <v>0</v>
      </c>
      <c r="D35" s="27">
        <v>0</v>
      </c>
      <c r="E35" s="27">
        <v>0</v>
      </c>
      <c r="F35" s="27">
        <v>0</v>
      </c>
      <c r="G35" s="27">
        <v>0</v>
      </c>
    </row>
    <row r="36" spans="1:7" x14ac:dyDescent="0.2">
      <c r="A36" s="7"/>
      <c r="B36" s="17" t="s">
        <v>23</v>
      </c>
      <c r="C36" s="18">
        <v>1</v>
      </c>
      <c r="D36" s="18">
        <v>1</v>
      </c>
      <c r="E36" s="18">
        <v>1</v>
      </c>
      <c r="F36" s="18">
        <v>1</v>
      </c>
      <c r="G36" s="18">
        <v>1</v>
      </c>
    </row>
    <row r="37" spans="1:7" x14ac:dyDescent="0.2">
      <c r="A37" s="16"/>
      <c r="B37" s="17" t="s">
        <v>24</v>
      </c>
      <c r="C37" s="19">
        <v>0</v>
      </c>
      <c r="D37" s="19">
        <v>0</v>
      </c>
      <c r="E37" s="19">
        <v>0</v>
      </c>
      <c r="F37" s="19">
        <v>0</v>
      </c>
      <c r="G37" s="19">
        <v>0</v>
      </c>
    </row>
    <row r="38" spans="1:7" x14ac:dyDescent="0.2">
      <c r="A38" s="16"/>
      <c r="B38" s="7"/>
      <c r="C38" s="20"/>
      <c r="D38" s="20"/>
      <c r="E38" s="20"/>
      <c r="F38" s="20"/>
      <c r="G38" s="20"/>
    </row>
    <row r="39" spans="1:7" x14ac:dyDescent="0.2">
      <c r="A39" s="14" t="s">
        <v>16</v>
      </c>
      <c r="B39" s="10" t="s">
        <v>19</v>
      </c>
      <c r="C39" s="20">
        <v>14</v>
      </c>
      <c r="D39" s="20">
        <v>14</v>
      </c>
      <c r="E39" s="20">
        <v>13</v>
      </c>
      <c r="F39" s="20">
        <v>14</v>
      </c>
      <c r="G39" s="20">
        <v>14</v>
      </c>
    </row>
    <row r="40" spans="1:7" x14ac:dyDescent="0.2">
      <c r="A40" s="8" t="s">
        <v>17</v>
      </c>
      <c r="B40" s="11" t="s">
        <v>19</v>
      </c>
      <c r="C40" s="20">
        <v>14</v>
      </c>
      <c r="D40" s="20">
        <v>14</v>
      </c>
      <c r="E40" s="20">
        <v>14</v>
      </c>
      <c r="F40" s="20">
        <v>14</v>
      </c>
      <c r="G40" s="20">
        <v>14</v>
      </c>
    </row>
    <row r="41" spans="1:7" x14ac:dyDescent="0.2">
      <c r="A41" s="15" t="s">
        <v>18</v>
      </c>
      <c r="B41" s="12" t="s">
        <v>19</v>
      </c>
      <c r="C41" s="20">
        <v>14</v>
      </c>
      <c r="D41" s="20">
        <v>14</v>
      </c>
      <c r="E41" s="20">
        <v>13</v>
      </c>
      <c r="F41" s="20">
        <v>14</v>
      </c>
      <c r="G41" s="20">
        <v>14</v>
      </c>
    </row>
    <row r="42" spans="1:7" x14ac:dyDescent="0.2">
      <c r="A42" s="7"/>
      <c r="B42" s="16"/>
      <c r="C42" s="20"/>
      <c r="D42" s="20"/>
      <c r="E42" s="20"/>
      <c r="F42" s="20"/>
      <c r="G42" s="20"/>
    </row>
    <row r="43" spans="1:7" x14ac:dyDescent="0.2">
      <c r="A43" s="14" t="s">
        <v>16</v>
      </c>
      <c r="B43" s="10" t="s">
        <v>20</v>
      </c>
      <c r="C43" s="20">
        <v>2</v>
      </c>
      <c r="D43" s="20">
        <v>2</v>
      </c>
      <c r="E43" s="20">
        <v>2</v>
      </c>
      <c r="F43" s="20">
        <v>2</v>
      </c>
      <c r="G43" s="20">
        <v>2</v>
      </c>
    </row>
    <row r="44" spans="1:7" x14ac:dyDescent="0.2">
      <c r="A44" s="8" t="s">
        <v>17</v>
      </c>
      <c r="B44" s="11" t="s">
        <v>20</v>
      </c>
      <c r="C44" s="20">
        <v>2</v>
      </c>
      <c r="D44" s="20">
        <v>2</v>
      </c>
      <c r="E44" s="20">
        <v>2</v>
      </c>
      <c r="F44" s="20">
        <v>2</v>
      </c>
      <c r="G44" s="20">
        <v>2</v>
      </c>
    </row>
    <row r="45" spans="1:7" x14ac:dyDescent="0.2">
      <c r="A45" s="15" t="s">
        <v>18</v>
      </c>
      <c r="B45" s="12" t="s">
        <v>20</v>
      </c>
      <c r="C45" s="20">
        <v>2</v>
      </c>
      <c r="D45" s="20">
        <v>2</v>
      </c>
      <c r="E45" s="20">
        <v>2</v>
      </c>
      <c r="F45" s="20">
        <v>2</v>
      </c>
      <c r="G45" s="20">
        <v>2</v>
      </c>
    </row>
    <row r="46" spans="1:7" x14ac:dyDescent="0.2">
      <c r="A46" s="7"/>
      <c r="B46" s="16"/>
      <c r="C46" s="20"/>
      <c r="D46" s="20"/>
      <c r="E46" s="20"/>
      <c r="F46" s="20"/>
      <c r="G46" s="20"/>
    </row>
    <row r="47" spans="1:7" x14ac:dyDescent="0.2">
      <c r="A47" s="14" t="s">
        <v>30</v>
      </c>
      <c r="B47" s="10" t="s">
        <v>21</v>
      </c>
      <c r="C47" s="20">
        <v>0</v>
      </c>
      <c r="D47" s="20">
        <v>0</v>
      </c>
      <c r="E47" s="20">
        <v>0</v>
      </c>
      <c r="F47" s="20">
        <v>0</v>
      </c>
      <c r="G47" s="20">
        <v>0</v>
      </c>
    </row>
    <row r="48" spans="1:7" x14ac:dyDescent="0.2">
      <c r="A48" s="8" t="s">
        <v>17</v>
      </c>
      <c r="B48" s="11" t="s">
        <v>21</v>
      </c>
      <c r="C48" s="20">
        <v>0</v>
      </c>
      <c r="D48" s="20">
        <v>0</v>
      </c>
      <c r="E48" s="20">
        <v>0</v>
      </c>
      <c r="F48" s="20">
        <v>0</v>
      </c>
      <c r="G48" s="20">
        <v>0</v>
      </c>
    </row>
    <row r="49" spans="1:17" x14ac:dyDescent="0.2">
      <c r="A49" s="15">
        <v>0</v>
      </c>
      <c r="B49" s="12" t="s">
        <v>21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</row>
    <row r="61" spans="1:17" x14ac:dyDescent="0.2">
      <c r="A61" s="31" t="s">
        <v>35</v>
      </c>
      <c r="B61" s="32"/>
      <c r="C61" s="2" t="s">
        <v>4</v>
      </c>
      <c r="D61" s="2" t="s">
        <v>5</v>
      </c>
      <c r="E61" s="2" t="s">
        <v>6</v>
      </c>
      <c r="F61" s="3" t="s">
        <v>7</v>
      </c>
      <c r="G61" s="3" t="s">
        <v>8</v>
      </c>
      <c r="H61" s="3" t="s">
        <v>9</v>
      </c>
      <c r="I61" s="4" t="s">
        <v>10</v>
      </c>
      <c r="J61" s="4" t="s">
        <v>11</v>
      </c>
      <c r="K61" s="4" t="s">
        <v>12</v>
      </c>
      <c r="L61" s="5" t="s">
        <v>13</v>
      </c>
      <c r="M61" s="5" t="s">
        <v>14</v>
      </c>
      <c r="N61" s="5" t="s">
        <v>15</v>
      </c>
      <c r="O61" s="81" t="s">
        <v>180</v>
      </c>
      <c r="P61" s="81" t="s">
        <v>181</v>
      </c>
      <c r="Q61" s="81" t="s">
        <v>182</v>
      </c>
    </row>
    <row r="62" spans="1:17" x14ac:dyDescent="0.2">
      <c r="A62" s="11"/>
      <c r="B62" s="43" t="s">
        <v>16</v>
      </c>
      <c r="C62" s="11">
        <v>16</v>
      </c>
      <c r="D62" s="11">
        <v>16</v>
      </c>
      <c r="E62" s="11">
        <v>16</v>
      </c>
      <c r="F62" s="11">
        <v>16</v>
      </c>
      <c r="G62" s="11">
        <v>16</v>
      </c>
      <c r="H62" s="11">
        <v>16</v>
      </c>
      <c r="I62" s="11">
        <v>15</v>
      </c>
      <c r="J62" s="11">
        <v>15</v>
      </c>
      <c r="K62" s="11">
        <v>15</v>
      </c>
      <c r="L62" s="11">
        <v>15</v>
      </c>
      <c r="M62" s="11">
        <v>16</v>
      </c>
      <c r="N62" s="11">
        <v>16</v>
      </c>
      <c r="O62" s="11">
        <v>16</v>
      </c>
      <c r="P62" s="11">
        <v>16</v>
      </c>
      <c r="Q62" s="11">
        <v>16</v>
      </c>
    </row>
    <row r="63" spans="1:17" x14ac:dyDescent="0.2">
      <c r="A63" s="34"/>
      <c r="B63" s="44" t="s">
        <v>18</v>
      </c>
      <c r="C63" s="45">
        <v>16</v>
      </c>
      <c r="D63" s="45">
        <v>16</v>
      </c>
      <c r="E63" s="45">
        <v>16</v>
      </c>
      <c r="F63" s="45">
        <v>16</v>
      </c>
      <c r="G63" s="45">
        <v>16</v>
      </c>
      <c r="H63" s="45">
        <v>16</v>
      </c>
      <c r="I63" s="45">
        <v>15</v>
      </c>
      <c r="J63" s="45">
        <v>15</v>
      </c>
      <c r="K63" s="45">
        <v>15</v>
      </c>
      <c r="L63" s="45">
        <v>15</v>
      </c>
      <c r="M63" s="45">
        <v>16</v>
      </c>
      <c r="N63" s="45">
        <v>16</v>
      </c>
      <c r="O63" s="45">
        <v>16</v>
      </c>
      <c r="P63" s="45">
        <v>16</v>
      </c>
      <c r="Q63" s="45">
        <v>16</v>
      </c>
    </row>
    <row r="64" spans="1:17" x14ac:dyDescent="0.2">
      <c r="A64" s="46" t="s">
        <v>78</v>
      </c>
      <c r="B64" s="47" t="s">
        <v>16</v>
      </c>
      <c r="C64" s="46">
        <v>1</v>
      </c>
      <c r="D64" s="46">
        <v>1</v>
      </c>
      <c r="E64" s="46">
        <v>1</v>
      </c>
      <c r="F64" s="46">
        <v>1</v>
      </c>
      <c r="G64" s="46">
        <v>1</v>
      </c>
      <c r="H64" s="46">
        <v>1</v>
      </c>
      <c r="I64" s="46">
        <v>1</v>
      </c>
      <c r="J64" s="46">
        <v>1</v>
      </c>
      <c r="K64" s="46">
        <v>1</v>
      </c>
      <c r="L64" s="46">
        <v>1</v>
      </c>
      <c r="M64" s="46">
        <v>1</v>
      </c>
      <c r="N64" s="46">
        <v>1</v>
      </c>
      <c r="O64" s="46">
        <v>1</v>
      </c>
      <c r="P64" s="46">
        <v>1</v>
      </c>
      <c r="Q64" s="46">
        <v>1</v>
      </c>
    </row>
    <row r="65" spans="1:17" x14ac:dyDescent="0.2">
      <c r="A65" s="37" t="s">
        <v>78</v>
      </c>
      <c r="B65" s="9" t="s">
        <v>18</v>
      </c>
      <c r="C65" s="7">
        <v>1</v>
      </c>
      <c r="D65" s="7">
        <v>1</v>
      </c>
      <c r="E65" s="7">
        <v>1</v>
      </c>
      <c r="F65" s="7">
        <v>1</v>
      </c>
      <c r="G65" s="7">
        <v>1</v>
      </c>
      <c r="H65" s="7">
        <v>1</v>
      </c>
      <c r="I65" s="7">
        <v>1</v>
      </c>
      <c r="J65" s="7">
        <v>1</v>
      </c>
      <c r="K65" s="7">
        <v>1</v>
      </c>
      <c r="L65" s="7">
        <v>1</v>
      </c>
      <c r="M65" s="7">
        <v>1</v>
      </c>
      <c r="N65" s="7">
        <v>1</v>
      </c>
      <c r="O65" s="7">
        <v>1</v>
      </c>
      <c r="P65" s="7">
        <v>1</v>
      </c>
      <c r="Q65" s="7">
        <v>1</v>
      </c>
    </row>
    <row r="66" spans="1:17" x14ac:dyDescent="0.2">
      <c r="A66" s="46" t="s">
        <v>79</v>
      </c>
      <c r="B66" s="47" t="s">
        <v>16</v>
      </c>
      <c r="C66" s="46">
        <v>4</v>
      </c>
      <c r="D66" s="46">
        <v>4</v>
      </c>
      <c r="E66" s="46">
        <v>4</v>
      </c>
      <c r="F66" s="46">
        <v>4</v>
      </c>
      <c r="G66" s="46">
        <v>4</v>
      </c>
      <c r="H66" s="46">
        <v>4</v>
      </c>
      <c r="I66" s="46">
        <v>4</v>
      </c>
      <c r="J66" s="46">
        <v>4</v>
      </c>
      <c r="K66" s="46">
        <v>4</v>
      </c>
      <c r="L66" s="46">
        <v>4</v>
      </c>
      <c r="M66" s="46">
        <v>4</v>
      </c>
      <c r="N66" s="46">
        <v>4</v>
      </c>
      <c r="O66" s="46">
        <v>4</v>
      </c>
      <c r="P66" s="46">
        <v>4</v>
      </c>
      <c r="Q66" s="46">
        <v>4</v>
      </c>
    </row>
    <row r="67" spans="1:17" x14ac:dyDescent="0.2">
      <c r="A67" s="37" t="s">
        <v>79</v>
      </c>
      <c r="B67" s="9" t="s">
        <v>18</v>
      </c>
      <c r="C67" s="7">
        <v>4</v>
      </c>
      <c r="D67" s="7">
        <v>4</v>
      </c>
      <c r="E67" s="7">
        <v>4</v>
      </c>
      <c r="F67" s="7">
        <v>4</v>
      </c>
      <c r="G67" s="7">
        <v>4</v>
      </c>
      <c r="H67" s="7">
        <v>4</v>
      </c>
      <c r="I67" s="7">
        <v>4</v>
      </c>
      <c r="J67" s="7">
        <v>4</v>
      </c>
      <c r="K67" s="7">
        <v>4</v>
      </c>
      <c r="L67" s="7">
        <v>4</v>
      </c>
      <c r="M67" s="7">
        <v>4</v>
      </c>
      <c r="N67" s="7">
        <v>4</v>
      </c>
      <c r="O67" s="7">
        <v>4</v>
      </c>
      <c r="P67" s="7">
        <v>4</v>
      </c>
      <c r="Q67" s="7">
        <v>4</v>
      </c>
    </row>
    <row r="68" spans="1:17" x14ac:dyDescent="0.2">
      <c r="A68" s="46" t="s">
        <v>80</v>
      </c>
      <c r="B68" s="47" t="s">
        <v>16</v>
      </c>
      <c r="C68" s="46">
        <v>5</v>
      </c>
      <c r="D68" s="46">
        <v>5</v>
      </c>
      <c r="E68" s="46">
        <v>5</v>
      </c>
      <c r="F68" s="46">
        <v>5</v>
      </c>
      <c r="G68" s="46">
        <v>5</v>
      </c>
      <c r="H68" s="46">
        <v>5</v>
      </c>
      <c r="I68" s="46">
        <v>5</v>
      </c>
      <c r="J68" s="46">
        <v>5</v>
      </c>
      <c r="K68" s="46">
        <v>5</v>
      </c>
      <c r="L68" s="46">
        <v>5</v>
      </c>
      <c r="M68" s="46">
        <v>5</v>
      </c>
      <c r="N68" s="46">
        <v>5</v>
      </c>
      <c r="O68" s="46">
        <v>5</v>
      </c>
      <c r="P68" s="46">
        <v>5</v>
      </c>
      <c r="Q68" s="46">
        <v>5</v>
      </c>
    </row>
    <row r="69" spans="1:17" x14ac:dyDescent="0.2">
      <c r="A69" s="37" t="s">
        <v>80</v>
      </c>
      <c r="B69" s="9" t="s">
        <v>18</v>
      </c>
      <c r="C69" s="7">
        <v>5</v>
      </c>
      <c r="D69" s="7">
        <v>5</v>
      </c>
      <c r="E69" s="7">
        <v>5</v>
      </c>
      <c r="F69" s="7">
        <v>5</v>
      </c>
      <c r="G69" s="7">
        <v>5</v>
      </c>
      <c r="H69" s="7">
        <v>5</v>
      </c>
      <c r="I69" s="7">
        <v>5</v>
      </c>
      <c r="J69" s="7">
        <v>5</v>
      </c>
      <c r="K69" s="7">
        <v>5</v>
      </c>
      <c r="L69" s="7">
        <v>5</v>
      </c>
      <c r="M69" s="7">
        <v>5</v>
      </c>
      <c r="N69" s="7">
        <v>5</v>
      </c>
      <c r="O69" s="7">
        <v>5</v>
      </c>
      <c r="P69" s="7">
        <v>5</v>
      </c>
      <c r="Q69" s="7">
        <v>5</v>
      </c>
    </row>
    <row r="70" spans="1:17" x14ac:dyDescent="0.2">
      <c r="A70" s="39" t="s">
        <v>81</v>
      </c>
      <c r="B70" s="40" t="s">
        <v>16</v>
      </c>
      <c r="C70" s="48">
        <v>4</v>
      </c>
      <c r="D70" s="48">
        <v>4</v>
      </c>
      <c r="E70" s="48">
        <v>4</v>
      </c>
      <c r="F70" s="48">
        <v>4</v>
      </c>
      <c r="G70" s="48">
        <v>4</v>
      </c>
      <c r="H70" s="48">
        <v>4</v>
      </c>
      <c r="I70" s="48">
        <v>4</v>
      </c>
      <c r="J70" s="48">
        <v>4</v>
      </c>
      <c r="K70" s="48">
        <v>4</v>
      </c>
      <c r="L70" s="48">
        <v>4</v>
      </c>
      <c r="M70" s="48">
        <v>4</v>
      </c>
      <c r="N70" s="48">
        <v>4</v>
      </c>
      <c r="O70" s="48">
        <v>4</v>
      </c>
      <c r="P70" s="48">
        <v>4</v>
      </c>
      <c r="Q70" s="48">
        <v>4</v>
      </c>
    </row>
    <row r="71" spans="1:17" x14ac:dyDescent="0.2">
      <c r="A71" s="41" t="s">
        <v>82</v>
      </c>
      <c r="B71" s="42" t="s">
        <v>18</v>
      </c>
      <c r="C71" s="49">
        <v>4</v>
      </c>
      <c r="D71" s="49">
        <v>4</v>
      </c>
      <c r="E71" s="49">
        <v>4</v>
      </c>
      <c r="F71" s="49">
        <v>4</v>
      </c>
      <c r="G71" s="49">
        <v>4</v>
      </c>
      <c r="H71" s="49">
        <v>4</v>
      </c>
      <c r="I71" s="49">
        <v>4</v>
      </c>
      <c r="J71" s="49">
        <v>4</v>
      </c>
      <c r="K71" s="49">
        <v>4</v>
      </c>
      <c r="L71" s="49">
        <v>4</v>
      </c>
      <c r="M71" s="49">
        <v>4</v>
      </c>
      <c r="N71" s="49">
        <v>4</v>
      </c>
      <c r="O71" s="49">
        <v>4</v>
      </c>
      <c r="P71" s="49">
        <v>4</v>
      </c>
      <c r="Q71" s="49">
        <v>4</v>
      </c>
    </row>
    <row r="72" spans="1:17" x14ac:dyDescent="0.2">
      <c r="A72" s="39" t="s">
        <v>83</v>
      </c>
      <c r="B72" s="40" t="s">
        <v>16</v>
      </c>
      <c r="C72" s="48">
        <v>1</v>
      </c>
      <c r="D72" s="48">
        <v>1</v>
      </c>
      <c r="E72" s="48">
        <v>1</v>
      </c>
      <c r="F72" s="48">
        <v>1</v>
      </c>
      <c r="G72" s="48">
        <v>1</v>
      </c>
      <c r="H72" s="48">
        <v>1</v>
      </c>
      <c r="I72" s="48">
        <v>1</v>
      </c>
      <c r="J72" s="48">
        <v>1</v>
      </c>
      <c r="K72" s="48">
        <v>1</v>
      </c>
      <c r="L72" s="48">
        <v>1</v>
      </c>
      <c r="M72" s="48">
        <v>1</v>
      </c>
      <c r="N72" s="48">
        <v>1</v>
      </c>
      <c r="O72" s="48">
        <v>1</v>
      </c>
      <c r="P72" s="48">
        <v>1</v>
      </c>
      <c r="Q72" s="48">
        <v>1</v>
      </c>
    </row>
    <row r="73" spans="1:17" x14ac:dyDescent="0.2">
      <c r="A73" s="41" t="s">
        <v>84</v>
      </c>
      <c r="B73" s="42" t="s">
        <v>18</v>
      </c>
      <c r="C73" s="49">
        <v>1</v>
      </c>
      <c r="D73" s="49">
        <v>1</v>
      </c>
      <c r="E73" s="49">
        <v>1</v>
      </c>
      <c r="F73" s="49">
        <v>1</v>
      </c>
      <c r="G73" s="49">
        <v>1</v>
      </c>
      <c r="H73" s="49">
        <v>1</v>
      </c>
      <c r="I73" s="49">
        <v>1</v>
      </c>
      <c r="J73" s="49">
        <v>1</v>
      </c>
      <c r="K73" s="49">
        <v>1</v>
      </c>
      <c r="L73" s="49">
        <v>1</v>
      </c>
      <c r="M73" s="49">
        <v>1</v>
      </c>
      <c r="N73" s="49">
        <v>1</v>
      </c>
      <c r="O73" s="49">
        <v>1</v>
      </c>
      <c r="P73" s="49">
        <v>1</v>
      </c>
      <c r="Q73" s="49">
        <v>1</v>
      </c>
    </row>
    <row r="74" spans="1:17" x14ac:dyDescent="0.2">
      <c r="A74" s="46" t="s">
        <v>85</v>
      </c>
      <c r="B74" s="47" t="s">
        <v>16</v>
      </c>
      <c r="C74" s="46">
        <v>3</v>
      </c>
      <c r="D74" s="46">
        <v>3</v>
      </c>
      <c r="E74" s="46">
        <v>3</v>
      </c>
      <c r="F74" s="46">
        <v>3</v>
      </c>
      <c r="G74" s="46">
        <v>3</v>
      </c>
      <c r="H74" s="46">
        <v>3</v>
      </c>
      <c r="I74" s="46">
        <v>3</v>
      </c>
      <c r="J74" s="46">
        <v>3</v>
      </c>
      <c r="K74" s="46">
        <v>3</v>
      </c>
      <c r="L74" s="46">
        <v>3</v>
      </c>
      <c r="M74" s="46">
        <v>3</v>
      </c>
      <c r="N74" s="46">
        <v>3</v>
      </c>
      <c r="O74" s="46">
        <v>3</v>
      </c>
      <c r="P74" s="46">
        <v>3</v>
      </c>
      <c r="Q74" s="46">
        <v>3</v>
      </c>
    </row>
    <row r="75" spans="1:17" x14ac:dyDescent="0.2">
      <c r="A75" s="37" t="s">
        <v>85</v>
      </c>
      <c r="B75" s="9" t="s">
        <v>18</v>
      </c>
      <c r="C75" s="7">
        <v>3</v>
      </c>
      <c r="D75" s="7">
        <v>3</v>
      </c>
      <c r="E75" s="7">
        <v>3</v>
      </c>
      <c r="F75" s="7">
        <v>3</v>
      </c>
      <c r="G75" s="7">
        <v>3</v>
      </c>
      <c r="H75" s="7">
        <v>3</v>
      </c>
      <c r="I75" s="7">
        <v>3</v>
      </c>
      <c r="J75" s="7">
        <v>3</v>
      </c>
      <c r="K75" s="7">
        <v>3</v>
      </c>
      <c r="L75" s="7">
        <v>3</v>
      </c>
      <c r="M75" s="7">
        <v>3</v>
      </c>
      <c r="N75" s="7">
        <v>3</v>
      </c>
      <c r="O75" s="7">
        <v>3</v>
      </c>
      <c r="P75" s="7">
        <v>3</v>
      </c>
      <c r="Q75" s="7">
        <v>3</v>
      </c>
    </row>
    <row r="76" spans="1:17" x14ac:dyDescent="0.2">
      <c r="A76" s="39" t="s">
        <v>86</v>
      </c>
      <c r="B76" s="40" t="s">
        <v>16</v>
      </c>
      <c r="C76" s="48">
        <v>2</v>
      </c>
      <c r="D76" s="48">
        <v>2</v>
      </c>
      <c r="E76" s="48">
        <v>2</v>
      </c>
      <c r="F76" s="48">
        <v>2</v>
      </c>
      <c r="G76" s="48">
        <v>2</v>
      </c>
      <c r="H76" s="48">
        <v>2</v>
      </c>
      <c r="I76" s="48">
        <v>2</v>
      </c>
      <c r="J76" s="48">
        <v>2</v>
      </c>
      <c r="K76" s="48">
        <v>2</v>
      </c>
      <c r="L76" s="48">
        <v>2</v>
      </c>
      <c r="M76" s="48">
        <v>2</v>
      </c>
      <c r="N76" s="48">
        <v>2</v>
      </c>
      <c r="O76" s="48">
        <v>2</v>
      </c>
      <c r="P76" s="48">
        <v>2</v>
      </c>
      <c r="Q76" s="48">
        <v>2</v>
      </c>
    </row>
    <row r="77" spans="1:17" x14ac:dyDescent="0.2">
      <c r="A77" s="41" t="s">
        <v>87</v>
      </c>
      <c r="B77" s="42" t="s">
        <v>18</v>
      </c>
      <c r="C77" s="49">
        <v>2</v>
      </c>
      <c r="D77" s="49">
        <v>2</v>
      </c>
      <c r="E77" s="49">
        <v>2</v>
      </c>
      <c r="F77" s="49">
        <v>2</v>
      </c>
      <c r="G77" s="49">
        <v>2</v>
      </c>
      <c r="H77" s="49">
        <v>2</v>
      </c>
      <c r="I77" s="49">
        <v>2</v>
      </c>
      <c r="J77" s="49">
        <v>2</v>
      </c>
      <c r="K77" s="49">
        <v>2</v>
      </c>
      <c r="L77" s="49">
        <v>2</v>
      </c>
      <c r="M77" s="49">
        <v>2</v>
      </c>
      <c r="N77" s="49">
        <v>2</v>
      </c>
      <c r="O77" s="49">
        <v>2</v>
      </c>
      <c r="P77" s="49">
        <v>2</v>
      </c>
      <c r="Q77" s="49">
        <v>2</v>
      </c>
    </row>
    <row r="78" spans="1:17" x14ac:dyDescent="0.2">
      <c r="A78" s="39" t="s">
        <v>88</v>
      </c>
      <c r="B78" s="40" t="s">
        <v>16</v>
      </c>
      <c r="C78" s="48">
        <v>1</v>
      </c>
      <c r="D78" s="48">
        <v>1</v>
      </c>
      <c r="E78" s="48">
        <v>1</v>
      </c>
      <c r="F78" s="48">
        <v>1</v>
      </c>
      <c r="G78" s="48">
        <v>1</v>
      </c>
      <c r="H78" s="48">
        <v>1</v>
      </c>
      <c r="I78" s="48">
        <v>1</v>
      </c>
      <c r="J78" s="48">
        <v>1</v>
      </c>
      <c r="K78" s="48">
        <v>1</v>
      </c>
      <c r="L78" s="48">
        <v>1</v>
      </c>
      <c r="M78" s="48">
        <v>1</v>
      </c>
      <c r="N78" s="48">
        <v>1</v>
      </c>
      <c r="O78" s="48">
        <v>1</v>
      </c>
      <c r="P78" s="48">
        <v>1</v>
      </c>
      <c r="Q78" s="48">
        <v>1</v>
      </c>
    </row>
    <row r="79" spans="1:17" x14ac:dyDescent="0.2">
      <c r="A79" s="41" t="s">
        <v>89</v>
      </c>
      <c r="B79" s="42" t="s">
        <v>18</v>
      </c>
      <c r="C79" s="49">
        <v>1</v>
      </c>
      <c r="D79" s="49">
        <v>1</v>
      </c>
      <c r="E79" s="49">
        <v>1</v>
      </c>
      <c r="F79" s="49">
        <v>1</v>
      </c>
      <c r="G79" s="49">
        <v>1</v>
      </c>
      <c r="H79" s="49">
        <v>1</v>
      </c>
      <c r="I79" s="49">
        <v>1</v>
      </c>
      <c r="J79" s="49">
        <v>1</v>
      </c>
      <c r="K79" s="49">
        <v>1</v>
      </c>
      <c r="L79" s="49">
        <v>1</v>
      </c>
      <c r="M79" s="49">
        <v>1</v>
      </c>
      <c r="N79" s="49">
        <v>1</v>
      </c>
      <c r="O79" s="49">
        <v>1</v>
      </c>
      <c r="P79" s="49">
        <v>1</v>
      </c>
      <c r="Q79" s="49">
        <v>1</v>
      </c>
    </row>
    <row r="80" spans="1:17" x14ac:dyDescent="0.2">
      <c r="A80" s="46" t="s">
        <v>90</v>
      </c>
      <c r="B80" s="47" t="s">
        <v>16</v>
      </c>
      <c r="C80" s="46">
        <v>3</v>
      </c>
      <c r="D80" s="46">
        <v>3</v>
      </c>
      <c r="E80" s="46">
        <v>3</v>
      </c>
      <c r="F80" s="46">
        <v>3</v>
      </c>
      <c r="G80" s="46">
        <v>3</v>
      </c>
      <c r="H80" s="46">
        <v>3</v>
      </c>
      <c r="I80" s="46">
        <v>2</v>
      </c>
      <c r="J80" s="46">
        <v>2</v>
      </c>
      <c r="K80" s="46">
        <v>2</v>
      </c>
      <c r="L80" s="46">
        <v>2</v>
      </c>
      <c r="M80" s="46">
        <v>3</v>
      </c>
      <c r="N80" s="46">
        <v>3</v>
      </c>
      <c r="O80" s="46">
        <v>3</v>
      </c>
      <c r="P80" s="46">
        <v>3</v>
      </c>
      <c r="Q80" s="46">
        <v>3</v>
      </c>
    </row>
    <row r="81" spans="1:17" x14ac:dyDescent="0.2">
      <c r="A81" s="37" t="s">
        <v>90</v>
      </c>
      <c r="B81" s="9" t="s">
        <v>18</v>
      </c>
      <c r="C81" s="7">
        <v>3</v>
      </c>
      <c r="D81" s="7">
        <v>3</v>
      </c>
      <c r="E81" s="7">
        <v>3</v>
      </c>
      <c r="F81" s="7">
        <v>3</v>
      </c>
      <c r="G81" s="7">
        <v>3</v>
      </c>
      <c r="H81" s="7">
        <v>3</v>
      </c>
      <c r="I81" s="7">
        <v>2</v>
      </c>
      <c r="J81" s="7">
        <v>2</v>
      </c>
      <c r="K81" s="7">
        <v>2</v>
      </c>
      <c r="L81" s="7">
        <v>2</v>
      </c>
      <c r="M81" s="7">
        <v>3</v>
      </c>
      <c r="N81" s="7">
        <v>3</v>
      </c>
      <c r="O81" s="7">
        <v>3</v>
      </c>
      <c r="P81" s="7">
        <v>3</v>
      </c>
      <c r="Q81" s="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7034E-6C79-ED4C-B19B-860240F0490A}">
  <sheetPr>
    <tabColor theme="3" tint="0.79998168889431442"/>
  </sheetPr>
  <dimension ref="A1:P157"/>
  <sheetViews>
    <sheetView workbookViewId="0">
      <selection activeCell="H23" sqref="H23"/>
    </sheetView>
  </sheetViews>
  <sheetFormatPr baseColWidth="10" defaultRowHeight="16" x14ac:dyDescent="0.2"/>
  <cols>
    <col min="1" max="1" width="28.6640625" bestFit="1" customWidth="1"/>
  </cols>
  <sheetData>
    <row r="1" spans="1:16" x14ac:dyDescent="0.2">
      <c r="B1" t="str">
        <f>IF(TDE!C1&gt;0,TDE!C1,"")</f>
        <v>APR</v>
      </c>
      <c r="C1" t="str">
        <f>IF(TDE!D1&gt;0,TDE!D1,"")</f>
        <v>MAY</v>
      </c>
      <c r="D1" t="str">
        <f>IF(TDE!E1&gt;0,TDE!E1,"")</f>
        <v>JUN</v>
      </c>
      <c r="E1" t="str">
        <f>IF(TDE!F1&gt;0,TDE!F1,"")</f>
        <v>JUL</v>
      </c>
      <c r="F1" t="str">
        <f>IF(TDE!G1&gt;0,TDE!G1,"")</f>
        <v>AUG</v>
      </c>
      <c r="G1" t="str">
        <f>IF(TDE!H1&gt;0,TDE!H1,"")</f>
        <v>SEP</v>
      </c>
      <c r="H1" t="str">
        <f>IF(TDE!I1&gt;0,TDE!I1,"")</f>
        <v>OCT</v>
      </c>
      <c r="I1" t="str">
        <f>IF(TDE!J1&gt;0,TDE!J1,"")</f>
        <v>NOV</v>
      </c>
      <c r="J1" t="str">
        <f>IF(TDE!K1&gt;0,TDE!K1,"")</f>
        <v>DEC</v>
      </c>
      <c r="K1" t="str">
        <f>IF(TDE!L1&gt;0,TDE!L1,"")</f>
        <v>JAN'27</v>
      </c>
      <c r="L1" t="str">
        <f>IF(TDE!M1&gt;0,TDE!M1,"")</f>
        <v>FEB'27</v>
      </c>
      <c r="M1" t="str">
        <f>IF(TDE!N1&gt;0,TDE!N1,"")</f>
        <v>MAR'27</v>
      </c>
      <c r="N1" t="str">
        <f>IF(TDE!O1&gt;0,TDE!O1,"")</f>
        <v>APR'27</v>
      </c>
      <c r="O1" t="str">
        <f>IF(TDE!P1&gt;0,TDE!P1,"")</f>
        <v>MAY'27</v>
      </c>
      <c r="P1" t="str">
        <f>IF(TDE!Q1&gt;0,TDE!Q1,"")</f>
        <v>JUN'27</v>
      </c>
    </row>
    <row r="2" spans="1:16" x14ac:dyDescent="0.2">
      <c r="A2" t="str">
        <f>IF(TDE!B2&gt;0,TDE!B2,"")</f>
        <v>Staff</v>
      </c>
      <c r="B2">
        <f>IF(TDE!C2&gt;0,TDE!C2,"")</f>
        <v>16</v>
      </c>
      <c r="C2">
        <f>IF(TDE!D2&gt;0,TDE!D2,"")</f>
        <v>16</v>
      </c>
      <c r="D2">
        <f>IF(TDE!E2&gt;0,TDE!E2,"")</f>
        <v>16</v>
      </c>
      <c r="E2">
        <f>IF(TDE!F2&gt;0,TDE!F2,"")</f>
        <v>16</v>
      </c>
      <c r="F2">
        <f>IF(TDE!G2&gt;0,TDE!G2,"")</f>
        <v>16</v>
      </c>
      <c r="G2">
        <f>IF(TDE!H2&gt;0,TDE!H2,"")</f>
        <v>16</v>
      </c>
      <c r="H2">
        <f>IF(TDE!I2&gt;0,TDE!I2,"")</f>
        <v>15</v>
      </c>
      <c r="I2">
        <f>IF(TDE!J2&gt;0,TDE!J2,"")</f>
        <v>15</v>
      </c>
      <c r="J2">
        <f>IF(TDE!K2&gt;0,TDE!K2,"")</f>
        <v>15</v>
      </c>
      <c r="K2">
        <f>IF(TDE!L2&gt;0,TDE!L2,"")</f>
        <v>15</v>
      </c>
      <c r="L2">
        <f>IF(TDE!M2&gt;0,TDE!M2,"")</f>
        <v>16</v>
      </c>
      <c r="M2">
        <f>IF(TDE!N2&gt;0,TDE!N2,"")</f>
        <v>16</v>
      </c>
      <c r="N2">
        <f>IF(TDE!O2&gt;0,TDE!O2,"")</f>
        <v>16</v>
      </c>
      <c r="O2">
        <f>IF(TDE!P2&gt;0,TDE!P2,"")</f>
        <v>16</v>
      </c>
      <c r="P2">
        <f>IF(TDE!Q2&gt;0,TDE!Q2,"")</f>
        <v>16</v>
      </c>
    </row>
    <row r="3" spans="1:16" x14ac:dyDescent="0.2">
      <c r="A3" t="str">
        <f>IF(TDE!B3&gt;0,TDE!B3,"")</f>
        <v>Staff AVG</v>
      </c>
      <c r="B3">
        <f>IF(TDE!C3&gt;0,TDE!C3,"")</f>
        <v>16</v>
      </c>
      <c r="C3">
        <f>IF(TDE!D3&gt;0,TDE!D3,"")</f>
        <v>16</v>
      </c>
      <c r="D3">
        <f>IF(TDE!E3&gt;0,TDE!E3,"")</f>
        <v>16</v>
      </c>
      <c r="E3">
        <f>IF(TDE!F3&gt;0,TDE!F3,"")</f>
        <v>16</v>
      </c>
      <c r="F3">
        <f>IF(TDE!G3&gt;0,TDE!G3,"")</f>
        <v>16</v>
      </c>
      <c r="G3">
        <f>IF(TDE!H3&gt;0,TDE!H3,"")</f>
        <v>16</v>
      </c>
      <c r="H3">
        <f>IF(TDE!I3&gt;0,TDE!I3,"")</f>
        <v>16</v>
      </c>
      <c r="I3">
        <f>IF(TDE!J3&gt;0,TDE!J3,"")</f>
        <v>16</v>
      </c>
      <c r="J3">
        <f>IF(TDE!K3&gt;0,TDE!K3,"")</f>
        <v>16</v>
      </c>
      <c r="K3">
        <f>IF(TDE!L3&gt;0,TDE!L3,"")</f>
        <v>16</v>
      </c>
      <c r="L3">
        <f>IF(TDE!M3&gt;0,TDE!M3,"")</f>
        <v>16</v>
      </c>
      <c r="M3">
        <f>IF(TDE!N3&gt;0,TDE!N3,"")</f>
        <v>16</v>
      </c>
      <c r="N3">
        <f>IF(TDE!O3&gt;0,TDE!O3,"")</f>
        <v>15.733333330000001</v>
      </c>
      <c r="O3">
        <f>IF(TDE!P3&gt;0,TDE!P3,"")</f>
        <v>15.733333330000001</v>
      </c>
      <c r="P3">
        <f>IF(TDE!Q3&gt;0,TDE!Q3,"")</f>
        <v>15.733333330000001</v>
      </c>
    </row>
    <row r="4" spans="1:16" x14ac:dyDescent="0.2">
      <c r="A4" t="str">
        <f>IF(TDE!B4&gt;0,TDE!B4,"")</f>
        <v>Plan</v>
      </c>
      <c r="B4">
        <f>IF(TDE!C4&gt;0,TDE!C4,"")</f>
        <v>16</v>
      </c>
      <c r="C4">
        <f>IF(TDE!D4&gt;0,TDE!D4,"")</f>
        <v>16</v>
      </c>
      <c r="D4">
        <f>IF(TDE!E4&gt;0,TDE!E4,"")</f>
        <v>16</v>
      </c>
      <c r="E4">
        <f>IF(TDE!F4&gt;0,TDE!F4,"")</f>
        <v>16</v>
      </c>
      <c r="F4">
        <f>IF(TDE!G4&gt;0,TDE!G4,"")</f>
        <v>16</v>
      </c>
      <c r="G4">
        <f>IF(TDE!H4&gt;0,TDE!H4,"")</f>
        <v>16</v>
      </c>
      <c r="H4">
        <f>IF(TDE!I4&gt;0,TDE!I4,"")</f>
        <v>15</v>
      </c>
      <c r="I4">
        <f>IF(TDE!J4&gt;0,TDE!J4,"")</f>
        <v>15</v>
      </c>
      <c r="J4">
        <f>IF(TDE!K4&gt;0,TDE!K4,"")</f>
        <v>15</v>
      </c>
      <c r="K4">
        <f>IF(TDE!L4&gt;0,TDE!L4,"")</f>
        <v>15</v>
      </c>
      <c r="L4">
        <f>IF(TDE!M4&gt;0,TDE!M4,"")</f>
        <v>16</v>
      </c>
      <c r="M4">
        <f>IF(TDE!N4&gt;0,TDE!N4,"")</f>
        <v>16</v>
      </c>
      <c r="N4">
        <f>IF(TDE!O4&gt;0,TDE!O4,"")</f>
        <v>16</v>
      </c>
      <c r="O4">
        <f>IF(TDE!P4&gt;0,TDE!P4,"")</f>
        <v>16</v>
      </c>
      <c r="P4">
        <f>IF(TDE!Q4&gt;0,TDE!Q4,"")</f>
        <v>16</v>
      </c>
    </row>
    <row r="5" spans="1:16" x14ac:dyDescent="0.2">
      <c r="A5" t="str">
        <f>IF(TDE!B11&gt;0,TDE!B11,"")</f>
        <v>PAYROLL</v>
      </c>
      <c r="B5">
        <f>IF(TDE!C11&gt;0,TDE!C11,"")</f>
        <v>14</v>
      </c>
      <c r="C5">
        <f>IF(TDE!D11&gt;0,TDE!D11,"")</f>
        <v>14</v>
      </c>
      <c r="D5">
        <f>IF(TDE!E11&gt;0,TDE!E11,"")</f>
        <v>14</v>
      </c>
      <c r="E5">
        <f>IF(TDE!F11&gt;0,TDE!F11,"")</f>
        <v>14</v>
      </c>
      <c r="F5">
        <f>IF(TDE!G11&gt;0,TDE!G11,"")</f>
        <v>14</v>
      </c>
      <c r="G5">
        <f>IF(TDE!H11&gt;0,TDE!H11,"")</f>
        <v>14</v>
      </c>
      <c r="H5">
        <f>IF(TDE!I11&gt;0,TDE!I11,"")</f>
        <v>13</v>
      </c>
      <c r="I5">
        <f>IF(TDE!J11&gt;0,TDE!J11,"")</f>
        <v>13</v>
      </c>
      <c r="J5">
        <f>IF(TDE!K11&gt;0,TDE!K11,"")</f>
        <v>13</v>
      </c>
      <c r="K5">
        <f>IF(TDE!L11&gt;0,TDE!L11,"")</f>
        <v>13</v>
      </c>
      <c r="L5">
        <f>IF(TDE!M11&gt;0,TDE!M11,"")</f>
        <v>14</v>
      </c>
      <c r="M5">
        <f>IF(TDE!N11&gt;0,TDE!N11,"")</f>
        <v>14</v>
      </c>
      <c r="N5">
        <f>IF(TDE!O11&gt;0,TDE!O11,"")</f>
        <v>14</v>
      </c>
      <c r="O5">
        <f>IF(TDE!P11&gt;0,TDE!P11,"")</f>
        <v>14</v>
      </c>
      <c r="P5">
        <f>IF(TDE!Q11&gt;0,TDE!Q11,"")</f>
        <v>14</v>
      </c>
    </row>
    <row r="6" spans="1:16" x14ac:dyDescent="0.2">
      <c r="A6" t="str">
        <f>IF(TDE!B15&gt;0,TDE!B15,"")</f>
        <v>CONTRACTOR</v>
      </c>
      <c r="B6">
        <f>IF(TDE!C15&gt;0,TDE!C15,"")</f>
        <v>2</v>
      </c>
      <c r="C6">
        <f>IF(TDE!D15&gt;0,TDE!D15,"")</f>
        <v>2</v>
      </c>
      <c r="D6">
        <f>IF(TDE!E15&gt;0,TDE!E15,"")</f>
        <v>2</v>
      </c>
      <c r="E6">
        <f>IF(TDE!F15&gt;0,TDE!F15,"")</f>
        <v>2</v>
      </c>
      <c r="F6">
        <f>IF(TDE!G15&gt;0,TDE!G15,"")</f>
        <v>2</v>
      </c>
      <c r="G6">
        <f>IF(TDE!H15&gt;0,TDE!H15,"")</f>
        <v>2</v>
      </c>
      <c r="H6">
        <f>IF(TDE!I15&gt;0,TDE!I15,"")</f>
        <v>2</v>
      </c>
      <c r="I6">
        <f>IF(TDE!J15&gt;0,TDE!J15,"")</f>
        <v>2</v>
      </c>
      <c r="J6">
        <f>IF(TDE!K15&gt;0,TDE!K15,"")</f>
        <v>2</v>
      </c>
      <c r="K6">
        <f>IF(TDE!L15&gt;0,TDE!L15,"")</f>
        <v>2</v>
      </c>
      <c r="L6">
        <f>IF(TDE!M15&gt;0,TDE!M15,"")</f>
        <v>2</v>
      </c>
      <c r="M6">
        <f>IF(TDE!N15&gt;0,TDE!N15,"")</f>
        <v>2</v>
      </c>
      <c r="N6">
        <f>IF(TDE!O15&gt;0,TDE!O15,"")</f>
        <v>2</v>
      </c>
      <c r="O6">
        <f>IF(TDE!P15&gt;0,TDE!P15,"")</f>
        <v>2</v>
      </c>
      <c r="P6">
        <f>IF(TDE!Q15&gt;0,TDE!Q15,"")</f>
        <v>2</v>
      </c>
    </row>
    <row r="7" spans="1:16" x14ac:dyDescent="0.2">
      <c r="A7" t="str">
        <f>IF(TDE!B19&gt;0,TDE!B19,"")</f>
        <v>OUTSOURCE</v>
      </c>
      <c r="B7" t="str">
        <f>IF(TDE!C19&gt;0,TDE!C19,"")</f>
        <v/>
      </c>
      <c r="C7" t="str">
        <f>IF(TDE!D19&gt;0,TDE!D19,"")</f>
        <v/>
      </c>
      <c r="D7" t="str">
        <f>IF(TDE!E19&gt;0,TDE!E19,"")</f>
        <v/>
      </c>
      <c r="E7" t="str">
        <f>IF(TDE!F19&gt;0,TDE!F19,"")</f>
        <v/>
      </c>
      <c r="F7" t="str">
        <f>IF(TDE!G19&gt;0,TDE!G19,"")</f>
        <v/>
      </c>
      <c r="G7" t="str">
        <f>IF(TDE!H19&gt;0,TDE!H19,"")</f>
        <v/>
      </c>
      <c r="H7" t="str">
        <f>IF(TDE!I19&gt;0,TDE!I19,"")</f>
        <v/>
      </c>
      <c r="I7" t="str">
        <f>IF(TDE!J19&gt;0,TDE!J19,"")</f>
        <v/>
      </c>
      <c r="J7" t="str">
        <f>IF(TDE!K19&gt;0,TDE!K19,"")</f>
        <v/>
      </c>
      <c r="K7" t="str">
        <f>IF(TDE!L19&gt;0,TDE!L19,"")</f>
        <v/>
      </c>
      <c r="L7" t="str">
        <f>IF(TDE!M19&gt;0,TDE!M19,"")</f>
        <v/>
      </c>
      <c r="M7" t="str">
        <f>IF(TDE!N19&gt;0,TDE!N19,"")</f>
        <v/>
      </c>
      <c r="N7" t="str">
        <f>IF(TDE!O19&gt;0,TDE!O19,"")</f>
        <v/>
      </c>
      <c r="O7" t="str">
        <f>IF(TDE!P19&gt;0,TDE!P19,"")</f>
        <v/>
      </c>
      <c r="P7" t="str">
        <f>IF(TDE!Q19&gt;0,TDE!Q19,"")</f>
        <v/>
      </c>
    </row>
    <row r="11" spans="1:16" x14ac:dyDescent="0.2">
      <c r="B11" t="str">
        <f>IF(TDE!C1&gt;0,TDE!C1,"")</f>
        <v>APR</v>
      </c>
      <c r="C11" t="str">
        <f>IF(TDE!D1&gt;0,TDE!D1,"")</f>
        <v>MAY</v>
      </c>
      <c r="D11" t="str">
        <f>IF(TDE!E1&gt;0,TDE!E1,"")</f>
        <v>JUN</v>
      </c>
      <c r="E11" t="str">
        <f>IF(TDE!F1&gt;0,TDE!F1,"")</f>
        <v>JUL</v>
      </c>
      <c r="F11" t="str">
        <f>IF(TDE!G1&gt;0,TDE!G1,"")</f>
        <v>AUG</v>
      </c>
      <c r="G11" t="str">
        <f>IF(TDE!H1&gt;0,TDE!H1,"")</f>
        <v>SEP</v>
      </c>
      <c r="H11" t="str">
        <f>IF(TDE!I1&gt;0,TDE!I1,"")</f>
        <v>OCT</v>
      </c>
      <c r="I11" t="str">
        <f>IF(TDE!J1&gt;0,TDE!J1,"")</f>
        <v>NOV</v>
      </c>
      <c r="J11" t="str">
        <f>IF(TDE!K1&gt;0,TDE!K1,"")</f>
        <v>DEC</v>
      </c>
      <c r="K11" t="str">
        <f>IF(TDE!L1&gt;0,TDE!L1,"")</f>
        <v>JAN'27</v>
      </c>
      <c r="L11" t="str">
        <f>IF(TDE!M1&gt;0,TDE!M1,"")</f>
        <v>FEB'27</v>
      </c>
      <c r="M11" t="str">
        <f>IF(TDE!N1&gt;0,TDE!N1,"")</f>
        <v>MAR'27</v>
      </c>
      <c r="N11" t="str">
        <f>IF(TDE!O1&gt;0,TDE!O1,"")</f>
        <v>APR'27</v>
      </c>
      <c r="O11" t="str">
        <f>IF(TDE!P1&gt;0,TDE!P1,"")</f>
        <v>MAY'27</v>
      </c>
      <c r="P11" t="str">
        <f>IF(TDE!Q1&gt;0,TDE!Q1,"")</f>
        <v>JUN'27</v>
      </c>
    </row>
    <row r="12" spans="1:16" x14ac:dyDescent="0.2">
      <c r="A12" t="str">
        <f>IF(TDE!B2&gt;0,TDE!B2,"")</f>
        <v>Staff</v>
      </c>
      <c r="B12">
        <f>IF(TDE!C9&gt;0,TDE!C9,"")</f>
        <v>14</v>
      </c>
      <c r="C12">
        <f>IF(TDE!D9&gt;0,TDE!D9,"")</f>
        <v>14</v>
      </c>
      <c r="D12">
        <f>IF(TDE!E9&gt;0,TDE!E9,"")</f>
        <v>14</v>
      </c>
      <c r="E12">
        <f>IF(TDE!F9&gt;0,TDE!F9,"")</f>
        <v>14</v>
      </c>
      <c r="F12">
        <f>IF(TDE!G9&gt;0,TDE!G9,"")</f>
        <v>14</v>
      </c>
      <c r="G12">
        <f>IF(TDE!H9&gt;0,TDE!H9,"")</f>
        <v>14</v>
      </c>
      <c r="H12">
        <f>IF(TDE!I9&gt;0,TDE!I9,"")</f>
        <v>13</v>
      </c>
      <c r="I12">
        <f>IF(TDE!J9&gt;0,TDE!J9,"")</f>
        <v>13</v>
      </c>
      <c r="J12">
        <f>IF(TDE!K9&gt;0,TDE!K9,"")</f>
        <v>13</v>
      </c>
      <c r="K12">
        <f>IF(TDE!L9&gt;0,TDE!L9,"")</f>
        <v>13</v>
      </c>
      <c r="L12">
        <f>IF(TDE!M9&gt;0,TDE!M9,"")</f>
        <v>14</v>
      </c>
      <c r="M12">
        <f>IF(TDE!N9&gt;0,TDE!N9,"")</f>
        <v>14</v>
      </c>
      <c r="N12">
        <f>IF(TDE!O9&gt;0,TDE!O9,"")</f>
        <v>14</v>
      </c>
      <c r="O12">
        <f>IF(TDE!P9&gt;0,TDE!P9,"")</f>
        <v>14</v>
      </c>
      <c r="P12">
        <f>IF(TDE!Q9&gt;0,TDE!Q9,"")</f>
        <v>14</v>
      </c>
    </row>
    <row r="13" spans="1:16" x14ac:dyDescent="0.2">
      <c r="A13" t="str">
        <f>IF(TDE!B3&gt;0,TDE!B3,"")</f>
        <v>Staff AVG</v>
      </c>
      <c r="B13">
        <f>IF(TDE!C10&gt;0,TDE!C10,"")</f>
        <v>14</v>
      </c>
      <c r="C13">
        <f>IF(TDE!D10&gt;0,TDE!D10,"")</f>
        <v>14</v>
      </c>
      <c r="D13">
        <f>IF(TDE!E10&gt;0,TDE!E10,"")</f>
        <v>14</v>
      </c>
      <c r="E13">
        <f>IF(TDE!F10&gt;0,TDE!F10,"")</f>
        <v>14</v>
      </c>
      <c r="F13">
        <f>IF(TDE!G10&gt;0,TDE!G10,"")</f>
        <v>14</v>
      </c>
      <c r="G13">
        <f>IF(TDE!H10&gt;0,TDE!H10,"")</f>
        <v>14</v>
      </c>
      <c r="H13">
        <f>IF(TDE!I10&gt;0,TDE!I10,"")</f>
        <v>14</v>
      </c>
      <c r="I13">
        <f>IF(TDE!J10&gt;0,TDE!J10,"")</f>
        <v>14</v>
      </c>
      <c r="J13">
        <f>IF(TDE!K10&gt;0,TDE!K10,"")</f>
        <v>14</v>
      </c>
      <c r="K13">
        <f>IF(TDE!L10&gt;0,TDE!L10,"")</f>
        <v>14</v>
      </c>
      <c r="L13">
        <f>IF(TDE!M10&gt;0,TDE!M10,"")</f>
        <v>14</v>
      </c>
      <c r="M13">
        <f>IF(TDE!N10&gt;0,TDE!N10,"")</f>
        <v>14</v>
      </c>
      <c r="N13">
        <f>IF(TDE!O10&gt;0,TDE!O10,"")</f>
        <v>13.66666667</v>
      </c>
      <c r="O13">
        <f>IF(TDE!P10&gt;0,TDE!P10,"")</f>
        <v>13.66666667</v>
      </c>
      <c r="P13">
        <f>IF(TDE!Q10&gt;0,TDE!Q10,"")</f>
        <v>13.66666667</v>
      </c>
    </row>
    <row r="14" spans="1:16" x14ac:dyDescent="0.2">
      <c r="A14" t="str">
        <f>IF(TDE!B4&gt;0,TDE!B4,"")</f>
        <v>Plan</v>
      </c>
      <c r="B14">
        <f>IF(TDE!C11&gt;0,TDE!C11,"")</f>
        <v>14</v>
      </c>
      <c r="C14">
        <f>IF(TDE!D11&gt;0,TDE!D11,"")</f>
        <v>14</v>
      </c>
      <c r="D14">
        <f>IF(TDE!E11&gt;0,TDE!E11,"")</f>
        <v>14</v>
      </c>
      <c r="E14">
        <f>IF(TDE!F11&gt;0,TDE!F11,"")</f>
        <v>14</v>
      </c>
      <c r="F14">
        <f>IF(TDE!G11&gt;0,TDE!G11,"")</f>
        <v>14</v>
      </c>
      <c r="G14">
        <f>IF(TDE!H11&gt;0,TDE!H11,"")</f>
        <v>14</v>
      </c>
      <c r="H14">
        <f>IF(TDE!I11&gt;0,TDE!I11,"")</f>
        <v>13</v>
      </c>
      <c r="I14">
        <f>IF(TDE!J11&gt;0,TDE!J11,"")</f>
        <v>13</v>
      </c>
      <c r="J14">
        <f>IF(TDE!K11&gt;0,TDE!K11,"")</f>
        <v>13</v>
      </c>
      <c r="K14">
        <f>IF(TDE!L11&gt;0,TDE!L11,"")</f>
        <v>13</v>
      </c>
      <c r="L14">
        <f>IF(TDE!M11&gt;0,TDE!M11,"")</f>
        <v>14</v>
      </c>
      <c r="M14">
        <f>IF(TDE!N11&gt;0,TDE!N11,"")</f>
        <v>14</v>
      </c>
      <c r="N14">
        <f>IF(TDE!O11&gt;0,TDE!O11,"")</f>
        <v>14</v>
      </c>
      <c r="O14">
        <f>IF(TDE!P11&gt;0,TDE!P11,"")</f>
        <v>14</v>
      </c>
      <c r="P14">
        <f>IF(TDE!Q11&gt;0,TDE!Q11,"")</f>
        <v>14</v>
      </c>
    </row>
    <row r="21" spans="1:16" x14ac:dyDescent="0.2">
      <c r="B21" t="str">
        <f>IF(TDE!C1&gt;0,TDE!C1,"")</f>
        <v>APR</v>
      </c>
      <c r="C21" t="str">
        <f>IF(TDE!D1&gt;0,TDE!D1,"")</f>
        <v>MAY</v>
      </c>
      <c r="D21" t="str">
        <f>IF(TDE!E1&gt;0,TDE!E1,"")</f>
        <v>JUN</v>
      </c>
      <c r="E21" t="str">
        <f>IF(TDE!F1&gt;0,TDE!F1,"")</f>
        <v>JUL</v>
      </c>
      <c r="F21" t="str">
        <f>IF(TDE!G1&gt;0,TDE!G1,"")</f>
        <v>AUG</v>
      </c>
      <c r="G21" t="str">
        <f>IF(TDE!H1&gt;0,TDE!H1,"")</f>
        <v>SEP</v>
      </c>
      <c r="H21" t="str">
        <f>IF(TDE!I1&gt;0,TDE!I1,"")</f>
        <v>OCT</v>
      </c>
      <c r="I21" t="str">
        <f>IF(TDE!J1&gt;0,TDE!J1,"")</f>
        <v>NOV</v>
      </c>
      <c r="J21" t="str">
        <f>IF(TDE!K1&gt;0,TDE!K1,"")</f>
        <v>DEC</v>
      </c>
      <c r="K21" t="str">
        <f>IF(TDE!L1&gt;0,TDE!L1,"")</f>
        <v>JAN'27</v>
      </c>
      <c r="L21" t="str">
        <f>IF(TDE!M1&gt;0,TDE!M1,"")</f>
        <v>FEB'27</v>
      </c>
      <c r="M21" t="str">
        <f>IF(TDE!N1&gt;0,TDE!N1,"")</f>
        <v>MAR'27</v>
      </c>
      <c r="N21" t="str">
        <f>IF(TDE!O1&gt;0,TDE!O1,"")</f>
        <v>APR'27</v>
      </c>
      <c r="O21" t="str">
        <f>IF(TDE!P1&gt;0,TDE!P1,"")</f>
        <v>MAY'27</v>
      </c>
      <c r="P21" t="str">
        <f>IF(TDE!Q1&gt;0,TDE!Q1,"")</f>
        <v>JUN'27</v>
      </c>
    </row>
    <row r="22" spans="1:16" x14ac:dyDescent="0.2">
      <c r="A22" t="str">
        <f>IF(TDE!B2&gt;0,TDE!B2,"")</f>
        <v>Staff</v>
      </c>
      <c r="B22">
        <f>TDE!C13</f>
        <v>2</v>
      </c>
      <c r="C22">
        <f>TDE!D13</f>
        <v>2</v>
      </c>
      <c r="D22">
        <f>TDE!E13</f>
        <v>2</v>
      </c>
      <c r="E22">
        <f>TDE!F13</f>
        <v>2</v>
      </c>
      <c r="F22">
        <f>TDE!G13</f>
        <v>2</v>
      </c>
      <c r="G22">
        <f>TDE!H13</f>
        <v>2</v>
      </c>
      <c r="H22">
        <f>TDE!I13</f>
        <v>2</v>
      </c>
      <c r="I22">
        <f>TDE!J13</f>
        <v>2</v>
      </c>
      <c r="J22">
        <f>TDE!K13</f>
        <v>2</v>
      </c>
      <c r="K22">
        <f>TDE!L13</f>
        <v>2</v>
      </c>
      <c r="L22">
        <f>TDE!M13</f>
        <v>2</v>
      </c>
      <c r="M22">
        <f>TDE!N13</f>
        <v>2</v>
      </c>
      <c r="N22">
        <f>TDE!O13</f>
        <v>2</v>
      </c>
      <c r="O22">
        <f>TDE!P13</f>
        <v>2</v>
      </c>
      <c r="P22">
        <f>TDE!Q13</f>
        <v>2</v>
      </c>
    </row>
    <row r="23" spans="1:16" x14ac:dyDescent="0.2">
      <c r="A23" t="str">
        <f>IF(TDE!B3&gt;0,TDE!B3,"")</f>
        <v>Staff AVG</v>
      </c>
      <c r="B23">
        <f>TDE!C14</f>
        <v>2</v>
      </c>
      <c r="C23">
        <f>TDE!D14</f>
        <v>2</v>
      </c>
      <c r="D23">
        <f>TDE!E14</f>
        <v>2</v>
      </c>
      <c r="E23">
        <f>TDE!F14</f>
        <v>2</v>
      </c>
      <c r="F23">
        <f>TDE!G14</f>
        <v>2</v>
      </c>
      <c r="G23">
        <f>TDE!H14</f>
        <v>2</v>
      </c>
      <c r="H23">
        <f>TDE!I14</f>
        <v>2</v>
      </c>
      <c r="I23">
        <f>TDE!J14</f>
        <v>2</v>
      </c>
      <c r="J23">
        <f>TDE!K14</f>
        <v>2</v>
      </c>
      <c r="K23">
        <f>TDE!L14</f>
        <v>2</v>
      </c>
      <c r="L23">
        <f>TDE!M14</f>
        <v>2</v>
      </c>
      <c r="M23">
        <f>TDE!N14</f>
        <v>2</v>
      </c>
      <c r="N23">
        <f>TDE!O14</f>
        <v>2</v>
      </c>
      <c r="O23">
        <f>TDE!P14</f>
        <v>2</v>
      </c>
      <c r="P23">
        <f>TDE!Q14</f>
        <v>2</v>
      </c>
    </row>
    <row r="24" spans="1:16" x14ac:dyDescent="0.2">
      <c r="A24" t="str">
        <f>IF(TDE!B4&gt;0,TDE!B4,"")</f>
        <v>Plan</v>
      </c>
      <c r="B24">
        <f>TDE!C15</f>
        <v>2</v>
      </c>
      <c r="C24">
        <f>TDE!D15</f>
        <v>2</v>
      </c>
      <c r="D24">
        <f>TDE!E15</f>
        <v>2</v>
      </c>
      <c r="E24">
        <f>TDE!F15</f>
        <v>2</v>
      </c>
      <c r="F24">
        <f>TDE!G15</f>
        <v>2</v>
      </c>
      <c r="G24">
        <f>TDE!H15</f>
        <v>2</v>
      </c>
      <c r="H24">
        <f>TDE!I15</f>
        <v>2</v>
      </c>
      <c r="I24">
        <f>TDE!J15</f>
        <v>2</v>
      </c>
      <c r="J24">
        <f>TDE!K15</f>
        <v>2</v>
      </c>
      <c r="K24">
        <f>TDE!L15</f>
        <v>2</v>
      </c>
      <c r="L24">
        <f>TDE!M15</f>
        <v>2</v>
      </c>
      <c r="M24">
        <f>TDE!N15</f>
        <v>2</v>
      </c>
      <c r="N24">
        <f>TDE!O15</f>
        <v>2</v>
      </c>
      <c r="O24">
        <f>TDE!P15</f>
        <v>2</v>
      </c>
      <c r="P24">
        <f>TDE!Q15</f>
        <v>2</v>
      </c>
    </row>
    <row r="31" spans="1:16" x14ac:dyDescent="0.2">
      <c r="B31" t="str">
        <f>IF(TDE!C1&gt;0,TDE!C1,"")</f>
        <v>APR</v>
      </c>
      <c r="C31" t="str">
        <f>IF(TDE!D1&gt;0,TDE!D1,"")</f>
        <v>MAY</v>
      </c>
      <c r="D31" t="str">
        <f>IF(TDE!E1&gt;0,TDE!E1,"")</f>
        <v>JUN</v>
      </c>
      <c r="E31" t="str">
        <f>IF(TDE!F1&gt;0,TDE!F1,"")</f>
        <v>JUL</v>
      </c>
      <c r="F31" t="str">
        <f>IF(TDE!G1&gt;0,TDE!G1,"")</f>
        <v>AUG</v>
      </c>
      <c r="G31" t="str">
        <f>IF(TDE!H1&gt;0,TDE!H1,"")</f>
        <v>SEP</v>
      </c>
      <c r="H31" t="str">
        <f>IF(TDE!I1&gt;0,TDE!I1,"")</f>
        <v>OCT</v>
      </c>
      <c r="I31" t="str">
        <f>IF(TDE!J1&gt;0,TDE!J1,"")</f>
        <v>NOV</v>
      </c>
      <c r="J31" t="str">
        <f>IF(TDE!K1&gt;0,TDE!K1,"")</f>
        <v>DEC</v>
      </c>
      <c r="K31" t="str">
        <f>IF(TDE!L1&gt;0,TDE!L1,"")</f>
        <v>JAN'27</v>
      </c>
      <c r="L31" t="str">
        <f>IF(TDE!M1&gt;0,TDE!M1,"")</f>
        <v>FEB'27</v>
      </c>
      <c r="M31" t="str">
        <f>IF(TDE!N1&gt;0,TDE!N1,"")</f>
        <v>MAR'27</v>
      </c>
      <c r="N31" t="str">
        <f>IF(TDE!O1&gt;0,TDE!O1,"")</f>
        <v>APR'27</v>
      </c>
      <c r="O31" t="str">
        <f>IF(TDE!P1&gt;0,TDE!P1,"")</f>
        <v>MAY'27</v>
      </c>
      <c r="P31" t="str">
        <f>IF(TDE!Q1&gt;0,TDE!Q1,"")</f>
        <v>JUN'27</v>
      </c>
    </row>
    <row r="32" spans="1:16" x14ac:dyDescent="0.2">
      <c r="A32" t="str">
        <f>IF(TDE!B2&gt;0,TDE!B2,"")</f>
        <v>Staff</v>
      </c>
      <c r="B32">
        <f>TDE!C17</f>
        <v>0</v>
      </c>
      <c r="C32">
        <f>TDE!D17</f>
        <v>0</v>
      </c>
      <c r="D32">
        <f>TDE!E17</f>
        <v>0</v>
      </c>
      <c r="E32">
        <f>TDE!F17</f>
        <v>0</v>
      </c>
      <c r="F32">
        <f>TDE!G17</f>
        <v>0</v>
      </c>
      <c r="G32">
        <f>TDE!H17</f>
        <v>0</v>
      </c>
      <c r="H32">
        <f>TDE!I17</f>
        <v>0</v>
      </c>
      <c r="I32">
        <f>TDE!J17</f>
        <v>0</v>
      </c>
      <c r="J32">
        <f>TDE!K17</f>
        <v>0</v>
      </c>
      <c r="K32">
        <f>TDE!L17</f>
        <v>0</v>
      </c>
      <c r="L32">
        <f>TDE!M17</f>
        <v>0</v>
      </c>
      <c r="M32">
        <f>TDE!N17</f>
        <v>0</v>
      </c>
      <c r="N32">
        <f>TDE!O17</f>
        <v>0</v>
      </c>
      <c r="O32">
        <f>TDE!P17</f>
        <v>0</v>
      </c>
      <c r="P32">
        <f>TDE!Q17</f>
        <v>0</v>
      </c>
    </row>
    <row r="33" spans="1:16" x14ac:dyDescent="0.2">
      <c r="A33" t="str">
        <f>IF(TDE!B3&gt;0,TDE!B3,"")</f>
        <v>Staff AVG</v>
      </c>
      <c r="B33">
        <f>TDE!C18</f>
        <v>0</v>
      </c>
      <c r="C33">
        <f>TDE!D18</f>
        <v>0</v>
      </c>
      <c r="D33">
        <f>TDE!E18</f>
        <v>0</v>
      </c>
      <c r="E33">
        <f>TDE!F18</f>
        <v>0</v>
      </c>
      <c r="F33">
        <f>TDE!G18</f>
        <v>0</v>
      </c>
      <c r="G33">
        <f>TDE!H18</f>
        <v>0</v>
      </c>
      <c r="H33">
        <f>TDE!I18</f>
        <v>0</v>
      </c>
      <c r="I33">
        <f>TDE!J18</f>
        <v>0</v>
      </c>
      <c r="J33">
        <f>TDE!K18</f>
        <v>0</v>
      </c>
      <c r="K33">
        <f>TDE!L18</f>
        <v>0</v>
      </c>
      <c r="L33">
        <f>TDE!M18</f>
        <v>0</v>
      </c>
      <c r="M33">
        <f>TDE!N18</f>
        <v>0</v>
      </c>
      <c r="N33">
        <f>TDE!O18</f>
        <v>0</v>
      </c>
      <c r="O33">
        <f>TDE!P18</f>
        <v>0</v>
      </c>
      <c r="P33">
        <f>TDE!Q18</f>
        <v>0</v>
      </c>
    </row>
    <row r="34" spans="1:16" x14ac:dyDescent="0.2">
      <c r="A34" t="str">
        <f>IF(TDE!B4&gt;0,TDE!B4,"")</f>
        <v>Plan</v>
      </c>
      <c r="B34">
        <f>TDE!C19</f>
        <v>0</v>
      </c>
      <c r="C34">
        <f>TDE!D19</f>
        <v>0</v>
      </c>
      <c r="D34">
        <f>TDE!E19</f>
        <v>0</v>
      </c>
      <c r="E34">
        <f>TDE!F19</f>
        <v>0</v>
      </c>
      <c r="F34">
        <f>TDE!G19</f>
        <v>0</v>
      </c>
      <c r="G34">
        <f>TDE!H19</f>
        <v>0</v>
      </c>
      <c r="H34">
        <f>TDE!I19</f>
        <v>0</v>
      </c>
      <c r="I34">
        <f>TDE!J19</f>
        <v>0</v>
      </c>
      <c r="J34">
        <f>TDE!K19</f>
        <v>0</v>
      </c>
      <c r="K34">
        <f>TDE!L19</f>
        <v>0</v>
      </c>
      <c r="L34">
        <f>TDE!M19</f>
        <v>0</v>
      </c>
      <c r="M34">
        <f>TDE!N19</f>
        <v>0</v>
      </c>
      <c r="N34">
        <f>TDE!O19</f>
        <v>0</v>
      </c>
      <c r="O34">
        <f>TDE!P19</f>
        <v>0</v>
      </c>
      <c r="P34">
        <f>TDE!Q19</f>
        <v>0</v>
      </c>
    </row>
    <row r="41" spans="1:16" x14ac:dyDescent="0.2">
      <c r="B41" t="str">
        <f>IF(TDE!C31&gt;0,TDE!C31,"")</f>
        <v>Q2</v>
      </c>
      <c r="C41" t="str">
        <f>IF(TDE!D31&gt;0,TDE!D31,"")</f>
        <v>Q3</v>
      </c>
      <c r="D41" t="str">
        <f>IF(TDE!E31&gt;0,TDE!E31,"")</f>
        <v>Q4</v>
      </c>
      <c r="E41" t="str">
        <f>IF(TDE!F31&gt;0,TDE!F31,"")</f>
        <v>Q1'27</v>
      </c>
      <c r="F41" t="str">
        <f>IF(TDE!G31&gt;0,TDE!G31,"")</f>
        <v>Q2'27</v>
      </c>
    </row>
    <row r="42" spans="1:16" x14ac:dyDescent="0.2">
      <c r="A42" t="str">
        <f>IF(TDE!B32&gt;0,TDE!B32,"")</f>
        <v>Staff</v>
      </c>
      <c r="B42">
        <f>IF(TDE!C32&gt;0,TDE!C32,"")</f>
        <v>16</v>
      </c>
      <c r="C42">
        <f>IF(TDE!D32&gt;0,TDE!D32,"")</f>
        <v>16</v>
      </c>
      <c r="D42">
        <f>IF(TDE!E32&gt;0,TDE!E32,"")</f>
        <v>15</v>
      </c>
      <c r="E42">
        <f>IF(TDE!F32&gt;0,TDE!F32,"")</f>
        <v>16</v>
      </c>
      <c r="F42">
        <f>IF(TDE!G32&gt;0,TDE!G32,"")</f>
        <v>16</v>
      </c>
    </row>
    <row r="43" spans="1:16" x14ac:dyDescent="0.2">
      <c r="A43" t="str">
        <f>IF(TDE!B33&gt;0,TDE!B33,"")</f>
        <v>Staff AVG</v>
      </c>
      <c r="B43">
        <f>IF(TDE!C33&gt;0,TDE!C33,"")</f>
        <v>16</v>
      </c>
      <c r="C43">
        <f>IF(TDE!D33&gt;0,TDE!D33,"")</f>
        <v>16</v>
      </c>
      <c r="D43">
        <f>IF(TDE!E33&gt;0,TDE!E33,"")</f>
        <v>16</v>
      </c>
      <c r="E43">
        <f>IF(TDE!F33&gt;0,TDE!F33,"")</f>
        <v>16</v>
      </c>
      <c r="F43">
        <f>IF(TDE!G33&gt;0,TDE!G33,"")</f>
        <v>16</v>
      </c>
    </row>
    <row r="44" spans="1:16" x14ac:dyDescent="0.2">
      <c r="A44" t="str">
        <f>IF(TDE!B34&gt;0,TDE!B34,"")</f>
        <v>Plan</v>
      </c>
      <c r="B44">
        <f>IF(TDE!C34&gt;0,TDE!C34,"")</f>
        <v>16</v>
      </c>
      <c r="C44">
        <f>IF(TDE!D34&gt;0,TDE!D34,"")</f>
        <v>16</v>
      </c>
      <c r="D44">
        <f>IF(TDE!E34&gt;0,TDE!E34,"")</f>
        <v>15</v>
      </c>
      <c r="E44">
        <f>IF(TDE!F34&gt;0,TDE!F34,"")</f>
        <v>16</v>
      </c>
      <c r="F44">
        <f>IF(TDE!G34&gt;0,TDE!G34,"")</f>
        <v>16</v>
      </c>
    </row>
    <row r="45" spans="1:16" x14ac:dyDescent="0.2">
      <c r="A45" t="str">
        <f>IF(TDE!B41&gt;0,TDE!B41,"")</f>
        <v>PAYROLL</v>
      </c>
      <c r="B45">
        <f>IF(TDE!C41&gt;0,TDE!C41,"")</f>
        <v>14</v>
      </c>
      <c r="C45">
        <f>IF(TDE!D41&gt;0,TDE!D41,"")</f>
        <v>14</v>
      </c>
      <c r="D45">
        <f>IF(TDE!E41&gt;0,TDE!E41,"")</f>
        <v>13</v>
      </c>
      <c r="E45">
        <f>IF(TDE!F41&gt;0,TDE!F41,"")</f>
        <v>14</v>
      </c>
      <c r="F45">
        <f>IF(TDE!G41&gt;0,TDE!G41,"")</f>
        <v>14</v>
      </c>
    </row>
    <row r="46" spans="1:16" x14ac:dyDescent="0.2">
      <c r="A46" t="str">
        <f>IF(TDE!B45&gt;0,TDE!B45,"")</f>
        <v>CONTRACTOR</v>
      </c>
      <c r="B46">
        <f>IF(TDE!C45&gt;0,TDE!C45,"")</f>
        <v>2</v>
      </c>
      <c r="C46">
        <f>IF(TDE!D45&gt;0,TDE!D45,"")</f>
        <v>2</v>
      </c>
      <c r="D46">
        <f>IF(TDE!E45&gt;0,TDE!E45,"")</f>
        <v>2</v>
      </c>
      <c r="E46">
        <f>IF(TDE!F45&gt;0,TDE!F45,"")</f>
        <v>2</v>
      </c>
      <c r="F46">
        <f>IF(TDE!G45&gt;0,TDE!G45,"")</f>
        <v>2</v>
      </c>
    </row>
    <row r="47" spans="1:16" x14ac:dyDescent="0.2">
      <c r="A47" t="str">
        <f>IF(TDE!B49&gt;0,TDE!B49,"")</f>
        <v>OUTSOURCE</v>
      </c>
      <c r="B47" t="str">
        <f>IF(TDE!C49&gt;0,TDE!C49,"")</f>
        <v/>
      </c>
      <c r="C47" t="str">
        <f>IF(TDE!D49&gt;0,TDE!D49,"")</f>
        <v/>
      </c>
      <c r="D47" t="str">
        <f>IF(TDE!E49&gt;0,TDE!E49,"")</f>
        <v/>
      </c>
      <c r="E47" t="str">
        <f>IF(TDE!F49&gt;0,TDE!F49,"")</f>
        <v/>
      </c>
      <c r="F47" t="str">
        <f>IF(TDE!G49&gt;0,TDE!G49,"")</f>
        <v/>
      </c>
    </row>
    <row r="51" spans="1:16" x14ac:dyDescent="0.2">
      <c r="A51" s="55" t="str">
        <f>TDE!A66</f>
        <v>Financial Management</v>
      </c>
      <c r="B51" t="str">
        <f>TDE!C$61</f>
        <v>APR</v>
      </c>
      <c r="C51" t="str">
        <f>TDE!D$61</f>
        <v>MAY</v>
      </c>
      <c r="D51" t="str">
        <f>TDE!E$61</f>
        <v>JUN</v>
      </c>
      <c r="E51" t="str">
        <f>TDE!F$61</f>
        <v>JUL</v>
      </c>
      <c r="F51" t="str">
        <f>TDE!G$61</f>
        <v>AUG</v>
      </c>
      <c r="G51" t="str">
        <f>TDE!H$61</f>
        <v>SEP</v>
      </c>
      <c r="H51" t="str">
        <f>TDE!I$61</f>
        <v>OCT</v>
      </c>
      <c r="I51" t="str">
        <f>TDE!J$61</f>
        <v>NOV</v>
      </c>
      <c r="J51" t="str">
        <f>TDE!K$61</f>
        <v>DEC</v>
      </c>
      <c r="K51" t="str">
        <f>TDE!L$61</f>
        <v>JAN'27</v>
      </c>
      <c r="L51" t="str">
        <f>TDE!M$61</f>
        <v>FEB'27</v>
      </c>
      <c r="M51" t="str">
        <f>TDE!N$61</f>
        <v>MAR'27</v>
      </c>
      <c r="N51" t="str">
        <f>TDE!O$61</f>
        <v>APR'27</v>
      </c>
      <c r="O51" t="str">
        <f>TDE!P$61</f>
        <v>MAY'27</v>
      </c>
      <c r="P51" t="str">
        <f>TDE!Q$61</f>
        <v>JUN'27</v>
      </c>
    </row>
    <row r="52" spans="1:16" x14ac:dyDescent="0.2">
      <c r="A52" t="str">
        <f>TDE!B66</f>
        <v>Staff</v>
      </c>
      <c r="B52">
        <f>TDE!C66</f>
        <v>4</v>
      </c>
      <c r="C52">
        <f>TDE!D66</f>
        <v>4</v>
      </c>
      <c r="D52">
        <f>TDE!E66</f>
        <v>4</v>
      </c>
      <c r="E52">
        <f>TDE!F66</f>
        <v>4</v>
      </c>
      <c r="F52">
        <f>TDE!G66</f>
        <v>4</v>
      </c>
      <c r="G52">
        <f>TDE!H66</f>
        <v>4</v>
      </c>
      <c r="H52">
        <f>TDE!I66</f>
        <v>4</v>
      </c>
      <c r="I52">
        <f>TDE!J66</f>
        <v>4</v>
      </c>
      <c r="J52">
        <f>TDE!K66</f>
        <v>4</v>
      </c>
      <c r="K52">
        <f>TDE!L66</f>
        <v>4</v>
      </c>
      <c r="L52">
        <f>TDE!M66</f>
        <v>4</v>
      </c>
      <c r="M52">
        <f>TDE!N66</f>
        <v>4</v>
      </c>
      <c r="N52">
        <f>TDE!O66</f>
        <v>4</v>
      </c>
      <c r="O52">
        <f>TDE!P66</f>
        <v>4</v>
      </c>
      <c r="P52">
        <f>TDE!Q66</f>
        <v>4</v>
      </c>
    </row>
    <row r="53" spans="1:16" x14ac:dyDescent="0.2">
      <c r="A53" t="str">
        <f>TDE!B67</f>
        <v>Plan</v>
      </c>
      <c r="B53">
        <f>TDE!C67</f>
        <v>4</v>
      </c>
      <c r="C53">
        <f>TDE!D67</f>
        <v>4</v>
      </c>
      <c r="D53">
        <f>TDE!E67</f>
        <v>4</v>
      </c>
      <c r="E53">
        <f>TDE!F67</f>
        <v>4</v>
      </c>
      <c r="F53">
        <f>TDE!G67</f>
        <v>4</v>
      </c>
      <c r="G53">
        <f>TDE!H67</f>
        <v>4</v>
      </c>
      <c r="H53">
        <f>TDE!I67</f>
        <v>4</v>
      </c>
      <c r="I53">
        <f>TDE!J67</f>
        <v>4</v>
      </c>
      <c r="J53">
        <f>TDE!K67</f>
        <v>4</v>
      </c>
      <c r="K53">
        <f>TDE!L67</f>
        <v>4</v>
      </c>
      <c r="L53">
        <f>TDE!M67</f>
        <v>4</v>
      </c>
      <c r="M53">
        <f>TDE!N67</f>
        <v>4</v>
      </c>
      <c r="N53">
        <f>TDE!O67</f>
        <v>4</v>
      </c>
      <c r="O53">
        <f>TDE!P67</f>
        <v>4</v>
      </c>
      <c r="P53">
        <f>TDE!Q67</f>
        <v>4</v>
      </c>
    </row>
    <row r="54" spans="1:16" s="63" customFormat="1" x14ac:dyDescent="0.2">
      <c r="A54" s="63" t="s">
        <v>24</v>
      </c>
      <c r="B54" s="64">
        <f>B52-B53</f>
        <v>0</v>
      </c>
      <c r="C54" s="64">
        <f t="shared" ref="C54:P54" si="0">C52-C53</f>
        <v>0</v>
      </c>
      <c r="D54" s="64">
        <f t="shared" si="0"/>
        <v>0</v>
      </c>
      <c r="E54" s="64">
        <f t="shared" si="0"/>
        <v>0</v>
      </c>
      <c r="F54" s="64">
        <f t="shared" si="0"/>
        <v>0</v>
      </c>
      <c r="G54" s="64">
        <f t="shared" si="0"/>
        <v>0</v>
      </c>
      <c r="H54" s="64">
        <f t="shared" si="0"/>
        <v>0</v>
      </c>
      <c r="I54" s="64">
        <f t="shared" si="0"/>
        <v>0</v>
      </c>
      <c r="J54" s="64">
        <f t="shared" si="0"/>
        <v>0</v>
      </c>
      <c r="K54" s="64">
        <f t="shared" si="0"/>
        <v>0</v>
      </c>
      <c r="L54" s="64">
        <f t="shared" si="0"/>
        <v>0</v>
      </c>
      <c r="M54" s="64">
        <f t="shared" si="0"/>
        <v>0</v>
      </c>
      <c r="N54" s="64">
        <f t="shared" si="0"/>
        <v>0</v>
      </c>
      <c r="O54" s="64">
        <f t="shared" si="0"/>
        <v>0</v>
      </c>
      <c r="P54" s="64">
        <f t="shared" si="0"/>
        <v>0</v>
      </c>
    </row>
    <row r="55" spans="1:16" s="56" customFormat="1" x14ac:dyDescent="0.2">
      <c r="B55" s="56" t="str">
        <f>B$155</f>
        <v>Q2</v>
      </c>
      <c r="C55" s="56" t="str">
        <f t="shared" ref="C55:F55" si="1">C$155</f>
        <v>Q3</v>
      </c>
      <c r="D55" s="56" t="str">
        <f t="shared" si="1"/>
        <v>Q4</v>
      </c>
      <c r="E55" s="56" t="str">
        <f t="shared" si="1"/>
        <v>Q1'27</v>
      </c>
      <c r="F55" s="56" t="str">
        <f t="shared" si="1"/>
        <v>Q2'27</v>
      </c>
    </row>
    <row r="56" spans="1:16" s="56" customFormat="1" x14ac:dyDescent="0.2">
      <c r="A56" s="56" t="str">
        <f>$A$156</f>
        <v>% Plan</v>
      </c>
      <c r="B56" s="56">
        <f>(AVERAGE(B53:D53)/AVERAGE(B52:D52))*100</f>
        <v>100</v>
      </c>
      <c r="C56" s="56">
        <f>(AVERAGE(E53:G53)/AVERAGE(E52:G52))*100</f>
        <v>100</v>
      </c>
      <c r="D56" s="56">
        <f>(AVERAGE(H53:J53)/AVERAGE(H52:J52))*100</f>
        <v>100</v>
      </c>
      <c r="E56" s="56">
        <f>(AVERAGE(K53:M53)/AVERAGE(K52:M52))*100</f>
        <v>100</v>
      </c>
      <c r="F56" s="56">
        <f>(AVERAGE(N53:P53)/AVERAGE(N52:P52))*100</f>
        <v>100</v>
      </c>
    </row>
    <row r="61" spans="1:16" x14ac:dyDescent="0.2">
      <c r="A61" s="55" t="str">
        <f>TDE!A68</f>
        <v>Resource Management</v>
      </c>
      <c r="B61" t="str">
        <f>TDE!C$61</f>
        <v>APR</v>
      </c>
      <c r="C61" t="str">
        <f>TDE!D$61</f>
        <v>MAY</v>
      </c>
      <c r="D61" t="str">
        <f>TDE!E$61</f>
        <v>JUN</v>
      </c>
      <c r="E61" t="str">
        <f>TDE!F$61</f>
        <v>JUL</v>
      </c>
      <c r="F61" t="str">
        <f>TDE!G$61</f>
        <v>AUG</v>
      </c>
      <c r="G61" t="str">
        <f>TDE!H$61</f>
        <v>SEP</v>
      </c>
      <c r="H61" t="str">
        <f>TDE!I$61</f>
        <v>OCT</v>
      </c>
      <c r="I61" t="str">
        <f>TDE!J$61</f>
        <v>NOV</v>
      </c>
      <c r="J61" t="str">
        <f>TDE!K$61</f>
        <v>DEC</v>
      </c>
      <c r="K61" t="str">
        <f>TDE!L$61</f>
        <v>JAN'27</v>
      </c>
      <c r="L61" t="str">
        <f>TDE!M$61</f>
        <v>FEB'27</v>
      </c>
      <c r="M61" t="str">
        <f>TDE!N$61</f>
        <v>MAR'27</v>
      </c>
      <c r="N61" t="str">
        <f>TDE!O$61</f>
        <v>APR'27</v>
      </c>
      <c r="O61" t="str">
        <f>TDE!P$61</f>
        <v>MAY'27</v>
      </c>
      <c r="P61" t="str">
        <f>TDE!Q$61</f>
        <v>JUN'27</v>
      </c>
    </row>
    <row r="62" spans="1:16" x14ac:dyDescent="0.2">
      <c r="A62" t="str">
        <f>TDE!B68</f>
        <v>Staff</v>
      </c>
      <c r="B62">
        <f>TDE!C68</f>
        <v>5</v>
      </c>
      <c r="C62">
        <f>TDE!D68</f>
        <v>5</v>
      </c>
      <c r="D62">
        <f>TDE!E68</f>
        <v>5</v>
      </c>
      <c r="E62">
        <f>TDE!F68</f>
        <v>5</v>
      </c>
      <c r="F62">
        <f>TDE!G68</f>
        <v>5</v>
      </c>
      <c r="G62">
        <f>TDE!H68</f>
        <v>5</v>
      </c>
      <c r="H62">
        <f>TDE!I68</f>
        <v>5</v>
      </c>
      <c r="I62">
        <f>TDE!J68</f>
        <v>5</v>
      </c>
      <c r="J62">
        <f>TDE!K68</f>
        <v>5</v>
      </c>
      <c r="K62">
        <f>TDE!L68</f>
        <v>5</v>
      </c>
      <c r="L62">
        <f>TDE!M68</f>
        <v>5</v>
      </c>
      <c r="M62">
        <f>TDE!N68</f>
        <v>5</v>
      </c>
      <c r="N62">
        <f>TDE!O68</f>
        <v>5</v>
      </c>
      <c r="O62">
        <f>TDE!P68</f>
        <v>5</v>
      </c>
      <c r="P62">
        <f>TDE!Q68</f>
        <v>5</v>
      </c>
    </row>
    <row r="63" spans="1:16" x14ac:dyDescent="0.2">
      <c r="A63" t="str">
        <f>TDE!B69</f>
        <v>Plan</v>
      </c>
      <c r="B63">
        <f>TDE!C69</f>
        <v>5</v>
      </c>
      <c r="C63">
        <f>TDE!D69</f>
        <v>5</v>
      </c>
      <c r="D63">
        <f>TDE!E69</f>
        <v>5</v>
      </c>
      <c r="E63">
        <f>TDE!F69</f>
        <v>5</v>
      </c>
      <c r="F63">
        <f>TDE!G69</f>
        <v>5</v>
      </c>
      <c r="G63">
        <f>TDE!H69</f>
        <v>5</v>
      </c>
      <c r="H63">
        <f>TDE!I69</f>
        <v>5</v>
      </c>
      <c r="I63">
        <f>TDE!J69</f>
        <v>5</v>
      </c>
      <c r="J63">
        <f>TDE!K69</f>
        <v>5</v>
      </c>
      <c r="K63">
        <f>TDE!L69</f>
        <v>5</v>
      </c>
      <c r="L63">
        <f>TDE!M69</f>
        <v>5</v>
      </c>
      <c r="M63">
        <f>TDE!N69</f>
        <v>5</v>
      </c>
      <c r="N63">
        <f>TDE!O69</f>
        <v>5</v>
      </c>
      <c r="O63">
        <f>TDE!P69</f>
        <v>5</v>
      </c>
      <c r="P63">
        <f>TDE!Q69</f>
        <v>5</v>
      </c>
    </row>
    <row r="64" spans="1:16" s="63" customFormat="1" x14ac:dyDescent="0.2">
      <c r="A64" s="63" t="s">
        <v>24</v>
      </c>
      <c r="B64" s="64">
        <f>B62-B63</f>
        <v>0</v>
      </c>
      <c r="C64" s="64">
        <f t="shared" ref="C64:P64" si="2">C62-C63</f>
        <v>0</v>
      </c>
      <c r="D64" s="64">
        <f t="shared" si="2"/>
        <v>0</v>
      </c>
      <c r="E64" s="64">
        <f t="shared" si="2"/>
        <v>0</v>
      </c>
      <c r="F64" s="64">
        <f t="shared" si="2"/>
        <v>0</v>
      </c>
      <c r="G64" s="64">
        <f t="shared" si="2"/>
        <v>0</v>
      </c>
      <c r="H64" s="64">
        <f t="shared" si="2"/>
        <v>0</v>
      </c>
      <c r="I64" s="64">
        <f t="shared" si="2"/>
        <v>0</v>
      </c>
      <c r="J64" s="64">
        <f t="shared" si="2"/>
        <v>0</v>
      </c>
      <c r="K64" s="64">
        <f t="shared" si="2"/>
        <v>0</v>
      </c>
      <c r="L64" s="64">
        <f t="shared" si="2"/>
        <v>0</v>
      </c>
      <c r="M64" s="64">
        <f t="shared" si="2"/>
        <v>0</v>
      </c>
      <c r="N64" s="64">
        <f t="shared" si="2"/>
        <v>0</v>
      </c>
      <c r="O64" s="64">
        <f t="shared" si="2"/>
        <v>0</v>
      </c>
      <c r="P64" s="64">
        <f t="shared" si="2"/>
        <v>0</v>
      </c>
    </row>
    <row r="65" spans="1:16" s="56" customFormat="1" x14ac:dyDescent="0.2">
      <c r="B65" s="56" t="str">
        <f>B$155</f>
        <v>Q2</v>
      </c>
      <c r="C65" s="56" t="str">
        <f t="shared" ref="C65:F65" si="3">C$155</f>
        <v>Q3</v>
      </c>
      <c r="D65" s="56" t="str">
        <f t="shared" si="3"/>
        <v>Q4</v>
      </c>
      <c r="E65" s="56" t="str">
        <f t="shared" si="3"/>
        <v>Q1'27</v>
      </c>
      <c r="F65" s="56" t="str">
        <f t="shared" si="3"/>
        <v>Q2'27</v>
      </c>
    </row>
    <row r="66" spans="1:16" s="56" customFormat="1" x14ac:dyDescent="0.2">
      <c r="A66" s="56" t="str">
        <f>$A$156</f>
        <v>% Plan</v>
      </c>
      <c r="B66" s="56">
        <f>(AVERAGE(B63:D63)/AVERAGE(B62:D62))*100</f>
        <v>100</v>
      </c>
      <c r="C66" s="56">
        <f>(AVERAGE(E63:G63)/AVERAGE(E62:G62))*100</f>
        <v>100</v>
      </c>
      <c r="D66" s="56">
        <f>(AVERAGE(H63:J63)/AVERAGE(H62:J62))*100</f>
        <v>100</v>
      </c>
      <c r="E66" s="56">
        <f>(AVERAGE(K63:M63)/AVERAGE(K62:M62))*100</f>
        <v>100</v>
      </c>
      <c r="F66" s="56">
        <f>(AVERAGE(N63:P63)/AVERAGE(N62:P62))*100</f>
        <v>100</v>
      </c>
    </row>
    <row r="71" spans="1:16" x14ac:dyDescent="0.2">
      <c r="A71" s="55" t="str">
        <f>TDE!A74</f>
        <v>Talent Experience &amp; Development</v>
      </c>
      <c r="B71" t="str">
        <f>TDE!C$61</f>
        <v>APR</v>
      </c>
      <c r="C71" t="str">
        <f>TDE!D$61</f>
        <v>MAY</v>
      </c>
      <c r="D71" t="str">
        <f>TDE!E$61</f>
        <v>JUN</v>
      </c>
      <c r="E71" t="str">
        <f>TDE!F$61</f>
        <v>JUL</v>
      </c>
      <c r="F71" t="str">
        <f>TDE!G$61</f>
        <v>AUG</v>
      </c>
      <c r="G71" t="str">
        <f>TDE!H$61</f>
        <v>SEP</v>
      </c>
      <c r="H71" t="str">
        <f>TDE!I$61</f>
        <v>OCT</v>
      </c>
      <c r="I71" t="str">
        <f>TDE!J$61</f>
        <v>NOV</v>
      </c>
      <c r="J71" t="str">
        <f>TDE!K$61</f>
        <v>DEC</v>
      </c>
      <c r="K71" t="str">
        <f>TDE!L$61</f>
        <v>JAN'27</v>
      </c>
      <c r="L71" t="str">
        <f>TDE!M$61</f>
        <v>FEB'27</v>
      </c>
      <c r="M71" t="str">
        <f>TDE!N$61</f>
        <v>MAR'27</v>
      </c>
      <c r="N71" t="str">
        <f>TDE!O$61</f>
        <v>APR'27</v>
      </c>
      <c r="O71" t="str">
        <f>TDE!P$61</f>
        <v>MAY'27</v>
      </c>
      <c r="P71" t="str">
        <f>TDE!Q$61</f>
        <v>JUN'27</v>
      </c>
    </row>
    <row r="72" spans="1:16" x14ac:dyDescent="0.2">
      <c r="A72" t="str">
        <f>TDE!B74</f>
        <v>Staff</v>
      </c>
      <c r="B72">
        <f>TDE!C74</f>
        <v>3</v>
      </c>
      <c r="C72">
        <f>TDE!D74</f>
        <v>3</v>
      </c>
      <c r="D72">
        <f>TDE!E74</f>
        <v>3</v>
      </c>
      <c r="E72">
        <f>TDE!F74</f>
        <v>3</v>
      </c>
      <c r="F72">
        <f>TDE!G74</f>
        <v>3</v>
      </c>
      <c r="G72">
        <f>TDE!H74</f>
        <v>3</v>
      </c>
      <c r="H72">
        <f>TDE!I74</f>
        <v>3</v>
      </c>
      <c r="I72">
        <f>TDE!J74</f>
        <v>3</v>
      </c>
      <c r="J72">
        <f>TDE!K74</f>
        <v>3</v>
      </c>
      <c r="K72">
        <f>TDE!L74</f>
        <v>3</v>
      </c>
      <c r="L72">
        <f>TDE!M74</f>
        <v>3</v>
      </c>
      <c r="M72">
        <f>TDE!N74</f>
        <v>3</v>
      </c>
      <c r="N72">
        <f>TDE!O74</f>
        <v>3</v>
      </c>
      <c r="O72">
        <f>TDE!P74</f>
        <v>3</v>
      </c>
      <c r="P72">
        <f>TDE!Q74</f>
        <v>3</v>
      </c>
    </row>
    <row r="73" spans="1:16" x14ac:dyDescent="0.2">
      <c r="A73" t="str">
        <f>TDE!B75</f>
        <v>Plan</v>
      </c>
      <c r="B73">
        <f>TDE!C75</f>
        <v>3</v>
      </c>
      <c r="C73">
        <f>TDE!D75</f>
        <v>3</v>
      </c>
      <c r="D73">
        <f>TDE!E75</f>
        <v>3</v>
      </c>
      <c r="E73">
        <f>TDE!F75</f>
        <v>3</v>
      </c>
      <c r="F73">
        <f>TDE!G75</f>
        <v>3</v>
      </c>
      <c r="G73">
        <f>TDE!H75</f>
        <v>3</v>
      </c>
      <c r="H73">
        <f>TDE!I75</f>
        <v>3</v>
      </c>
      <c r="I73">
        <f>TDE!J75</f>
        <v>3</v>
      </c>
      <c r="J73">
        <f>TDE!K75</f>
        <v>3</v>
      </c>
      <c r="K73">
        <f>TDE!L75</f>
        <v>3</v>
      </c>
      <c r="L73">
        <f>TDE!M75</f>
        <v>3</v>
      </c>
      <c r="M73">
        <f>TDE!N75</f>
        <v>3</v>
      </c>
      <c r="N73">
        <f>TDE!O75</f>
        <v>3</v>
      </c>
      <c r="O73">
        <f>TDE!P75</f>
        <v>3</v>
      </c>
      <c r="P73">
        <f>TDE!Q75</f>
        <v>3</v>
      </c>
    </row>
    <row r="74" spans="1:16" s="63" customFormat="1" x14ac:dyDescent="0.2">
      <c r="A74" s="63" t="s">
        <v>24</v>
      </c>
      <c r="B74" s="64">
        <f>B72-B73</f>
        <v>0</v>
      </c>
      <c r="C74" s="64">
        <f t="shared" ref="C74:P74" si="4">C72-C73</f>
        <v>0</v>
      </c>
      <c r="D74" s="64">
        <f t="shared" si="4"/>
        <v>0</v>
      </c>
      <c r="E74" s="64">
        <f t="shared" si="4"/>
        <v>0</v>
      </c>
      <c r="F74" s="64">
        <f t="shared" si="4"/>
        <v>0</v>
      </c>
      <c r="G74" s="64">
        <f t="shared" si="4"/>
        <v>0</v>
      </c>
      <c r="H74" s="64">
        <f t="shared" si="4"/>
        <v>0</v>
      </c>
      <c r="I74" s="64">
        <f t="shared" si="4"/>
        <v>0</v>
      </c>
      <c r="J74" s="64">
        <f t="shared" si="4"/>
        <v>0</v>
      </c>
      <c r="K74" s="64">
        <f t="shared" si="4"/>
        <v>0</v>
      </c>
      <c r="L74" s="64">
        <f t="shared" si="4"/>
        <v>0</v>
      </c>
      <c r="M74" s="64">
        <f t="shared" si="4"/>
        <v>0</v>
      </c>
      <c r="N74" s="64">
        <f t="shared" si="4"/>
        <v>0</v>
      </c>
      <c r="O74" s="64">
        <f t="shared" si="4"/>
        <v>0</v>
      </c>
      <c r="P74" s="64">
        <f t="shared" si="4"/>
        <v>0</v>
      </c>
    </row>
    <row r="75" spans="1:16" s="56" customFormat="1" x14ac:dyDescent="0.2">
      <c r="B75" s="56" t="str">
        <f>B$155</f>
        <v>Q2</v>
      </c>
      <c r="C75" s="56" t="str">
        <f t="shared" ref="C75:F75" si="5">C$155</f>
        <v>Q3</v>
      </c>
      <c r="D75" s="56" t="str">
        <f t="shared" si="5"/>
        <v>Q4</v>
      </c>
      <c r="E75" s="56" t="str">
        <f t="shared" si="5"/>
        <v>Q1'27</v>
      </c>
      <c r="F75" s="56" t="str">
        <f t="shared" si="5"/>
        <v>Q2'27</v>
      </c>
    </row>
    <row r="76" spans="1:16" s="56" customFormat="1" x14ac:dyDescent="0.2">
      <c r="A76" s="56" t="str">
        <f>$A$156</f>
        <v>% Plan</v>
      </c>
      <c r="B76" s="56">
        <f>(AVERAGE(B73:D73)/AVERAGE(B72:D72))*100</f>
        <v>100</v>
      </c>
      <c r="C76" s="56">
        <f>(AVERAGE(E73:G73)/AVERAGE(E72:G72))*100</f>
        <v>100</v>
      </c>
      <c r="D76" s="56">
        <f>(AVERAGE(H73:J73)/AVERAGE(H72:J72))*100</f>
        <v>100</v>
      </c>
      <c r="E76" s="56">
        <f>(AVERAGE(K73:M73)/AVERAGE(K72:M72))*100</f>
        <v>100</v>
      </c>
      <c r="F76" s="56">
        <f>(AVERAGE(N73:P73)/AVERAGE(N72:P72))*100</f>
        <v>100</v>
      </c>
    </row>
    <row r="81" spans="1:16" x14ac:dyDescent="0.2">
      <c r="A81" s="55" t="str">
        <f>TDE!A80</f>
        <v>Center of Excellences</v>
      </c>
      <c r="B81" t="str">
        <f>TDE!C$61</f>
        <v>APR</v>
      </c>
      <c r="C81" t="str">
        <f>TDE!D$61</f>
        <v>MAY</v>
      </c>
      <c r="D81" t="str">
        <f>TDE!E$61</f>
        <v>JUN</v>
      </c>
      <c r="E81" t="str">
        <f>TDE!F$61</f>
        <v>JUL</v>
      </c>
      <c r="F81" t="str">
        <f>TDE!G$61</f>
        <v>AUG</v>
      </c>
      <c r="G81" t="str">
        <f>TDE!H$61</f>
        <v>SEP</v>
      </c>
      <c r="H81" t="str">
        <f>TDE!I$61</f>
        <v>OCT</v>
      </c>
      <c r="I81" t="str">
        <f>TDE!J$61</f>
        <v>NOV</v>
      </c>
      <c r="J81" t="str">
        <f>TDE!K$61</f>
        <v>DEC</v>
      </c>
      <c r="K81" t="str">
        <f>TDE!L$61</f>
        <v>JAN'27</v>
      </c>
      <c r="L81" t="str">
        <f>TDE!M$61</f>
        <v>FEB'27</v>
      </c>
      <c r="M81" t="str">
        <f>TDE!N$61</f>
        <v>MAR'27</v>
      </c>
      <c r="N81" t="str">
        <f>TDE!O$61</f>
        <v>APR'27</v>
      </c>
      <c r="O81" t="str">
        <f>TDE!P$61</f>
        <v>MAY'27</v>
      </c>
      <c r="P81" t="str">
        <f>TDE!Q$61</f>
        <v>JUN'27</v>
      </c>
    </row>
    <row r="82" spans="1:16" x14ac:dyDescent="0.2">
      <c r="A82" t="str">
        <f>TDE!B80</f>
        <v>Staff</v>
      </c>
      <c r="B82">
        <f>TDE!C80</f>
        <v>3</v>
      </c>
      <c r="C82">
        <f>TDE!D80</f>
        <v>3</v>
      </c>
      <c r="D82">
        <f>TDE!E80</f>
        <v>3</v>
      </c>
      <c r="E82">
        <f>TDE!F80</f>
        <v>3</v>
      </c>
      <c r="F82">
        <f>TDE!G80</f>
        <v>3</v>
      </c>
      <c r="G82">
        <f>TDE!H80</f>
        <v>3</v>
      </c>
      <c r="H82">
        <f>TDE!I80</f>
        <v>2</v>
      </c>
      <c r="I82">
        <f>TDE!J80</f>
        <v>2</v>
      </c>
      <c r="J82">
        <f>TDE!K80</f>
        <v>2</v>
      </c>
      <c r="K82">
        <f>TDE!L80</f>
        <v>2</v>
      </c>
      <c r="L82">
        <f>TDE!M80</f>
        <v>3</v>
      </c>
      <c r="M82">
        <f>TDE!N80</f>
        <v>3</v>
      </c>
      <c r="N82">
        <f>TDE!O80</f>
        <v>3</v>
      </c>
      <c r="O82">
        <f>TDE!P80</f>
        <v>3</v>
      </c>
      <c r="P82">
        <f>TDE!Q80</f>
        <v>3</v>
      </c>
    </row>
    <row r="83" spans="1:16" x14ac:dyDescent="0.2">
      <c r="A83" t="str">
        <f>TDE!B81</f>
        <v>Plan</v>
      </c>
      <c r="B83">
        <f>TDE!C81</f>
        <v>3</v>
      </c>
      <c r="C83">
        <f>TDE!D81</f>
        <v>3</v>
      </c>
      <c r="D83">
        <f>TDE!E81</f>
        <v>3</v>
      </c>
      <c r="E83">
        <f>TDE!F81</f>
        <v>3</v>
      </c>
      <c r="F83">
        <f>TDE!G81</f>
        <v>3</v>
      </c>
      <c r="G83">
        <f>TDE!H81</f>
        <v>3</v>
      </c>
      <c r="H83">
        <f>TDE!I81</f>
        <v>2</v>
      </c>
      <c r="I83">
        <f>TDE!J81</f>
        <v>2</v>
      </c>
      <c r="J83">
        <f>TDE!K81</f>
        <v>2</v>
      </c>
      <c r="K83">
        <f>TDE!L81</f>
        <v>2</v>
      </c>
      <c r="L83">
        <f>TDE!M81</f>
        <v>3</v>
      </c>
      <c r="M83">
        <f>TDE!N81</f>
        <v>3</v>
      </c>
      <c r="N83">
        <f>TDE!O81</f>
        <v>3</v>
      </c>
      <c r="O83">
        <f>TDE!P81</f>
        <v>3</v>
      </c>
      <c r="P83">
        <f>TDE!Q81</f>
        <v>3</v>
      </c>
    </row>
    <row r="84" spans="1:16" s="63" customFormat="1" x14ac:dyDescent="0.2">
      <c r="A84" s="63" t="s">
        <v>24</v>
      </c>
      <c r="B84" s="64">
        <f>B82-B83</f>
        <v>0</v>
      </c>
      <c r="C84" s="64">
        <f t="shared" ref="C84:P84" si="6">C82-C83</f>
        <v>0</v>
      </c>
      <c r="D84" s="64">
        <f t="shared" si="6"/>
        <v>0</v>
      </c>
      <c r="E84" s="64">
        <f t="shared" si="6"/>
        <v>0</v>
      </c>
      <c r="F84" s="64">
        <f t="shared" si="6"/>
        <v>0</v>
      </c>
      <c r="G84" s="64">
        <f t="shared" si="6"/>
        <v>0</v>
      </c>
      <c r="H84" s="64">
        <f t="shared" si="6"/>
        <v>0</v>
      </c>
      <c r="I84" s="64">
        <f t="shared" si="6"/>
        <v>0</v>
      </c>
      <c r="J84" s="64">
        <f t="shared" si="6"/>
        <v>0</v>
      </c>
      <c r="K84" s="64">
        <f t="shared" si="6"/>
        <v>0</v>
      </c>
      <c r="L84" s="64">
        <f t="shared" si="6"/>
        <v>0</v>
      </c>
      <c r="M84" s="64">
        <f t="shared" si="6"/>
        <v>0</v>
      </c>
      <c r="N84" s="64">
        <f t="shared" si="6"/>
        <v>0</v>
      </c>
      <c r="O84" s="64">
        <f t="shared" si="6"/>
        <v>0</v>
      </c>
      <c r="P84" s="64">
        <f t="shared" si="6"/>
        <v>0</v>
      </c>
    </row>
    <row r="85" spans="1:16" s="56" customFormat="1" x14ac:dyDescent="0.2">
      <c r="B85" s="56" t="str">
        <f>B$155</f>
        <v>Q2</v>
      </c>
      <c r="C85" s="56" t="str">
        <f t="shared" ref="C85:F85" si="7">C$155</f>
        <v>Q3</v>
      </c>
      <c r="D85" s="56" t="str">
        <f t="shared" si="7"/>
        <v>Q4</v>
      </c>
      <c r="E85" s="56" t="str">
        <f t="shared" si="7"/>
        <v>Q1'27</v>
      </c>
      <c r="F85" s="56" t="str">
        <f t="shared" si="7"/>
        <v>Q2'27</v>
      </c>
    </row>
    <row r="86" spans="1:16" s="56" customFormat="1" x14ac:dyDescent="0.2">
      <c r="A86" s="56" t="str">
        <f>$A$156</f>
        <v>% Plan</v>
      </c>
      <c r="B86" s="56">
        <f>(AVERAGE(B83:D83)/AVERAGE(B82:D82))*100</f>
        <v>100</v>
      </c>
      <c r="C86" s="56">
        <f>(AVERAGE(E83:G83)/AVERAGE(E82:G82))*100</f>
        <v>100</v>
      </c>
      <c r="D86" s="56">
        <f>(AVERAGE(H83:J83)/AVERAGE(H82:J82))*100</f>
        <v>100</v>
      </c>
      <c r="E86" s="56">
        <f>(AVERAGE(K83:M83)/AVERAGE(K82:M82))*100</f>
        <v>100</v>
      </c>
      <c r="F86" s="56">
        <f>(AVERAGE(N83:P83)/AVERAGE(N82:P82))*100</f>
        <v>100</v>
      </c>
    </row>
    <row r="151" spans="1:16" x14ac:dyDescent="0.2">
      <c r="B151" t="str">
        <f>TDE!C1</f>
        <v>APR</v>
      </c>
      <c r="C151" t="str">
        <f>TDE!D1</f>
        <v>MAY</v>
      </c>
      <c r="D151" t="str">
        <f>TDE!E1</f>
        <v>JUN</v>
      </c>
      <c r="E151" t="str">
        <f>TDE!F1</f>
        <v>JUL</v>
      </c>
      <c r="F151" t="str">
        <f>TDE!G1</f>
        <v>AUG</v>
      </c>
      <c r="G151" t="str">
        <f>TDE!H1</f>
        <v>SEP</v>
      </c>
      <c r="H151" t="str">
        <f>TDE!I1</f>
        <v>OCT</v>
      </c>
      <c r="I151" t="str">
        <f>TDE!J1</f>
        <v>NOV</v>
      </c>
      <c r="J151" t="str">
        <f>TDE!K1</f>
        <v>DEC</v>
      </c>
      <c r="K151" t="str">
        <f>TDE!L1</f>
        <v>JAN'27</v>
      </c>
      <c r="L151" t="str">
        <f>TDE!M1</f>
        <v>FEB'27</v>
      </c>
      <c r="M151" t="str">
        <f>TDE!N1</f>
        <v>MAR'27</v>
      </c>
      <c r="N151" t="str">
        <f>TDE!O1</f>
        <v>APR'27</v>
      </c>
      <c r="O151" t="str">
        <f>TDE!P1</f>
        <v>MAY'27</v>
      </c>
      <c r="P151" t="str">
        <f>TDE!Q1</f>
        <v>JUN'27</v>
      </c>
    </row>
    <row r="152" spans="1:16" x14ac:dyDescent="0.2">
      <c r="A152" t="str">
        <f>TDE!B6</f>
        <v>% Plan</v>
      </c>
      <c r="B152">
        <f>TDE!C6*100</f>
        <v>100</v>
      </c>
      <c r="C152">
        <f>TDE!D6*100</f>
        <v>100</v>
      </c>
      <c r="D152">
        <f>TDE!E6*100</f>
        <v>100</v>
      </c>
      <c r="E152">
        <f>TDE!F6*100</f>
        <v>100</v>
      </c>
      <c r="F152">
        <f>TDE!G6*100</f>
        <v>100</v>
      </c>
      <c r="G152">
        <f>TDE!H6*100</f>
        <v>100</v>
      </c>
      <c r="H152">
        <f>TDE!I6*100</f>
        <v>100</v>
      </c>
      <c r="I152">
        <f>TDE!J6*100</f>
        <v>100</v>
      </c>
      <c r="J152">
        <f>TDE!K6*100</f>
        <v>100</v>
      </c>
      <c r="K152">
        <f>TDE!L6*100</f>
        <v>100</v>
      </c>
      <c r="L152">
        <f>TDE!M6*100</f>
        <v>100</v>
      </c>
      <c r="M152">
        <f>TDE!N6*100</f>
        <v>100</v>
      </c>
      <c r="N152">
        <f>TDE!O6*100</f>
        <v>100</v>
      </c>
      <c r="O152">
        <f>TDE!P6*100</f>
        <v>100</v>
      </c>
      <c r="P152">
        <f>TDE!Q6*100</f>
        <v>100</v>
      </c>
    </row>
    <row r="153" spans="1:16" x14ac:dyDescent="0.2">
      <c r="A153" t="str">
        <f>TDE!B7</f>
        <v>Available FTE</v>
      </c>
      <c r="B153">
        <f>TDE!C7</f>
        <v>0</v>
      </c>
      <c r="C153">
        <f>TDE!D7</f>
        <v>0</v>
      </c>
      <c r="D153">
        <f>TDE!E7</f>
        <v>0</v>
      </c>
      <c r="E153">
        <f>TDE!F7</f>
        <v>0</v>
      </c>
      <c r="F153">
        <f>TDE!G7</f>
        <v>0</v>
      </c>
      <c r="G153">
        <f>TDE!H7</f>
        <v>0</v>
      </c>
      <c r="H153">
        <f>TDE!I7</f>
        <v>0</v>
      </c>
      <c r="I153">
        <f>TDE!J7</f>
        <v>0</v>
      </c>
      <c r="J153">
        <f>TDE!K7</f>
        <v>0</v>
      </c>
      <c r="K153">
        <f>TDE!L7</f>
        <v>0</v>
      </c>
      <c r="L153">
        <f>TDE!M7</f>
        <v>0</v>
      </c>
      <c r="M153">
        <f>TDE!N7</f>
        <v>0</v>
      </c>
      <c r="N153">
        <f>TDE!O7</f>
        <v>0</v>
      </c>
      <c r="O153">
        <f>TDE!P7</f>
        <v>0</v>
      </c>
      <c r="P153">
        <f>TDE!Q7</f>
        <v>0</v>
      </c>
    </row>
    <row r="155" spans="1:16" x14ac:dyDescent="0.2">
      <c r="B155" t="str">
        <f>TDE!C31</f>
        <v>Q2</v>
      </c>
      <c r="C155" t="str">
        <f>TDE!D31</f>
        <v>Q3</v>
      </c>
      <c r="D155" t="str">
        <f>TDE!E31</f>
        <v>Q4</v>
      </c>
      <c r="E155" t="str">
        <f>TDE!F31</f>
        <v>Q1'27</v>
      </c>
      <c r="F155" t="str">
        <f>TDE!G31</f>
        <v>Q2'27</v>
      </c>
    </row>
    <row r="156" spans="1:16" x14ac:dyDescent="0.2">
      <c r="A156" t="str">
        <f>TDE!B6</f>
        <v>% Plan</v>
      </c>
      <c r="B156">
        <f>TDE!C36*100</f>
        <v>100</v>
      </c>
      <c r="C156">
        <f>TDE!D36*100</f>
        <v>100</v>
      </c>
      <c r="D156">
        <f>TDE!E36*100</f>
        <v>100</v>
      </c>
      <c r="E156">
        <f>TDE!F36*100</f>
        <v>100</v>
      </c>
      <c r="F156">
        <f>TDE!G36*100</f>
        <v>100</v>
      </c>
    </row>
    <row r="157" spans="1:16" x14ac:dyDescent="0.2">
      <c r="A157" t="str">
        <f>TDE!B7</f>
        <v>Available FTE</v>
      </c>
      <c r="B157">
        <f>TDE!C37</f>
        <v>0</v>
      </c>
      <c r="C157">
        <f>TDE!D37</f>
        <v>0</v>
      </c>
      <c r="D157">
        <f>TDE!E37</f>
        <v>0</v>
      </c>
      <c r="E157">
        <f>TDE!F37</f>
        <v>0</v>
      </c>
      <c r="F157">
        <f>TDE!G37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F03D2-F045-604C-BDE8-7CF4034DAA30}">
  <sheetPr>
    <tabColor rgb="FF002060"/>
  </sheetPr>
  <dimension ref="A1:V71"/>
  <sheetViews>
    <sheetView workbookViewId="0">
      <pane ySplit="1" topLeftCell="A3" activePane="bottomLeft" state="frozen"/>
      <selection pane="bottomLeft" activeCell="J22" sqref="J22"/>
    </sheetView>
  </sheetViews>
  <sheetFormatPr baseColWidth="10" defaultRowHeight="16" x14ac:dyDescent="0.2"/>
  <cols>
    <col min="1" max="1" width="21.6640625" bestFit="1" customWidth="1"/>
  </cols>
  <sheetData>
    <row r="1" spans="1:22" x14ac:dyDescent="0.2">
      <c r="A1" s="50" t="s">
        <v>119</v>
      </c>
      <c r="B1" s="80" t="s">
        <v>4</v>
      </c>
      <c r="C1" s="80" t="s">
        <v>5</v>
      </c>
      <c r="D1" s="80" t="s">
        <v>6</v>
      </c>
      <c r="E1" s="3" t="s">
        <v>7</v>
      </c>
      <c r="F1" s="3" t="s">
        <v>8</v>
      </c>
      <c r="G1" s="3" t="s">
        <v>9</v>
      </c>
      <c r="H1" s="4" t="s">
        <v>10</v>
      </c>
      <c r="I1" s="4" t="s">
        <v>11</v>
      </c>
      <c r="J1" s="4" t="s">
        <v>12</v>
      </c>
      <c r="K1" s="5" t="s">
        <v>13</v>
      </c>
      <c r="L1" s="5" t="s">
        <v>14</v>
      </c>
      <c r="M1" s="5" t="s">
        <v>15</v>
      </c>
      <c r="N1" s="81" t="s">
        <v>180</v>
      </c>
      <c r="O1" s="81" t="s">
        <v>181</v>
      </c>
      <c r="P1" s="81" t="s">
        <v>182</v>
      </c>
      <c r="Q1" s="51"/>
      <c r="R1" s="51"/>
      <c r="S1" s="51"/>
      <c r="T1" s="51"/>
      <c r="U1" s="51"/>
      <c r="V1" s="51"/>
    </row>
    <row r="2" spans="1:22" x14ac:dyDescent="0.2">
      <c r="A2" s="7" t="s">
        <v>136</v>
      </c>
      <c r="B2" s="7">
        <v>0.61250000000000004</v>
      </c>
      <c r="C2" s="7">
        <v>0.86250000000000004</v>
      </c>
      <c r="D2" s="7">
        <v>0.66249999999999998</v>
      </c>
      <c r="E2" s="7">
        <v>0.625</v>
      </c>
      <c r="F2" s="7">
        <v>0.55000000000000004</v>
      </c>
      <c r="G2" s="7">
        <v>0.55000000000000004</v>
      </c>
      <c r="H2" s="7">
        <v>0.85</v>
      </c>
      <c r="I2" s="7">
        <v>0.85</v>
      </c>
      <c r="J2" s="7">
        <v>0.85</v>
      </c>
      <c r="K2" s="7">
        <v>0.35</v>
      </c>
      <c r="L2" s="7">
        <v>0.35</v>
      </c>
      <c r="M2" s="7">
        <v>0.35</v>
      </c>
      <c r="N2" s="7">
        <v>0.25</v>
      </c>
      <c r="O2" s="7">
        <v>0.25</v>
      </c>
      <c r="P2" s="7">
        <v>0.25</v>
      </c>
      <c r="Q2" s="7"/>
      <c r="R2" s="7"/>
      <c r="S2" s="53"/>
      <c r="T2" s="7"/>
      <c r="U2" s="7"/>
      <c r="V2" s="53"/>
    </row>
    <row r="3" spans="1:22" x14ac:dyDescent="0.2">
      <c r="A3" s="7" t="s">
        <v>120</v>
      </c>
      <c r="B3" s="7">
        <v>1.83</v>
      </c>
      <c r="C3" s="7">
        <v>1.88</v>
      </c>
      <c r="D3" s="7">
        <v>1.5</v>
      </c>
      <c r="E3" s="7">
        <v>1.35</v>
      </c>
      <c r="F3" s="7">
        <v>1.35</v>
      </c>
      <c r="G3" s="7">
        <v>1.35</v>
      </c>
      <c r="H3" s="7">
        <v>1.4</v>
      </c>
      <c r="I3" s="7">
        <v>1.2</v>
      </c>
      <c r="J3" s="7">
        <v>1.2</v>
      </c>
      <c r="K3" s="7">
        <v>1.2</v>
      </c>
      <c r="L3" s="7">
        <v>1.25</v>
      </c>
      <c r="M3" s="7">
        <v>0.8</v>
      </c>
      <c r="N3" s="7">
        <v>0.75</v>
      </c>
      <c r="O3" s="7">
        <v>0.75</v>
      </c>
      <c r="P3" s="7">
        <v>0.75</v>
      </c>
      <c r="Q3" s="7"/>
      <c r="R3" s="7"/>
      <c r="S3" s="53"/>
      <c r="T3" s="7"/>
      <c r="U3" s="7"/>
      <c r="V3" s="53"/>
    </row>
    <row r="4" spans="1:22" x14ac:dyDescent="0.2">
      <c r="A4" s="7" t="s">
        <v>137</v>
      </c>
      <c r="B4" s="7">
        <v>1.4375</v>
      </c>
      <c r="C4" s="7">
        <v>1.4125000000000001</v>
      </c>
      <c r="D4" s="7">
        <v>1.8625</v>
      </c>
      <c r="E4" s="7">
        <v>1.1000000000000001</v>
      </c>
      <c r="F4" s="7">
        <v>0.95</v>
      </c>
      <c r="G4" s="7">
        <v>0.95</v>
      </c>
      <c r="H4" s="7">
        <v>0.95</v>
      </c>
      <c r="I4" s="7">
        <v>0.95</v>
      </c>
      <c r="J4" s="7">
        <v>0.95</v>
      </c>
      <c r="K4" s="7">
        <v>1.2625</v>
      </c>
      <c r="L4" s="7">
        <v>1.2625</v>
      </c>
      <c r="M4" s="7">
        <v>1.2625</v>
      </c>
      <c r="N4" s="7">
        <v>0.96250000000000002</v>
      </c>
      <c r="O4" s="7">
        <v>0.96250000000000002</v>
      </c>
      <c r="P4" s="7">
        <v>0.96250000000000002</v>
      </c>
      <c r="Q4" s="7"/>
      <c r="R4" s="7"/>
      <c r="S4" s="53"/>
      <c r="T4" s="7"/>
      <c r="U4" s="7"/>
      <c r="V4" s="53"/>
    </row>
    <row r="5" spans="1:22" x14ac:dyDescent="0.2">
      <c r="A5" s="7" t="s">
        <v>138</v>
      </c>
      <c r="B5" s="7">
        <v>2.75</v>
      </c>
      <c r="C5" s="7">
        <v>3.3250000000000002</v>
      </c>
      <c r="D5" s="7">
        <v>4.2549999999999999</v>
      </c>
      <c r="E5" s="7">
        <v>4.1500000000000004</v>
      </c>
      <c r="F5" s="7">
        <v>4.5999999999999996</v>
      </c>
      <c r="G5" s="7">
        <v>4.6500000000000004</v>
      </c>
      <c r="H5" s="7">
        <v>4.3499999999999996</v>
      </c>
      <c r="I5" s="7">
        <v>4.3499999999999996</v>
      </c>
      <c r="J5" s="7">
        <v>4.3499999999999996</v>
      </c>
      <c r="K5" s="7">
        <v>5.0999999999999996</v>
      </c>
      <c r="L5" s="7">
        <v>5.0999999999999996</v>
      </c>
      <c r="M5" s="7">
        <v>5.0999999999999996</v>
      </c>
      <c r="N5" s="7">
        <v>4.8</v>
      </c>
      <c r="O5" s="7">
        <v>4.8</v>
      </c>
      <c r="P5" s="7">
        <v>4.8</v>
      </c>
      <c r="Q5" s="7"/>
      <c r="R5" s="7"/>
      <c r="S5" s="53"/>
      <c r="T5" s="7"/>
      <c r="U5" s="7"/>
      <c r="V5" s="53"/>
    </row>
    <row r="6" spans="1:22" x14ac:dyDescent="0.2">
      <c r="A6" s="7" t="s">
        <v>121</v>
      </c>
      <c r="B6" s="7">
        <v>6.2949999999999999</v>
      </c>
      <c r="C6" s="7">
        <v>5.2750000000000004</v>
      </c>
      <c r="D6" s="7">
        <v>5.4</v>
      </c>
      <c r="E6" s="7">
        <v>4.2862499999999999</v>
      </c>
      <c r="F6" s="7">
        <v>4.7612500000000004</v>
      </c>
      <c r="G6" s="7">
        <v>4.1612499999999999</v>
      </c>
      <c r="H6" s="7">
        <v>4.4112499999999999</v>
      </c>
      <c r="I6" s="7">
        <v>4.5112500000000004</v>
      </c>
      <c r="J6" s="7">
        <v>4.5112500000000004</v>
      </c>
      <c r="K6" s="7">
        <v>3.1112500000000001</v>
      </c>
      <c r="L6" s="7">
        <v>3.1112500000000001</v>
      </c>
      <c r="M6" s="7">
        <v>3.2112500000000002</v>
      </c>
      <c r="N6" s="7">
        <v>2.5362499999999999</v>
      </c>
      <c r="O6" s="7">
        <v>2.5362499999999999</v>
      </c>
      <c r="P6" s="7">
        <v>2.5362499999999999</v>
      </c>
      <c r="Q6" s="7"/>
      <c r="R6" s="7"/>
      <c r="S6" s="53"/>
      <c r="T6" s="7"/>
      <c r="U6" s="7"/>
      <c r="V6" s="53"/>
    </row>
    <row r="7" spans="1:22" x14ac:dyDescent="0.2">
      <c r="A7" s="7" t="s">
        <v>129</v>
      </c>
      <c r="B7" s="7">
        <v>7.7</v>
      </c>
      <c r="C7" s="7">
        <v>7.875</v>
      </c>
      <c r="D7" s="7">
        <v>7.875</v>
      </c>
      <c r="E7" s="7">
        <v>8.0574999999999992</v>
      </c>
      <c r="F7" s="7">
        <v>7.5575000000000001</v>
      </c>
      <c r="G7" s="7">
        <v>7.7374999999999998</v>
      </c>
      <c r="H7" s="7">
        <v>8.2750000000000004</v>
      </c>
      <c r="I7" s="7">
        <v>8.1374999999999993</v>
      </c>
      <c r="J7" s="7">
        <v>8.4375</v>
      </c>
      <c r="K7" s="7">
        <v>8.2750000000000004</v>
      </c>
      <c r="L7" s="7">
        <v>8.1374999999999993</v>
      </c>
      <c r="M7" s="7">
        <v>8.1374999999999993</v>
      </c>
      <c r="N7" s="7">
        <v>7.1749999999999998</v>
      </c>
      <c r="O7" s="7">
        <v>7.0374999999999996</v>
      </c>
      <c r="P7" s="7">
        <v>7.0374999999999996</v>
      </c>
      <c r="Q7" s="7"/>
      <c r="R7" s="7"/>
      <c r="S7" s="53"/>
      <c r="T7" s="7"/>
      <c r="U7" s="7"/>
      <c r="V7" s="53"/>
    </row>
    <row r="9" spans="1:22" x14ac:dyDescent="0.2">
      <c r="A9" s="54" t="s">
        <v>100</v>
      </c>
    </row>
    <row r="11" spans="1:22" x14ac:dyDescent="0.2">
      <c r="A11" s="83" t="s">
        <v>91</v>
      </c>
      <c r="B11" s="50" t="s">
        <v>102</v>
      </c>
      <c r="C11" s="50" t="s">
        <v>31</v>
      </c>
      <c r="D11" s="50" t="s">
        <v>103</v>
      </c>
      <c r="E11" s="50" t="s">
        <v>104</v>
      </c>
      <c r="F11" s="50" t="s">
        <v>105</v>
      </c>
      <c r="G11" s="50" t="s">
        <v>106</v>
      </c>
      <c r="H11" s="50" t="s">
        <v>107</v>
      </c>
      <c r="I11" s="50" t="s">
        <v>108</v>
      </c>
      <c r="J11" s="50" t="s">
        <v>109</v>
      </c>
      <c r="K11" s="50" t="s">
        <v>110</v>
      </c>
      <c r="L11" s="50" t="s">
        <v>111</v>
      </c>
      <c r="M11" s="50" t="s">
        <v>112</v>
      </c>
      <c r="N11" s="50" t="s">
        <v>113</v>
      </c>
      <c r="O11" s="50" t="s">
        <v>114</v>
      </c>
      <c r="P11" s="50" t="s">
        <v>115</v>
      </c>
      <c r="Q11" s="50" t="s">
        <v>116</v>
      </c>
      <c r="R11" s="50" t="s">
        <v>117</v>
      </c>
      <c r="S11" s="50" t="s">
        <v>118</v>
      </c>
      <c r="T11" s="50" t="s">
        <v>77</v>
      </c>
    </row>
    <row r="12" spans="1:22" x14ac:dyDescent="0.2">
      <c r="A12" s="7" t="s">
        <v>92</v>
      </c>
      <c r="B12" s="7">
        <v>216</v>
      </c>
      <c r="C12" s="7">
        <v>0</v>
      </c>
      <c r="D12" s="7">
        <v>0</v>
      </c>
      <c r="E12" s="7">
        <v>216</v>
      </c>
      <c r="F12" s="7">
        <v>0</v>
      </c>
      <c r="G12" s="7">
        <v>0</v>
      </c>
      <c r="H12" s="7">
        <v>0</v>
      </c>
      <c r="I12" s="7">
        <v>0</v>
      </c>
      <c r="J12" s="7">
        <v>0</v>
      </c>
      <c r="K12" s="7">
        <v>0</v>
      </c>
      <c r="L12" s="7">
        <v>0</v>
      </c>
      <c r="M12" s="7">
        <v>0</v>
      </c>
      <c r="N12" s="7">
        <v>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</row>
    <row r="13" spans="1:22" x14ac:dyDescent="0.2">
      <c r="A13" s="7" t="s">
        <v>93</v>
      </c>
      <c r="B13" s="7">
        <v>162.78</v>
      </c>
      <c r="C13" s="7">
        <v>3.6</v>
      </c>
      <c r="D13" s="7">
        <v>0</v>
      </c>
      <c r="E13" s="7">
        <v>46.3</v>
      </c>
      <c r="F13" s="7">
        <v>2.2999999999999998</v>
      </c>
      <c r="G13" s="7">
        <v>0</v>
      </c>
      <c r="H13" s="7">
        <v>1.05</v>
      </c>
      <c r="I13" s="7">
        <v>1.35</v>
      </c>
      <c r="J13" s="7">
        <v>0</v>
      </c>
      <c r="K13" s="7">
        <v>7.6</v>
      </c>
      <c r="L13" s="7">
        <v>12</v>
      </c>
      <c r="M13" s="7">
        <v>83.45</v>
      </c>
      <c r="N13" s="7">
        <v>5.13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</row>
    <row r="14" spans="1:22" x14ac:dyDescent="0.2">
      <c r="A14" s="7" t="s">
        <v>293</v>
      </c>
      <c r="B14" s="7">
        <v>63.6</v>
      </c>
      <c r="C14" s="7">
        <v>0</v>
      </c>
      <c r="D14" s="7">
        <v>61.8</v>
      </c>
      <c r="E14" s="7">
        <v>0</v>
      </c>
      <c r="F14" s="7">
        <v>0</v>
      </c>
      <c r="G14" s="7">
        <v>0.6</v>
      </c>
      <c r="H14" s="7">
        <v>0</v>
      </c>
      <c r="I14" s="7">
        <v>1.2</v>
      </c>
      <c r="J14" s="7">
        <v>0</v>
      </c>
      <c r="K14" s="7">
        <v>0</v>
      </c>
      <c r="L14" s="7">
        <v>0</v>
      </c>
      <c r="M14" s="7">
        <v>0</v>
      </c>
      <c r="N14" s="7">
        <v>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</row>
    <row r="15" spans="1:22" x14ac:dyDescent="0.2">
      <c r="A15" s="7" t="s">
        <v>94</v>
      </c>
      <c r="B15" s="7">
        <v>51.075000000000003</v>
      </c>
      <c r="C15" s="7">
        <v>0.9</v>
      </c>
      <c r="D15" s="7">
        <v>0</v>
      </c>
      <c r="E15" s="7">
        <v>22.8</v>
      </c>
      <c r="F15" s="7">
        <v>1.875</v>
      </c>
      <c r="G15" s="7">
        <v>0</v>
      </c>
      <c r="H15" s="7">
        <v>0</v>
      </c>
      <c r="I15" s="7">
        <v>0</v>
      </c>
      <c r="J15" s="7">
        <v>0</v>
      </c>
      <c r="K15" s="7">
        <v>1.8</v>
      </c>
      <c r="L15" s="7">
        <v>7.7</v>
      </c>
      <c r="M15" s="7">
        <v>16</v>
      </c>
      <c r="N15" s="7">
        <v>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</row>
    <row r="16" spans="1:22" x14ac:dyDescent="0.2">
      <c r="A16" s="7" t="s">
        <v>130</v>
      </c>
      <c r="B16" s="7">
        <v>35.454999999999998</v>
      </c>
      <c r="C16" s="7">
        <v>0</v>
      </c>
      <c r="D16" s="7">
        <v>0</v>
      </c>
      <c r="E16" s="7">
        <v>7.2</v>
      </c>
      <c r="F16" s="7">
        <v>0.375</v>
      </c>
      <c r="G16" s="7">
        <v>0</v>
      </c>
      <c r="H16" s="7">
        <v>1.8</v>
      </c>
      <c r="I16" s="7">
        <v>0.65</v>
      </c>
      <c r="J16" s="7">
        <v>0</v>
      </c>
      <c r="K16" s="7">
        <v>1.65</v>
      </c>
      <c r="L16" s="7">
        <v>7.2</v>
      </c>
      <c r="M16" s="7">
        <v>5.4</v>
      </c>
      <c r="N16" s="7">
        <v>0</v>
      </c>
      <c r="O16" s="7">
        <v>0</v>
      </c>
      <c r="P16" s="7">
        <v>0</v>
      </c>
      <c r="Q16" s="7">
        <v>0</v>
      </c>
      <c r="R16" s="7">
        <v>11.18</v>
      </c>
      <c r="S16" s="7">
        <v>0</v>
      </c>
      <c r="T16" s="7">
        <v>0</v>
      </c>
    </row>
    <row r="17" spans="1:17" x14ac:dyDescent="0.2">
      <c r="A17" s="7" t="s">
        <v>294</v>
      </c>
    </row>
    <row r="19" spans="1:17" x14ac:dyDescent="0.2">
      <c r="A19" s="82" t="s">
        <v>101</v>
      </c>
    </row>
    <row r="21" spans="1:17" x14ac:dyDescent="0.2">
      <c r="A21" s="50" t="s">
        <v>91</v>
      </c>
      <c r="B21" s="84" t="s">
        <v>95</v>
      </c>
      <c r="C21" s="84" t="s">
        <v>96</v>
      </c>
      <c r="D21" s="84" t="s">
        <v>97</v>
      </c>
      <c r="E21" s="84" t="s">
        <v>98</v>
      </c>
      <c r="F21" s="84" t="s">
        <v>99</v>
      </c>
      <c r="G21" s="51"/>
      <c r="H21" s="51"/>
      <c r="I21" s="51"/>
      <c r="K21" s="51"/>
      <c r="L21" s="51"/>
      <c r="M21" s="51"/>
      <c r="N21" s="51"/>
      <c r="Q21" s="51"/>
    </row>
    <row r="22" spans="1:17" x14ac:dyDescent="0.2">
      <c r="A22" s="7" t="s">
        <v>92</v>
      </c>
      <c r="B22" s="85"/>
      <c r="C22" s="85"/>
      <c r="D22" s="85"/>
      <c r="E22" s="85"/>
      <c r="F22" s="85">
        <v>198.06</v>
      </c>
      <c r="G22" s="7"/>
      <c r="H22" s="7"/>
      <c r="I22" s="7"/>
      <c r="K22" s="7"/>
      <c r="L22" s="7"/>
      <c r="M22" s="7"/>
      <c r="N22" s="7"/>
      <c r="Q22" s="7"/>
    </row>
    <row r="23" spans="1:17" x14ac:dyDescent="0.2">
      <c r="A23" s="7" t="s">
        <v>93</v>
      </c>
      <c r="B23" s="85">
        <v>1.65</v>
      </c>
      <c r="C23" s="85">
        <v>110.52500000000001</v>
      </c>
      <c r="D23" s="85">
        <v>5.04</v>
      </c>
      <c r="E23" s="85">
        <v>0.6</v>
      </c>
      <c r="F23" s="85"/>
      <c r="G23" s="7"/>
      <c r="H23" s="7"/>
      <c r="I23" s="7"/>
      <c r="K23" s="7"/>
      <c r="L23" s="7"/>
      <c r="M23" s="7"/>
      <c r="N23" s="7"/>
      <c r="Q23" s="7"/>
    </row>
    <row r="24" spans="1:17" x14ac:dyDescent="0.2">
      <c r="A24" s="7" t="s">
        <v>293</v>
      </c>
      <c r="B24" s="7">
        <v>0.3</v>
      </c>
      <c r="C24" s="7">
        <v>48.756250000000001</v>
      </c>
      <c r="D24" s="86">
        <v>3.4649999999999999</v>
      </c>
      <c r="E24" s="7">
        <v>1.25</v>
      </c>
      <c r="F24" s="7"/>
      <c r="G24" s="7"/>
      <c r="H24" s="7"/>
      <c r="I24" s="7"/>
      <c r="K24" s="7"/>
      <c r="L24" s="7"/>
      <c r="M24" s="7"/>
      <c r="N24" s="7"/>
      <c r="Q24" s="7"/>
    </row>
    <row r="25" spans="1:17" x14ac:dyDescent="0.2">
      <c r="A25" s="7" t="s">
        <v>94</v>
      </c>
      <c r="B25" s="7"/>
      <c r="C25" s="7">
        <v>30.484999999999999</v>
      </c>
      <c r="D25" s="7"/>
      <c r="E25" s="7"/>
      <c r="F25" s="7">
        <v>21.01</v>
      </c>
      <c r="G25" s="7"/>
      <c r="H25" s="7"/>
      <c r="I25" s="7"/>
      <c r="K25" s="7"/>
      <c r="L25" s="7"/>
      <c r="M25" s="7"/>
      <c r="N25" s="7"/>
      <c r="Q25" s="7"/>
    </row>
    <row r="26" spans="1:17" x14ac:dyDescent="0.2">
      <c r="A26" s="7" t="s">
        <v>130</v>
      </c>
      <c r="B26" s="7"/>
      <c r="C26" s="7"/>
      <c r="D26" s="7"/>
      <c r="E26" s="7"/>
      <c r="F26" s="7">
        <v>27.8</v>
      </c>
      <c r="G26" s="7"/>
      <c r="H26" s="7"/>
      <c r="I26" s="7"/>
      <c r="K26" s="7"/>
      <c r="L26" s="7"/>
      <c r="M26" s="7"/>
      <c r="N26" s="7"/>
      <c r="Q26" s="7"/>
    </row>
    <row r="27" spans="1:17" x14ac:dyDescent="0.2">
      <c r="A27" s="7" t="s">
        <v>295</v>
      </c>
      <c r="B27" s="7"/>
      <c r="C27" s="7">
        <v>23.375</v>
      </c>
      <c r="D27" s="7"/>
      <c r="E27" s="7">
        <v>0.21</v>
      </c>
      <c r="F27" s="7"/>
      <c r="H27" s="7"/>
    </row>
    <row r="30" spans="1:17" x14ac:dyDescent="0.2">
      <c r="B30" s="52" t="s">
        <v>1</v>
      </c>
      <c r="C30" s="52" t="s">
        <v>2</v>
      </c>
      <c r="D30" s="52" t="s">
        <v>3</v>
      </c>
      <c r="E30" s="52" t="s">
        <v>4</v>
      </c>
      <c r="F30" s="52" t="s">
        <v>5</v>
      </c>
      <c r="G30" s="52" t="s">
        <v>6</v>
      </c>
      <c r="H30" s="52" t="s">
        <v>7</v>
      </c>
      <c r="I30" s="52" t="s">
        <v>8</v>
      </c>
      <c r="J30" s="52" t="s">
        <v>9</v>
      </c>
      <c r="K30" s="52" t="s">
        <v>10</v>
      </c>
      <c r="L30" s="52" t="s">
        <v>11</v>
      </c>
      <c r="M30" s="52" t="s">
        <v>12</v>
      </c>
      <c r="N30" s="16"/>
      <c r="O30" s="16"/>
      <c r="P30" s="16"/>
    </row>
    <row r="31" spans="1:17" s="69" customFormat="1" ht="15" x14ac:dyDescent="0.2">
      <c r="A31" s="75" t="s">
        <v>18</v>
      </c>
      <c r="B31" s="70">
        <f t="shared" ref="B31:M31" si="0">SUM(B32,B33)</f>
        <v>2717433</v>
      </c>
      <c r="C31" s="70">
        <f t="shared" si="0"/>
        <v>6209433</v>
      </c>
      <c r="D31" s="70">
        <f t="shared" si="0"/>
        <v>13563433</v>
      </c>
      <c r="E31" s="70">
        <f t="shared" si="0"/>
        <v>7233433</v>
      </c>
      <c r="F31" s="70">
        <f t="shared" si="0"/>
        <v>7406433</v>
      </c>
      <c r="G31" s="70">
        <f t="shared" si="0"/>
        <v>19319433</v>
      </c>
      <c r="H31" s="70">
        <f t="shared" si="0"/>
        <v>13479433</v>
      </c>
      <c r="I31" s="70">
        <f t="shared" si="0"/>
        <v>10679433</v>
      </c>
      <c r="J31" s="70">
        <f t="shared" si="0"/>
        <v>18089433</v>
      </c>
      <c r="K31" s="70">
        <f t="shared" si="0"/>
        <v>16179433</v>
      </c>
      <c r="L31" s="70">
        <f t="shared" si="0"/>
        <v>14539433</v>
      </c>
      <c r="M31" s="70">
        <f t="shared" si="0"/>
        <v>19853233</v>
      </c>
    </row>
    <row r="32" spans="1:17" s="68" customFormat="1" ht="15" x14ac:dyDescent="0.2">
      <c r="A32" s="72" t="s">
        <v>125</v>
      </c>
      <c r="B32" s="71">
        <v>1787433</v>
      </c>
      <c r="C32" s="71">
        <v>4779433</v>
      </c>
      <c r="D32" s="71">
        <v>7833433</v>
      </c>
      <c r="E32" s="71">
        <v>5233433</v>
      </c>
      <c r="F32" s="71">
        <v>4206433</v>
      </c>
      <c r="G32" s="71">
        <v>14379433</v>
      </c>
      <c r="H32" s="71">
        <v>9279433</v>
      </c>
      <c r="I32" s="71">
        <v>6279433</v>
      </c>
      <c r="J32" s="71">
        <v>10379433</v>
      </c>
      <c r="K32" s="71">
        <v>11279433</v>
      </c>
      <c r="L32" s="71">
        <v>4379433</v>
      </c>
      <c r="M32" s="71">
        <v>10453233</v>
      </c>
    </row>
    <row r="33" spans="1:13" s="68" customFormat="1" ht="15" x14ac:dyDescent="0.2">
      <c r="A33" s="72" t="s">
        <v>126</v>
      </c>
      <c r="B33" s="71">
        <v>930000</v>
      </c>
      <c r="C33" s="71">
        <v>1430000</v>
      </c>
      <c r="D33" s="71">
        <v>5730000</v>
      </c>
      <c r="E33" s="71">
        <v>2000000</v>
      </c>
      <c r="F33" s="71">
        <v>3200000</v>
      </c>
      <c r="G33" s="71">
        <v>4940000</v>
      </c>
      <c r="H33" s="71">
        <v>4200000</v>
      </c>
      <c r="I33" s="71">
        <v>4400000</v>
      </c>
      <c r="J33" s="71">
        <v>7710000</v>
      </c>
      <c r="K33" s="71">
        <v>4900000</v>
      </c>
      <c r="L33" s="71">
        <v>10160000</v>
      </c>
      <c r="M33" s="71">
        <v>9400000</v>
      </c>
    </row>
    <row r="34" spans="1:13" s="69" customFormat="1" ht="15" x14ac:dyDescent="0.2">
      <c r="A34" s="74" t="s">
        <v>122</v>
      </c>
      <c r="B34" s="70">
        <f>SUM(B35,B36)</f>
        <v>1049908</v>
      </c>
      <c r="C34" s="70">
        <f t="shared" ref="C34:E34" si="1">SUM(C35,C36)</f>
        <v>6155989</v>
      </c>
      <c r="D34" s="70">
        <f t="shared" si="1"/>
        <v>9094371</v>
      </c>
      <c r="E34" s="70">
        <f t="shared" si="1"/>
        <v>6308025</v>
      </c>
    </row>
    <row r="35" spans="1:13" s="68" customFormat="1" ht="15" x14ac:dyDescent="0.2">
      <c r="A35" s="73" t="s">
        <v>127</v>
      </c>
      <c r="B35" s="71">
        <v>1002658</v>
      </c>
      <c r="C35" s="71">
        <v>5710093</v>
      </c>
      <c r="D35" s="71">
        <v>8544505</v>
      </c>
      <c r="E35" s="71">
        <v>4855248</v>
      </c>
    </row>
    <row r="36" spans="1:13" s="68" customFormat="1" ht="15" x14ac:dyDescent="0.2">
      <c r="A36" s="73" t="s">
        <v>128</v>
      </c>
      <c r="B36" s="71">
        <v>47250</v>
      </c>
      <c r="C36" s="71">
        <v>445896</v>
      </c>
      <c r="D36" s="71">
        <v>549866</v>
      </c>
      <c r="E36" s="71">
        <v>1452777</v>
      </c>
    </row>
    <row r="40" spans="1:13" s="76" customFormat="1" x14ac:dyDescent="0.2">
      <c r="B40" s="76" t="str">
        <f>B30</f>
        <v>JAN</v>
      </c>
      <c r="C40" s="76" t="str">
        <f t="shared" ref="C40:M40" si="2">C30</f>
        <v>FEB</v>
      </c>
      <c r="D40" s="76" t="str">
        <f t="shared" si="2"/>
        <v>MAR</v>
      </c>
      <c r="E40" s="76" t="str">
        <f t="shared" si="2"/>
        <v>APR</v>
      </c>
      <c r="F40" s="76" t="str">
        <f t="shared" si="2"/>
        <v>MAY</v>
      </c>
      <c r="G40" s="76" t="str">
        <f t="shared" si="2"/>
        <v>JUN</v>
      </c>
      <c r="H40" s="76" t="str">
        <f t="shared" si="2"/>
        <v>JUL</v>
      </c>
      <c r="I40" s="76" t="str">
        <f t="shared" si="2"/>
        <v>AUG</v>
      </c>
      <c r="J40" s="76" t="str">
        <f t="shared" si="2"/>
        <v>SEP</v>
      </c>
      <c r="K40" s="76" t="str">
        <f t="shared" si="2"/>
        <v>OCT</v>
      </c>
      <c r="L40" s="76" t="str">
        <f t="shared" si="2"/>
        <v>NOV</v>
      </c>
      <c r="M40" s="76" t="str">
        <f t="shared" si="2"/>
        <v>DEC</v>
      </c>
    </row>
    <row r="41" spans="1:13" s="76" customFormat="1" x14ac:dyDescent="0.2">
      <c r="A41" s="76" t="str">
        <f>A31</f>
        <v>Plan</v>
      </c>
      <c r="B41" s="77">
        <f>B31/1000000</f>
        <v>2.7174330000000002</v>
      </c>
      <c r="C41" s="77">
        <f t="shared" ref="C41:M41" si="3">C31/1000000</f>
        <v>6.2094329999999998</v>
      </c>
      <c r="D41" s="77">
        <f t="shared" si="3"/>
        <v>13.563433</v>
      </c>
      <c r="E41" s="77">
        <f t="shared" si="3"/>
        <v>7.2334329999999998</v>
      </c>
      <c r="F41" s="77">
        <f t="shared" si="3"/>
        <v>7.4064329999999998</v>
      </c>
      <c r="G41" s="77">
        <f t="shared" si="3"/>
        <v>19.319433</v>
      </c>
      <c r="H41" s="77">
        <f t="shared" si="3"/>
        <v>13.479433</v>
      </c>
      <c r="I41" s="77">
        <f t="shared" si="3"/>
        <v>10.679433</v>
      </c>
      <c r="J41" s="77">
        <f t="shared" si="3"/>
        <v>18.089433</v>
      </c>
      <c r="K41" s="77">
        <f t="shared" si="3"/>
        <v>16.179433</v>
      </c>
      <c r="L41" s="77">
        <f t="shared" si="3"/>
        <v>14.539433000000001</v>
      </c>
      <c r="M41" s="77">
        <f t="shared" si="3"/>
        <v>19.853232999999999</v>
      </c>
    </row>
    <row r="42" spans="1:13" s="76" customFormat="1" x14ac:dyDescent="0.2">
      <c r="A42" s="76" t="str">
        <f>A34</f>
        <v>Actual</v>
      </c>
      <c r="B42" s="77">
        <f>B34/1000000</f>
        <v>1.0499080000000001</v>
      </c>
      <c r="C42" s="77">
        <f t="shared" ref="C42:E42" si="4">C34/1000000</f>
        <v>6.1559889999999999</v>
      </c>
      <c r="D42" s="77">
        <f t="shared" si="4"/>
        <v>9.0943710000000006</v>
      </c>
      <c r="E42" s="77">
        <f t="shared" si="4"/>
        <v>6.3080249999999998</v>
      </c>
      <c r="F42" s="77"/>
      <c r="G42" s="77"/>
      <c r="H42" s="77"/>
      <c r="I42" s="77"/>
      <c r="J42" s="77"/>
      <c r="K42" s="77"/>
      <c r="L42" s="77"/>
      <c r="M42" s="77"/>
    </row>
    <row r="43" spans="1:13" s="76" customFormat="1" x14ac:dyDescent="0.2">
      <c r="A43" s="76" t="str">
        <f>A32</f>
        <v>Plan-PS</v>
      </c>
      <c r="B43" s="77">
        <f>B32/1000000</f>
        <v>1.787433</v>
      </c>
      <c r="C43" s="77">
        <f t="shared" ref="C43:M43" si="5">C32/1000000</f>
        <v>4.779433</v>
      </c>
      <c r="D43" s="77">
        <f t="shared" si="5"/>
        <v>7.8334330000000003</v>
      </c>
      <c r="E43" s="77">
        <f t="shared" si="5"/>
        <v>5.2334329999999998</v>
      </c>
      <c r="F43" s="77">
        <f t="shared" si="5"/>
        <v>4.2064329999999996</v>
      </c>
      <c r="G43" s="77">
        <f t="shared" si="5"/>
        <v>14.379433000000001</v>
      </c>
      <c r="H43" s="77">
        <f t="shared" si="5"/>
        <v>9.2794329999999992</v>
      </c>
      <c r="I43" s="77">
        <f t="shared" si="5"/>
        <v>6.279433</v>
      </c>
      <c r="J43" s="77">
        <f t="shared" si="5"/>
        <v>10.379433000000001</v>
      </c>
      <c r="K43" s="77">
        <f t="shared" si="5"/>
        <v>11.279432999999999</v>
      </c>
      <c r="L43" s="77">
        <f t="shared" si="5"/>
        <v>4.3794329999999997</v>
      </c>
      <c r="M43" s="77">
        <f t="shared" si="5"/>
        <v>10.453233000000001</v>
      </c>
    </row>
    <row r="44" spans="1:13" s="76" customFormat="1" x14ac:dyDescent="0.2">
      <c r="A44" s="76" t="str">
        <f>A35</f>
        <v>Actual-PS</v>
      </c>
      <c r="B44" s="77">
        <f>B35/1000000</f>
        <v>1.002658</v>
      </c>
      <c r="C44" s="77">
        <f t="shared" ref="C44:E44" si="6">C35/1000000</f>
        <v>5.7100929999999996</v>
      </c>
      <c r="D44" s="77">
        <f t="shared" si="6"/>
        <v>8.5445049999999991</v>
      </c>
      <c r="E44" s="77">
        <f t="shared" si="6"/>
        <v>4.8552479999999996</v>
      </c>
      <c r="F44" s="77"/>
      <c r="G44" s="77"/>
      <c r="H44" s="77"/>
      <c r="I44" s="77"/>
      <c r="J44" s="77"/>
      <c r="K44" s="77"/>
      <c r="L44" s="77"/>
      <c r="M44" s="77"/>
    </row>
    <row r="45" spans="1:13" s="76" customFormat="1" x14ac:dyDescent="0.2">
      <c r="A45" s="76" t="str">
        <f>A33</f>
        <v>Plan-PD</v>
      </c>
      <c r="B45" s="77">
        <f>B33/1000000</f>
        <v>0.93</v>
      </c>
      <c r="C45" s="77">
        <f t="shared" ref="C45:M45" si="7">C33/1000000</f>
        <v>1.43</v>
      </c>
      <c r="D45" s="77">
        <f t="shared" si="7"/>
        <v>5.73</v>
      </c>
      <c r="E45" s="77">
        <f t="shared" si="7"/>
        <v>2</v>
      </c>
      <c r="F45" s="77">
        <f t="shared" si="7"/>
        <v>3.2</v>
      </c>
      <c r="G45" s="77">
        <f t="shared" si="7"/>
        <v>4.9400000000000004</v>
      </c>
      <c r="H45" s="77">
        <f t="shared" si="7"/>
        <v>4.2</v>
      </c>
      <c r="I45" s="77">
        <f t="shared" si="7"/>
        <v>4.4000000000000004</v>
      </c>
      <c r="J45" s="77">
        <f t="shared" si="7"/>
        <v>7.71</v>
      </c>
      <c r="K45" s="77">
        <f t="shared" si="7"/>
        <v>4.9000000000000004</v>
      </c>
      <c r="L45" s="77">
        <f t="shared" si="7"/>
        <v>10.16</v>
      </c>
      <c r="M45" s="77">
        <f t="shared" si="7"/>
        <v>9.4</v>
      </c>
    </row>
    <row r="46" spans="1:13" s="76" customFormat="1" x14ac:dyDescent="0.2">
      <c r="A46" s="76" t="str">
        <f>A36</f>
        <v>Actual-PD</v>
      </c>
      <c r="B46" s="77">
        <f>B36/1000000</f>
        <v>4.725E-2</v>
      </c>
      <c r="C46" s="77">
        <f t="shared" ref="C46:E46" si="8">C36/1000000</f>
        <v>0.44589600000000001</v>
      </c>
      <c r="D46" s="77">
        <f t="shared" si="8"/>
        <v>0.54986599999999997</v>
      </c>
      <c r="E46" s="77">
        <f t="shared" si="8"/>
        <v>1.452777</v>
      </c>
      <c r="F46" s="77"/>
      <c r="G46" s="77"/>
      <c r="H46" s="77"/>
      <c r="I46" s="77"/>
      <c r="J46" s="77"/>
      <c r="K46" s="77"/>
      <c r="L46" s="77"/>
      <c r="M46" s="77"/>
    </row>
    <row r="47" spans="1:13" s="76" customFormat="1" x14ac:dyDescent="0.2"/>
    <row r="48" spans="1:13" s="76" customFormat="1" x14ac:dyDescent="0.2"/>
    <row r="49" spans="1:16" s="76" customFormat="1" x14ac:dyDescent="0.2"/>
    <row r="50" spans="1:16" s="76" customFormat="1" x14ac:dyDescent="0.2"/>
    <row r="51" spans="1:16" s="76" customFormat="1" x14ac:dyDescent="0.2">
      <c r="B51" s="76" t="str">
        <f t="shared" ref="B51:M51" si="9">B40</f>
        <v>JAN</v>
      </c>
      <c r="C51" s="76" t="str">
        <f t="shared" si="9"/>
        <v>FEB</v>
      </c>
      <c r="D51" s="76" t="str">
        <f t="shared" si="9"/>
        <v>MAR</v>
      </c>
      <c r="E51" s="76" t="str">
        <f t="shared" si="9"/>
        <v>APR</v>
      </c>
      <c r="F51" s="76" t="str">
        <f t="shared" si="9"/>
        <v>MAY</v>
      </c>
      <c r="G51" s="76" t="str">
        <f t="shared" si="9"/>
        <v>JUN</v>
      </c>
      <c r="H51" s="76" t="str">
        <f t="shared" si="9"/>
        <v>JUL</v>
      </c>
      <c r="I51" s="76" t="str">
        <f t="shared" si="9"/>
        <v>AUG</v>
      </c>
      <c r="J51" s="76" t="str">
        <f t="shared" si="9"/>
        <v>SEP</v>
      </c>
      <c r="K51" s="76" t="str">
        <f t="shared" si="9"/>
        <v>OCT</v>
      </c>
      <c r="L51" s="76" t="str">
        <f t="shared" si="9"/>
        <v>NOV</v>
      </c>
      <c r="M51" s="76" t="str">
        <f t="shared" si="9"/>
        <v>DEC</v>
      </c>
    </row>
    <row r="52" spans="1:16" s="76" customFormat="1" x14ac:dyDescent="0.2">
      <c r="A52" s="76" t="str">
        <f>A41</f>
        <v>Plan</v>
      </c>
      <c r="B52" s="76">
        <v>2.72</v>
      </c>
      <c r="C52" s="76">
        <v>6.21</v>
      </c>
      <c r="D52" s="76">
        <v>13.56</v>
      </c>
      <c r="E52" s="76">
        <v>7.23</v>
      </c>
      <c r="F52" s="76">
        <v>7.41</v>
      </c>
      <c r="G52" s="76">
        <v>19.32</v>
      </c>
      <c r="H52" s="76">
        <v>13.48</v>
      </c>
      <c r="I52" s="76">
        <v>10.68</v>
      </c>
      <c r="J52" s="76">
        <v>18.09</v>
      </c>
      <c r="K52" s="76">
        <v>16.18</v>
      </c>
      <c r="L52" s="76">
        <v>14.54</v>
      </c>
      <c r="M52" s="76">
        <v>19.850000000000001</v>
      </c>
    </row>
    <row r="53" spans="1:16" s="76" customFormat="1" x14ac:dyDescent="0.2">
      <c r="A53" s="76" t="str">
        <f t="shared" ref="A53:A57" si="10">A42</f>
        <v>Actual</v>
      </c>
      <c r="B53" s="76">
        <v>1.05</v>
      </c>
      <c r="C53" s="76">
        <v>6.16</v>
      </c>
      <c r="D53" s="76">
        <v>9.09</v>
      </c>
      <c r="E53" s="76">
        <v>6.31</v>
      </c>
    </row>
    <row r="54" spans="1:16" s="76" customFormat="1" x14ac:dyDescent="0.2">
      <c r="A54" s="76" t="str">
        <f t="shared" si="10"/>
        <v>Plan-PS</v>
      </c>
      <c r="B54" s="76">
        <v>1.79</v>
      </c>
      <c r="C54" s="76">
        <v>4.78</v>
      </c>
      <c r="D54" s="76">
        <v>7.83</v>
      </c>
      <c r="E54" s="76">
        <v>5.23</v>
      </c>
      <c r="F54" s="76">
        <v>4.21</v>
      </c>
      <c r="G54" s="76">
        <v>14.38</v>
      </c>
      <c r="H54" s="76">
        <v>9.2799999999999994</v>
      </c>
      <c r="I54" s="76">
        <v>6.28</v>
      </c>
      <c r="J54" s="76">
        <v>10.38</v>
      </c>
      <c r="K54" s="76">
        <v>11.28</v>
      </c>
      <c r="L54" s="76">
        <v>4.38</v>
      </c>
      <c r="M54" s="76">
        <v>10.45</v>
      </c>
    </row>
    <row r="55" spans="1:16" s="76" customFormat="1" x14ac:dyDescent="0.2">
      <c r="A55" s="76" t="str">
        <f t="shared" si="10"/>
        <v>Actual-PS</v>
      </c>
      <c r="B55" s="76">
        <v>1</v>
      </c>
      <c r="C55" s="76">
        <v>5.71</v>
      </c>
      <c r="D55" s="76">
        <v>8.5399999999999991</v>
      </c>
      <c r="E55" s="76">
        <v>4.8600000000000003</v>
      </c>
    </row>
    <row r="56" spans="1:16" s="76" customFormat="1" x14ac:dyDescent="0.2">
      <c r="A56" s="76" t="str">
        <f t="shared" si="10"/>
        <v>Plan-PD</v>
      </c>
      <c r="B56" s="76">
        <v>0.93</v>
      </c>
      <c r="C56" s="76">
        <v>1.43</v>
      </c>
      <c r="D56" s="76">
        <v>5.73</v>
      </c>
      <c r="E56" s="76">
        <v>2</v>
      </c>
      <c r="F56" s="76">
        <v>3.2</v>
      </c>
      <c r="G56" s="76">
        <v>4.9400000000000004</v>
      </c>
      <c r="H56" s="76">
        <v>4.2</v>
      </c>
      <c r="I56" s="76">
        <v>4.4000000000000004</v>
      </c>
      <c r="J56" s="76">
        <v>7.71</v>
      </c>
      <c r="K56" s="76">
        <v>4.9000000000000004</v>
      </c>
      <c r="L56" s="76">
        <v>10.16</v>
      </c>
      <c r="M56" s="76">
        <v>9.4</v>
      </c>
    </row>
    <row r="57" spans="1:16" s="76" customFormat="1" x14ac:dyDescent="0.2">
      <c r="A57" s="76" t="str">
        <f t="shared" si="10"/>
        <v>Actual-PD</v>
      </c>
      <c r="B57" s="76">
        <v>0.05</v>
      </c>
      <c r="C57" s="76">
        <v>0.45</v>
      </c>
      <c r="D57" s="76">
        <v>0.55000000000000004</v>
      </c>
      <c r="E57" s="76">
        <v>1.45</v>
      </c>
      <c r="F57" s="77"/>
      <c r="L57" s="77"/>
    </row>
    <row r="61" spans="1:16" x14ac:dyDescent="0.2">
      <c r="A61" s="50" t="s">
        <v>119</v>
      </c>
      <c r="B61" s="80" t="s">
        <v>4</v>
      </c>
      <c r="C61" s="80" t="s">
        <v>5</v>
      </c>
      <c r="D61" s="80" t="s">
        <v>6</v>
      </c>
      <c r="E61" s="3" t="s">
        <v>7</v>
      </c>
      <c r="F61" s="3" t="s">
        <v>8</v>
      </c>
      <c r="G61" s="3" t="s">
        <v>9</v>
      </c>
      <c r="H61" s="4" t="s">
        <v>10</v>
      </c>
      <c r="I61" s="4" t="s">
        <v>11</v>
      </c>
      <c r="J61" s="4" t="s">
        <v>12</v>
      </c>
      <c r="K61" s="5" t="s">
        <v>13</v>
      </c>
      <c r="L61" s="5" t="s">
        <v>14</v>
      </c>
      <c r="M61" s="5" t="s">
        <v>15</v>
      </c>
      <c r="N61" s="81" t="s">
        <v>180</v>
      </c>
      <c r="O61" s="81" t="s">
        <v>181</v>
      </c>
      <c r="P61" s="81" t="s">
        <v>182</v>
      </c>
    </row>
    <row r="62" spans="1:16" x14ac:dyDescent="0.2">
      <c r="A62" s="7" t="s">
        <v>131</v>
      </c>
      <c r="B62" s="7">
        <v>72.98</v>
      </c>
      <c r="C62" s="7">
        <v>78.489999999999995</v>
      </c>
      <c r="D62" s="7">
        <v>73.37</v>
      </c>
      <c r="E62" s="7">
        <v>75.7</v>
      </c>
      <c r="F62" s="7">
        <v>84.62</v>
      </c>
      <c r="G62" s="7">
        <v>80.34</v>
      </c>
      <c r="H62" s="7">
        <v>76.22</v>
      </c>
      <c r="I62" s="7">
        <v>72.7</v>
      </c>
      <c r="J62" s="7">
        <v>71</v>
      </c>
      <c r="K62" s="7">
        <v>58.02</v>
      </c>
      <c r="L62" s="7">
        <v>56.99</v>
      </c>
      <c r="M62" s="7">
        <v>56.99</v>
      </c>
      <c r="N62" s="7">
        <v>41.74</v>
      </c>
      <c r="O62" s="7">
        <v>39.08</v>
      </c>
      <c r="P62" s="7">
        <v>38.4</v>
      </c>
    </row>
    <row r="63" spans="1:16" x14ac:dyDescent="0.2">
      <c r="A63" s="7" t="s">
        <v>132</v>
      </c>
      <c r="B63" s="7">
        <v>23.63</v>
      </c>
      <c r="C63" s="7">
        <v>22.68</v>
      </c>
      <c r="D63" s="7">
        <v>24.44</v>
      </c>
      <c r="E63" s="7">
        <v>21.08</v>
      </c>
      <c r="F63" s="7">
        <v>21.48</v>
      </c>
      <c r="G63" s="7">
        <v>21.11</v>
      </c>
      <c r="H63" s="7">
        <v>21.95</v>
      </c>
      <c r="I63" s="7">
        <v>21.76</v>
      </c>
      <c r="J63" s="7">
        <v>21.96</v>
      </c>
      <c r="K63" s="7">
        <v>21.06</v>
      </c>
      <c r="L63" s="7">
        <v>20.97</v>
      </c>
      <c r="M63" s="7">
        <v>20.62</v>
      </c>
      <c r="N63" s="7">
        <v>18.23</v>
      </c>
      <c r="O63" s="7">
        <v>18.100000000000001</v>
      </c>
      <c r="P63" s="7">
        <v>18.100000000000001</v>
      </c>
    </row>
    <row r="64" spans="1:16" x14ac:dyDescent="0.2">
      <c r="A64" s="7" t="s">
        <v>133</v>
      </c>
      <c r="B64" s="7">
        <v>10.8</v>
      </c>
      <c r="C64" s="7">
        <v>10.3</v>
      </c>
      <c r="D64" s="7">
        <v>10.25</v>
      </c>
      <c r="E64" s="7">
        <v>6.93</v>
      </c>
      <c r="F64" s="7">
        <v>6.93</v>
      </c>
      <c r="G64" s="7">
        <v>6.98</v>
      </c>
      <c r="H64" s="7">
        <v>7.56</v>
      </c>
      <c r="I64" s="7">
        <v>7.41</v>
      </c>
      <c r="J64" s="7">
        <v>7.31</v>
      </c>
      <c r="K64" s="7">
        <v>6.86</v>
      </c>
      <c r="L64" s="7">
        <v>6.86</v>
      </c>
      <c r="M64" s="7">
        <v>6.86</v>
      </c>
      <c r="N64" s="7">
        <v>6.61</v>
      </c>
      <c r="O64" s="7">
        <v>6.61</v>
      </c>
      <c r="P64" s="7">
        <v>6.61</v>
      </c>
    </row>
    <row r="65" spans="1:16" x14ac:dyDescent="0.2">
      <c r="A65" s="7" t="s">
        <v>134</v>
      </c>
      <c r="B65" s="7">
        <v>0.26</v>
      </c>
      <c r="C65" s="7">
        <v>0.21</v>
      </c>
      <c r="D65" s="7">
        <v>0.13</v>
      </c>
      <c r="E65" s="7">
        <v>0.21</v>
      </c>
      <c r="F65" s="7">
        <v>0.22</v>
      </c>
      <c r="G65" s="7">
        <v>0.22</v>
      </c>
      <c r="H65" s="7">
        <v>0.41</v>
      </c>
      <c r="I65" s="7">
        <v>0.41</v>
      </c>
      <c r="J65" s="7">
        <v>0.22</v>
      </c>
      <c r="K65" s="7">
        <v>0.22</v>
      </c>
      <c r="L65" s="7">
        <v>0.22</v>
      </c>
      <c r="M65" s="7">
        <v>0.22</v>
      </c>
      <c r="N65" s="7">
        <v>0.21</v>
      </c>
      <c r="O65" s="7">
        <v>0.21</v>
      </c>
      <c r="P65" s="7">
        <v>0.21</v>
      </c>
    </row>
    <row r="66" spans="1:16" x14ac:dyDescent="0.2">
      <c r="A66" s="7" t="s">
        <v>135</v>
      </c>
      <c r="B66" s="7">
        <v>0.38</v>
      </c>
      <c r="C66" s="7">
        <v>0.75</v>
      </c>
      <c r="D66" s="7">
        <v>0.6</v>
      </c>
      <c r="E66" s="7">
        <v>1.28</v>
      </c>
      <c r="F66" s="7">
        <v>1.1499999999999999</v>
      </c>
      <c r="G66" s="7">
        <v>1.1499999999999999</v>
      </c>
      <c r="H66" s="7">
        <v>1.18</v>
      </c>
      <c r="I66" s="7">
        <v>1.05</v>
      </c>
      <c r="J66" s="7">
        <v>1.18</v>
      </c>
      <c r="K66" s="7">
        <v>0.7</v>
      </c>
      <c r="L66" s="7">
        <v>0.7</v>
      </c>
      <c r="M66" s="7">
        <v>0.7</v>
      </c>
      <c r="N66" s="7">
        <v>0.2</v>
      </c>
      <c r="O66" s="7">
        <v>0.2</v>
      </c>
      <c r="P66" s="7">
        <v>0.2</v>
      </c>
    </row>
    <row r="67" spans="1:16" x14ac:dyDescent="0.2">
      <c r="A67" s="7"/>
      <c r="B67" s="7"/>
      <c r="C67" s="7"/>
      <c r="D67" s="7"/>
      <c r="E67" s="78"/>
      <c r="F67" s="78"/>
      <c r="G67" s="78"/>
      <c r="H67" s="78"/>
      <c r="I67" s="78"/>
      <c r="J67" s="78"/>
      <c r="K67" s="78"/>
      <c r="L67" s="78"/>
      <c r="M67" s="78"/>
      <c r="N67" s="78"/>
      <c r="O67" s="78"/>
      <c r="P67" s="7"/>
    </row>
    <row r="68" spans="1:16" x14ac:dyDescent="0.2">
      <c r="A68" s="7"/>
      <c r="B68" s="7"/>
      <c r="C68" s="7"/>
      <c r="D68" s="78"/>
      <c r="E68" s="78"/>
      <c r="F68" s="78"/>
      <c r="G68" s="78"/>
      <c r="H68" s="78"/>
      <c r="I68" s="78"/>
      <c r="J68" s="78"/>
      <c r="K68" s="78"/>
      <c r="L68" s="78"/>
      <c r="M68" s="78"/>
      <c r="N68" s="78"/>
      <c r="O68" s="78"/>
      <c r="P68" s="7"/>
    </row>
    <row r="69" spans="1:16" x14ac:dyDescent="0.2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</row>
    <row r="70" spans="1:16" x14ac:dyDescent="0.2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</row>
    <row r="71" spans="1:16" x14ac:dyDescent="0.2">
      <c r="A71" s="7"/>
      <c r="B71" s="7"/>
      <c r="C71" s="7"/>
      <c r="D71" s="78"/>
      <c r="E71" s="78"/>
      <c r="F71" s="78"/>
      <c r="G71" s="78"/>
      <c r="H71" s="78"/>
      <c r="I71" s="78"/>
      <c r="J71" s="78"/>
      <c r="K71" s="78"/>
      <c r="L71" s="78"/>
      <c r="M71" s="78"/>
      <c r="N71" s="78"/>
      <c r="O71" s="78"/>
      <c r="P71" s="7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9C834-427B-BA49-B845-305D612514AF}">
  <sheetPr>
    <tabColor rgb="FF0070C0"/>
  </sheetPr>
  <dimension ref="A1:T46"/>
  <sheetViews>
    <sheetView topLeftCell="A16" workbookViewId="0">
      <selection activeCell="H31" sqref="H31"/>
    </sheetView>
  </sheetViews>
  <sheetFormatPr baseColWidth="10" defaultRowHeight="16" x14ac:dyDescent="0.2"/>
  <cols>
    <col min="1" max="1" width="27.1640625" bestFit="1" customWidth="1"/>
  </cols>
  <sheetData>
    <row r="1" spans="1:20" s="55" customFormat="1" x14ac:dyDescent="0.2">
      <c r="A1" s="55" t="str">
        <f>IF(Project!A1&gt;0,Project!A1,"")</f>
        <v>Group</v>
      </c>
      <c r="B1" s="55" t="str">
        <f>IF(Project!B1&gt;0,Project!B1,"")</f>
        <v>APR</v>
      </c>
      <c r="C1" s="55" t="str">
        <f>IF(Project!C1&gt;0,Project!C1,"")</f>
        <v>MAY</v>
      </c>
      <c r="D1" s="55" t="str">
        <f>IF(Project!D1&gt;0,Project!D1,"")</f>
        <v>JUN</v>
      </c>
      <c r="E1" s="55" t="str">
        <f>IF(Project!E1&gt;0,Project!E1,"")</f>
        <v>JUL</v>
      </c>
      <c r="F1" s="55" t="str">
        <f>IF(Project!F1&gt;0,Project!F1,"")</f>
        <v>AUG</v>
      </c>
      <c r="G1" s="55" t="str">
        <f>IF(Project!G1&gt;0,Project!G1,"")</f>
        <v>SEP</v>
      </c>
      <c r="H1" s="55" t="str">
        <f>IF(Project!H1&gt;0,Project!H1,"")</f>
        <v>OCT</v>
      </c>
      <c r="I1" s="55" t="str">
        <f>IF(Project!I1&gt;0,Project!I1,"")</f>
        <v>NOV</v>
      </c>
      <c r="J1" s="55" t="str">
        <f>IF(Project!J1&gt;0,Project!J1,"")</f>
        <v>DEC</v>
      </c>
      <c r="K1" s="55" t="str">
        <f>IF(Project!K1&gt;0,Project!K1,"")</f>
        <v>JAN'27</v>
      </c>
      <c r="L1" s="55" t="str">
        <f>IF(Project!L1&gt;0,Project!L1,"")</f>
        <v>FEB'27</v>
      </c>
      <c r="M1" s="55" t="str">
        <f>IF(Project!M1&gt;0,Project!M1,"")</f>
        <v>MAR'27</v>
      </c>
      <c r="N1" s="55" t="str">
        <f>IF(Project!N1&gt;0,Project!N1,"")</f>
        <v>APR'27</v>
      </c>
      <c r="O1" s="55" t="str">
        <f>IF(Project!O1&gt;0,Project!O1,"")</f>
        <v>MAY'27</v>
      </c>
      <c r="P1" s="55" t="str">
        <f>IF(Project!P1&gt;0,Project!P1,"")</f>
        <v>JUN'27</v>
      </c>
      <c r="Q1" s="55" t="str">
        <f>IF(Project!Q1&gt;0,Project!Q1,"")</f>
        <v/>
      </c>
      <c r="R1" s="55" t="str">
        <f>IF(Project!R1&gt;0,Project!R1,"")</f>
        <v/>
      </c>
      <c r="S1" s="55" t="str">
        <f>IF(Project!S1&gt;0,Project!S1,"")</f>
        <v/>
      </c>
      <c r="T1" s="55" t="str">
        <f>IF(Project!T1&gt;0,Project!T1,"")</f>
        <v/>
      </c>
    </row>
    <row r="2" spans="1:20" x14ac:dyDescent="0.2">
      <c r="A2" t="str">
        <f>IF(Project!A2&gt;0,Project!A2,"")</f>
        <v>KM</v>
      </c>
      <c r="B2">
        <f>IF(Project!B2&gt;0,Project!B2,"")</f>
        <v>0.61250000000000004</v>
      </c>
      <c r="C2">
        <f>IF(Project!C2&gt;0,Project!C2,"")</f>
        <v>0.86250000000000004</v>
      </c>
      <c r="D2">
        <f>IF(Project!D2&gt;0,Project!D2,"")</f>
        <v>0.66249999999999998</v>
      </c>
      <c r="E2">
        <f>IF(Project!E2&gt;0,Project!E2,"")</f>
        <v>0.625</v>
      </c>
      <c r="F2">
        <f>IF(Project!F2&gt;0,Project!F2,"")</f>
        <v>0.55000000000000004</v>
      </c>
      <c r="G2">
        <f>IF(Project!G2&gt;0,Project!G2,"")</f>
        <v>0.55000000000000004</v>
      </c>
      <c r="H2">
        <f>IF(Project!H2&gt;0,Project!H2,"")</f>
        <v>0.85</v>
      </c>
      <c r="I2">
        <f>IF(Project!I2&gt;0,Project!I2,"")</f>
        <v>0.85</v>
      </c>
      <c r="J2">
        <f>IF(Project!J2&gt;0,Project!J2,"")</f>
        <v>0.85</v>
      </c>
      <c r="K2">
        <f>IF(Project!K2&gt;0,Project!K2,"")</f>
        <v>0.35</v>
      </c>
      <c r="L2">
        <f>IF(Project!L2&gt;0,Project!L2,"")</f>
        <v>0.35</v>
      </c>
      <c r="M2">
        <f>IF(Project!M2&gt;0,Project!M2,"")</f>
        <v>0.35</v>
      </c>
      <c r="N2">
        <f>IF(Project!N2&gt;0,Project!N2,"")</f>
        <v>0.25</v>
      </c>
      <c r="O2">
        <f>IF(Project!O2&gt;0,Project!O2,"")</f>
        <v>0.25</v>
      </c>
      <c r="P2">
        <f>IF(Project!P2&gt;0,Project!P2,"")</f>
        <v>0.25</v>
      </c>
      <c r="Q2" t="str">
        <f>IF(Project!Q2&gt;0,Project!Q2,"")</f>
        <v/>
      </c>
      <c r="R2" t="str">
        <f>IF(Project!R2&gt;0,Project!R2,"")</f>
        <v/>
      </c>
      <c r="S2" t="str">
        <f>IF(Project!S2&gt;0,Project!S2,"")</f>
        <v/>
      </c>
      <c r="T2" t="str">
        <f>IF(Project!T2&gt;0,Project!T2,"")</f>
        <v/>
      </c>
    </row>
    <row r="3" spans="1:20" x14ac:dyDescent="0.2">
      <c r="A3" t="str">
        <f>IF(Project!A3&gt;0,Project!A3,"")</f>
        <v>Industrial Solutions</v>
      </c>
      <c r="B3">
        <f>IF(Project!B3&gt;0,Project!B3,"")</f>
        <v>1.83</v>
      </c>
      <c r="C3">
        <f>IF(Project!C3&gt;0,Project!C3,"")</f>
        <v>1.88</v>
      </c>
      <c r="D3">
        <f>IF(Project!D3&gt;0,Project!D3,"")</f>
        <v>1.5</v>
      </c>
      <c r="E3">
        <f>IF(Project!E3&gt;0,Project!E3,"")</f>
        <v>1.35</v>
      </c>
      <c r="F3">
        <f>IF(Project!F3&gt;0,Project!F3,"")</f>
        <v>1.35</v>
      </c>
      <c r="G3">
        <f>IF(Project!G3&gt;0,Project!G3,"")</f>
        <v>1.35</v>
      </c>
      <c r="H3">
        <f>IF(Project!H3&gt;0,Project!H3,"")</f>
        <v>1.4</v>
      </c>
      <c r="I3">
        <f>IF(Project!I3&gt;0,Project!I3,"")</f>
        <v>1.2</v>
      </c>
      <c r="J3">
        <f>IF(Project!J3&gt;0,Project!J3,"")</f>
        <v>1.2</v>
      </c>
      <c r="K3">
        <f>IF(Project!K3&gt;0,Project!K3,"")</f>
        <v>1.2</v>
      </c>
      <c r="L3">
        <f>IF(Project!L3&gt;0,Project!L3,"")</f>
        <v>1.25</v>
      </c>
      <c r="M3">
        <f>IF(Project!M3&gt;0,Project!M3,"")</f>
        <v>0.8</v>
      </c>
      <c r="N3">
        <f>IF(Project!N3&gt;0,Project!N3,"")</f>
        <v>0.75</v>
      </c>
      <c r="O3">
        <f>IF(Project!O3&gt;0,Project!O3,"")</f>
        <v>0.75</v>
      </c>
      <c r="P3">
        <f>IF(Project!P3&gt;0,Project!P3,"")</f>
        <v>0.75</v>
      </c>
      <c r="Q3" t="str">
        <f>IF(Project!Q3&gt;0,Project!Q3,"")</f>
        <v/>
      </c>
      <c r="R3" t="str">
        <f>IF(Project!R3&gt;0,Project!R3,"")</f>
        <v/>
      </c>
      <c r="S3" t="str">
        <f>IF(Project!S3&gt;0,Project!S3,"")</f>
        <v/>
      </c>
      <c r="T3" t="str">
        <f>IF(Project!T3&gt;0,Project!T3,"")</f>
        <v/>
      </c>
    </row>
    <row r="4" spans="1:20" x14ac:dyDescent="0.2">
      <c r="A4" t="str">
        <f>IF(Project!A4&gt;0,Project!A4,"")</f>
        <v>R-Guard</v>
      </c>
      <c r="B4">
        <f>IF(Project!B4&gt;0,Project!B4,"")</f>
        <v>1.4375</v>
      </c>
      <c r="C4">
        <f>IF(Project!C4&gt;0,Project!C4,"")</f>
        <v>1.4125000000000001</v>
      </c>
      <c r="D4">
        <f>IF(Project!D4&gt;0,Project!D4,"")</f>
        <v>1.8625</v>
      </c>
      <c r="E4">
        <f>IF(Project!E4&gt;0,Project!E4,"")</f>
        <v>1.1000000000000001</v>
      </c>
      <c r="F4">
        <f>IF(Project!F4&gt;0,Project!F4,"")</f>
        <v>0.95</v>
      </c>
      <c r="G4">
        <f>IF(Project!G4&gt;0,Project!G4,"")</f>
        <v>0.95</v>
      </c>
      <c r="H4">
        <f>IF(Project!H4&gt;0,Project!H4,"")</f>
        <v>0.95</v>
      </c>
      <c r="I4">
        <f>IF(Project!I4&gt;0,Project!I4,"")</f>
        <v>0.95</v>
      </c>
      <c r="J4">
        <f>IF(Project!J4&gt;0,Project!J4,"")</f>
        <v>0.95</v>
      </c>
      <c r="K4">
        <f>IF(Project!K4&gt;0,Project!K4,"")</f>
        <v>1.2625</v>
      </c>
      <c r="L4">
        <f>IF(Project!L4&gt;0,Project!L4,"")</f>
        <v>1.2625</v>
      </c>
      <c r="M4">
        <f>IF(Project!M4&gt;0,Project!M4,"")</f>
        <v>1.2625</v>
      </c>
      <c r="N4">
        <f>IF(Project!N4&gt;0,Project!N4,"")</f>
        <v>0.96250000000000002</v>
      </c>
      <c r="O4">
        <f>IF(Project!O4&gt;0,Project!O4,"")</f>
        <v>0.96250000000000002</v>
      </c>
      <c r="P4">
        <f>IF(Project!P4&gt;0,Project!P4,"")</f>
        <v>0.96250000000000002</v>
      </c>
      <c r="Q4" t="str">
        <f>IF(Project!Q4&gt;0,Project!Q4,"")</f>
        <v/>
      </c>
      <c r="R4" t="str">
        <f>IF(Project!R4&gt;0,Project!R4,"")</f>
        <v/>
      </c>
      <c r="S4" t="str">
        <f>IF(Project!S4&gt;0,Project!S4,"")</f>
        <v/>
      </c>
      <c r="T4" t="str">
        <f>IF(Project!T4&gt;0,Project!T4,"")</f>
        <v/>
      </c>
    </row>
    <row r="5" spans="1:20" x14ac:dyDescent="0.2">
      <c r="A5" t="str">
        <f>IF(Project!A5&gt;0,Project!A5,"")</f>
        <v>SA-RA</v>
      </c>
      <c r="B5">
        <f>IF(Project!B5&gt;0,Project!B5,"")</f>
        <v>2.75</v>
      </c>
      <c r="C5">
        <f>IF(Project!C5&gt;0,Project!C5,"")</f>
        <v>3.3250000000000002</v>
      </c>
      <c r="D5">
        <f>IF(Project!D5&gt;0,Project!D5,"")</f>
        <v>4.2549999999999999</v>
      </c>
      <c r="E5">
        <f>IF(Project!E5&gt;0,Project!E5,"")</f>
        <v>4.1500000000000004</v>
      </c>
      <c r="F5">
        <f>IF(Project!F5&gt;0,Project!F5,"")</f>
        <v>4.5999999999999996</v>
      </c>
      <c r="G5">
        <f>IF(Project!G5&gt;0,Project!G5,"")</f>
        <v>4.6500000000000004</v>
      </c>
      <c r="H5">
        <f>IF(Project!H5&gt;0,Project!H5,"")</f>
        <v>4.3499999999999996</v>
      </c>
      <c r="I5">
        <f>IF(Project!I5&gt;0,Project!I5,"")</f>
        <v>4.3499999999999996</v>
      </c>
      <c r="J5">
        <f>IF(Project!J5&gt;0,Project!J5,"")</f>
        <v>4.3499999999999996</v>
      </c>
      <c r="K5">
        <f>IF(Project!K5&gt;0,Project!K5,"")</f>
        <v>5.0999999999999996</v>
      </c>
      <c r="L5">
        <f>IF(Project!L5&gt;0,Project!L5,"")</f>
        <v>5.0999999999999996</v>
      </c>
      <c r="M5">
        <f>IF(Project!M5&gt;0,Project!M5,"")</f>
        <v>5.0999999999999996</v>
      </c>
      <c r="N5">
        <f>IF(Project!N5&gt;0,Project!N5,"")</f>
        <v>4.8</v>
      </c>
      <c r="O5">
        <f>IF(Project!O5&gt;0,Project!O5,"")</f>
        <v>4.8</v>
      </c>
      <c r="P5">
        <f>IF(Project!P5&gt;0,Project!P5,"")</f>
        <v>4.8</v>
      </c>
      <c r="Q5" t="str">
        <f>IF(Project!Q5&gt;0,Project!Q5,"")</f>
        <v/>
      </c>
      <c r="R5" t="str">
        <f>IF(Project!R5&gt;0,Project!R5,"")</f>
        <v/>
      </c>
      <c r="S5" t="str">
        <f>IF(Project!S5&gt;0,Project!S5,"")</f>
        <v/>
      </c>
      <c r="T5" t="str">
        <f>IF(Project!T5&gt;0,Project!T5,"")</f>
        <v/>
      </c>
    </row>
    <row r="6" spans="1:20" x14ac:dyDescent="0.2">
      <c r="A6" t="str">
        <f>IF(Project!A6&gt;0,Project!A6,"")</f>
        <v>WeShape</v>
      </c>
      <c r="B6">
        <f>IF(Project!B6&gt;0,Project!B6,"")</f>
        <v>6.2949999999999999</v>
      </c>
      <c r="C6">
        <f>IF(Project!C6&gt;0,Project!C6,"")</f>
        <v>5.2750000000000004</v>
      </c>
      <c r="D6">
        <f>IF(Project!D6&gt;0,Project!D6,"")</f>
        <v>5.4</v>
      </c>
      <c r="E6">
        <f>IF(Project!E6&gt;0,Project!E6,"")</f>
        <v>4.2862499999999999</v>
      </c>
      <c r="F6">
        <f>IF(Project!F6&gt;0,Project!F6,"")</f>
        <v>4.7612500000000004</v>
      </c>
      <c r="G6">
        <f>IF(Project!G6&gt;0,Project!G6,"")</f>
        <v>4.1612499999999999</v>
      </c>
      <c r="H6">
        <f>IF(Project!H6&gt;0,Project!H6,"")</f>
        <v>4.4112499999999999</v>
      </c>
      <c r="I6">
        <f>IF(Project!I6&gt;0,Project!I6,"")</f>
        <v>4.5112500000000004</v>
      </c>
      <c r="J6">
        <f>IF(Project!J6&gt;0,Project!J6,"")</f>
        <v>4.5112500000000004</v>
      </c>
      <c r="K6">
        <f>IF(Project!K6&gt;0,Project!K6,"")</f>
        <v>3.1112500000000001</v>
      </c>
      <c r="L6">
        <f>IF(Project!L6&gt;0,Project!L6,"")</f>
        <v>3.1112500000000001</v>
      </c>
      <c r="M6">
        <f>IF(Project!M6&gt;0,Project!M6,"")</f>
        <v>3.2112500000000002</v>
      </c>
      <c r="N6">
        <f>IF(Project!N6&gt;0,Project!N6,"")</f>
        <v>2.5362499999999999</v>
      </c>
      <c r="O6">
        <f>IF(Project!O6&gt;0,Project!O6,"")</f>
        <v>2.5362499999999999</v>
      </c>
      <c r="P6">
        <f>IF(Project!P6&gt;0,Project!P6,"")</f>
        <v>2.5362499999999999</v>
      </c>
      <c r="Q6" t="str">
        <f>IF(Project!Q6&gt;0,Project!Q6,"")</f>
        <v/>
      </c>
      <c r="R6" t="str">
        <f>IF(Project!R6&gt;0,Project!R6,"")</f>
        <v/>
      </c>
      <c r="S6" t="str">
        <f>IF(Project!S6&gt;0,Project!S6,"")</f>
        <v/>
      </c>
      <c r="T6" t="str">
        <f>IF(Project!T6&gt;0,Project!T6,"")</f>
        <v/>
      </c>
    </row>
    <row r="7" spans="1:20" x14ac:dyDescent="0.2">
      <c r="A7" t="str">
        <f>IF(Project!A7&gt;0,Project!A7,"")</f>
        <v>CAP</v>
      </c>
      <c r="B7">
        <f>IF(Project!B7&gt;0,Project!B7,"")</f>
        <v>7.7</v>
      </c>
      <c r="C7">
        <f>IF(Project!C7&gt;0,Project!C7,"")</f>
        <v>7.875</v>
      </c>
      <c r="D7">
        <f>IF(Project!D7&gt;0,Project!D7,"")</f>
        <v>7.875</v>
      </c>
      <c r="E7">
        <f>IF(Project!E7&gt;0,Project!E7,"")</f>
        <v>8.0574999999999992</v>
      </c>
      <c r="F7">
        <f>IF(Project!F7&gt;0,Project!F7,"")</f>
        <v>7.5575000000000001</v>
      </c>
      <c r="G7">
        <f>IF(Project!G7&gt;0,Project!G7,"")</f>
        <v>7.7374999999999998</v>
      </c>
      <c r="H7">
        <f>IF(Project!H7&gt;0,Project!H7,"")</f>
        <v>8.2750000000000004</v>
      </c>
      <c r="I7">
        <f>IF(Project!I7&gt;0,Project!I7,"")</f>
        <v>8.1374999999999993</v>
      </c>
      <c r="J7">
        <f>IF(Project!J7&gt;0,Project!J7,"")</f>
        <v>8.4375</v>
      </c>
      <c r="K7">
        <f>IF(Project!K7&gt;0,Project!K7,"")</f>
        <v>8.2750000000000004</v>
      </c>
      <c r="L7">
        <f>IF(Project!L7&gt;0,Project!L7,"")</f>
        <v>8.1374999999999993</v>
      </c>
      <c r="M7">
        <f>IF(Project!M7&gt;0,Project!M7,"")</f>
        <v>8.1374999999999993</v>
      </c>
      <c r="N7">
        <f>IF(Project!N7&gt;0,Project!N7,"")</f>
        <v>7.1749999999999998</v>
      </c>
      <c r="O7">
        <f>IF(Project!O7&gt;0,Project!O7,"")</f>
        <v>7.0374999999999996</v>
      </c>
      <c r="P7">
        <f>IF(Project!P7&gt;0,Project!P7,"")</f>
        <v>7.0374999999999996</v>
      </c>
      <c r="Q7" t="str">
        <f>IF(Project!Q7&gt;0,Project!Q7,"")</f>
        <v/>
      </c>
      <c r="R7" t="str">
        <f>IF(Project!R7&gt;0,Project!R7,"")</f>
        <v/>
      </c>
      <c r="S7" t="str">
        <f>IF(Project!S7&gt;0,Project!S7,"")</f>
        <v/>
      </c>
      <c r="T7" t="str">
        <f>IF(Project!T7&gt;0,Project!T7,"")</f>
        <v/>
      </c>
    </row>
    <row r="8" spans="1:20" x14ac:dyDescent="0.2">
      <c r="A8" t="str">
        <f>IF(Project!A8&gt;0,Project!A8,"")</f>
        <v/>
      </c>
      <c r="B8" t="str">
        <f>IF(Project!B8&gt;0,Project!B8,"")</f>
        <v/>
      </c>
      <c r="C8" t="str">
        <f>IF(Project!C8&gt;0,Project!C8,"")</f>
        <v/>
      </c>
      <c r="D8" t="str">
        <f>IF(Project!D8&gt;0,Project!D8,"")</f>
        <v/>
      </c>
      <c r="E8" t="str">
        <f>IF(Project!E8&gt;0,Project!E8,"")</f>
        <v/>
      </c>
      <c r="F8" t="str">
        <f>IF(Project!F8&gt;0,Project!F8,"")</f>
        <v/>
      </c>
      <c r="G8" t="str">
        <f>IF(Project!G8&gt;0,Project!G8,"")</f>
        <v/>
      </c>
      <c r="H8" t="str">
        <f>IF(Project!H8&gt;0,Project!H8,"")</f>
        <v/>
      </c>
      <c r="I8" t="str">
        <f>IF(Project!I8&gt;0,Project!I8,"")</f>
        <v/>
      </c>
      <c r="J8" t="str">
        <f>IF(Project!J8&gt;0,Project!J8,"")</f>
        <v/>
      </c>
      <c r="K8" t="str">
        <f>IF(Project!K8&gt;0,Project!K8,"")</f>
        <v/>
      </c>
      <c r="L8" t="str">
        <f>IF(Project!L8&gt;0,Project!L8,"")</f>
        <v/>
      </c>
      <c r="M8" t="str">
        <f>IF(Project!M8&gt;0,Project!M8,"")</f>
        <v/>
      </c>
      <c r="N8" t="str">
        <f>IF(Project!N8&gt;0,Project!N8,"")</f>
        <v/>
      </c>
      <c r="O8" t="str">
        <f>IF(Project!O8&gt;0,Project!O8,"")</f>
        <v/>
      </c>
      <c r="P8" t="str">
        <f>IF(Project!P8&gt;0,Project!P8,"")</f>
        <v/>
      </c>
      <c r="Q8" t="str">
        <f>IF(Project!Q8&gt;0,Project!Q8,"")</f>
        <v/>
      </c>
      <c r="R8" t="str">
        <f>IF(Project!R8&gt;0,Project!R8,"")</f>
        <v/>
      </c>
      <c r="S8" t="str">
        <f>IF(Project!S8&gt;0,Project!S8,"")</f>
        <v/>
      </c>
      <c r="T8" t="str">
        <f>IF(Project!T8&gt;0,Project!T8,"")</f>
        <v/>
      </c>
    </row>
    <row r="9" spans="1:20" x14ac:dyDescent="0.2">
      <c r="A9" s="55" t="str">
        <f>IF(Project!A9&gt;0,Project!A9,"")</f>
        <v>Project by Team</v>
      </c>
      <c r="B9" t="str">
        <f>IF(Project!B9&gt;0,Project!B9,"")</f>
        <v/>
      </c>
      <c r="C9" t="str">
        <f>IF(Project!C9&gt;0,Project!C9,"")</f>
        <v/>
      </c>
      <c r="D9" t="str">
        <f>IF(Project!D9&gt;0,Project!D9,"")</f>
        <v/>
      </c>
      <c r="E9" t="str">
        <f>IF(Project!E9&gt;0,Project!E9,"")</f>
        <v/>
      </c>
      <c r="F9" t="str">
        <f>IF(Project!F9&gt;0,Project!F9,"")</f>
        <v/>
      </c>
      <c r="G9" t="str">
        <f>IF(Project!G9&gt;0,Project!G9,"")</f>
        <v/>
      </c>
      <c r="H9" t="str">
        <f>IF(Project!H9&gt;0,Project!H9,"")</f>
        <v/>
      </c>
      <c r="I9" t="str">
        <f>IF(Project!I9&gt;0,Project!I9,"")</f>
        <v/>
      </c>
      <c r="J9" t="str">
        <f>IF(Project!J9&gt;0,Project!J9,"")</f>
        <v/>
      </c>
      <c r="K9" t="str">
        <f>IF(Project!K9&gt;0,Project!K9,"")</f>
        <v/>
      </c>
      <c r="L9" t="str">
        <f>IF(Project!L9&gt;0,Project!L9,"")</f>
        <v/>
      </c>
      <c r="M9" t="str">
        <f>IF(Project!M9&gt;0,Project!M9,"")</f>
        <v/>
      </c>
      <c r="N9" t="str">
        <f>IF(Project!N9&gt;0,Project!N9,"")</f>
        <v/>
      </c>
      <c r="O9" t="str">
        <f>IF(Project!O9&gt;0,Project!O9,"")</f>
        <v/>
      </c>
      <c r="P9" t="str">
        <f>IF(Project!P9&gt;0,Project!P9,"")</f>
        <v/>
      </c>
      <c r="Q9" t="str">
        <f>IF(Project!Q9&gt;0,Project!Q9,"")</f>
        <v/>
      </c>
      <c r="R9" t="str">
        <f>IF(Project!R9&gt;0,Project!R9,"")</f>
        <v/>
      </c>
      <c r="S9" t="str">
        <f>IF(Project!S9&gt;0,Project!S9,"")</f>
        <v/>
      </c>
      <c r="T9" t="str">
        <f>IF(Project!T9&gt;0,Project!T9,"")</f>
        <v/>
      </c>
    </row>
    <row r="10" spans="1:20" x14ac:dyDescent="0.2">
      <c r="A10" t="str">
        <f>IF(Project!A10&gt;0,Project!A10,"")</f>
        <v/>
      </c>
      <c r="B10" t="str">
        <f>IF(Project!B10&gt;0,Project!B10,"")</f>
        <v/>
      </c>
      <c r="C10" t="str">
        <f>IF(Project!C10&gt;0,Project!C10,"")</f>
        <v/>
      </c>
      <c r="D10" t="str">
        <f>IF(Project!D10&gt;0,Project!D10,"")</f>
        <v/>
      </c>
      <c r="E10" t="str">
        <f>IF(Project!E10&gt;0,Project!E10,"")</f>
        <v/>
      </c>
      <c r="F10" t="str">
        <f>IF(Project!F10&gt;0,Project!F10,"")</f>
        <v/>
      </c>
      <c r="G10" t="str">
        <f>IF(Project!G10&gt;0,Project!G10,"")</f>
        <v/>
      </c>
      <c r="H10" t="str">
        <f>IF(Project!H10&gt;0,Project!H10,"")</f>
        <v/>
      </c>
      <c r="I10" t="str">
        <f>IF(Project!I10&gt;0,Project!I10,"")</f>
        <v/>
      </c>
      <c r="J10" t="str">
        <f>IF(Project!J10&gt;0,Project!J10,"")</f>
        <v/>
      </c>
      <c r="K10" t="str">
        <f>IF(Project!K10&gt;0,Project!K10,"")</f>
        <v/>
      </c>
      <c r="L10" t="str">
        <f>IF(Project!L10&gt;0,Project!L10,"")</f>
        <v/>
      </c>
      <c r="M10" t="str">
        <f>IF(Project!M10&gt;0,Project!M10,"")</f>
        <v/>
      </c>
      <c r="N10" t="str">
        <f>IF(Project!N10&gt;0,Project!N10,"")</f>
        <v/>
      </c>
      <c r="O10" t="str">
        <f>IF(Project!O10&gt;0,Project!O10,"")</f>
        <v/>
      </c>
      <c r="P10" t="str">
        <f>IF(Project!P10&gt;0,Project!P10,"")</f>
        <v/>
      </c>
      <c r="Q10" t="str">
        <f>IF(Project!Q10&gt;0,Project!Q10,"")</f>
        <v/>
      </c>
      <c r="R10" t="str">
        <f>IF(Project!R10&gt;0,Project!R10,"")</f>
        <v/>
      </c>
      <c r="S10" t="str">
        <f>IF(Project!S10&gt;0,Project!S10,"")</f>
        <v/>
      </c>
      <c r="T10" t="str">
        <f>IF(Project!T10&gt;0,Project!T10,"")</f>
        <v/>
      </c>
    </row>
    <row r="11" spans="1:20" s="55" customFormat="1" x14ac:dyDescent="0.2">
      <c r="A11" s="55" t="str">
        <f>IF(Project!A11&gt;0,Project!A11,"")</f>
        <v>Group Name</v>
      </c>
      <c r="B11" s="55" t="str">
        <f>IF(Project!B11&gt;0,Project!B11,"")</f>
        <v>Total</v>
      </c>
      <c r="C11" s="55" t="str">
        <f>IF(Project!C11&gt;0,Project!C11,"")</f>
        <v>CPS</v>
      </c>
      <c r="D11" s="55" t="str">
        <f>IF(Project!D11&gt;0,Project!D11,"")</f>
        <v>PSE-PE</v>
      </c>
      <c r="E11" s="55" t="str">
        <f>IF(Project!E11&gt;0,Project!E11,"")</f>
        <v>PSE-SE</v>
      </c>
      <c r="F11" s="55" t="str">
        <f>IF(Project!F11&gt;0,Project!F11,"")</f>
        <v>SD-Design</v>
      </c>
      <c r="G11" s="55" t="str">
        <f>IF(Project!G11&gt;0,Project!G11,"")</f>
        <v>SD-Data</v>
      </c>
      <c r="H11" s="55" t="str">
        <f>IF(Project!H11&gt;0,Project!H11,"")</f>
        <v>SD-SA</v>
      </c>
      <c r="I11" s="55" t="str">
        <f>IF(Project!I11&gt;0,Project!I11,"")</f>
        <v>SD-SRE</v>
      </c>
      <c r="J11" s="55" t="str">
        <f>IF(Project!J11&gt;0,Project!J11,"")</f>
        <v>SD-CyberSec</v>
      </c>
      <c r="K11" s="55" t="str">
        <f>IF(Project!K11&gt;0,Project!K11,"")</f>
        <v>SD-PM</v>
      </c>
      <c r="L11" s="55" t="str">
        <f>IF(Project!L11&gt;0,Project!L11,"")</f>
        <v>SD-BA</v>
      </c>
      <c r="M11" s="55" t="str">
        <f>IF(Project!M11&gt;0,Project!M11,"")</f>
        <v>SD-QA</v>
      </c>
      <c r="N11" s="55" t="str">
        <f>IF(Project!N11&gt;0,Project!N11,"")</f>
        <v>SD-TM</v>
      </c>
      <c r="O11" s="55" t="str">
        <f>IF(Project!O11&gt;0,Project!O11,"")</f>
        <v>AIC-AI</v>
      </c>
      <c r="P11" s="55" t="str">
        <f>IF(Project!P11&gt;0,Project!P11,"")</f>
        <v>AIC-AIE</v>
      </c>
      <c r="Q11" s="55" t="str">
        <f>IF(Project!Q11&gt;0,Project!Q11,"")</f>
        <v>AIC-IoT</v>
      </c>
      <c r="R11" s="55" t="str">
        <f>IF(Project!R11&gt;0,Project!R11,"")</f>
        <v>AIC-SAI</v>
      </c>
      <c r="S11" s="55" t="str">
        <f>IF(Project!S11&gt;0,Project!S11,"")</f>
        <v>AIC-PSI</v>
      </c>
      <c r="T11" s="55" t="str">
        <f>IF(Project!T11&gt;0,Project!T11,"")</f>
        <v>TDE</v>
      </c>
    </row>
    <row r="12" spans="1:20" x14ac:dyDescent="0.2">
      <c r="A12" t="str">
        <f>IF(Project!A12&gt;0,Project!A12,"")</f>
        <v>IT Dist</v>
      </c>
      <c r="B12">
        <f>IF(Project!B12&gt;0,Project!B12,"")</f>
        <v>216</v>
      </c>
      <c r="C12" t="str">
        <f>IF(Project!C12&gt;0,Project!C12,"")</f>
        <v/>
      </c>
      <c r="D12" t="str">
        <f>IF(Project!D12&gt;0,Project!D12,"")</f>
        <v/>
      </c>
      <c r="E12">
        <f>IF(Project!E12&gt;0,Project!E12,"")</f>
        <v>216</v>
      </c>
      <c r="F12" t="str">
        <f>IF(Project!F12&gt;0,Project!F12,"")</f>
        <v/>
      </c>
      <c r="G12" t="str">
        <f>IF(Project!G12&gt;0,Project!G12,"")</f>
        <v/>
      </c>
      <c r="H12" t="str">
        <f>IF(Project!H12&gt;0,Project!H12,"")</f>
        <v/>
      </c>
      <c r="I12" t="str">
        <f>IF(Project!I12&gt;0,Project!I12,"")</f>
        <v/>
      </c>
      <c r="J12" t="str">
        <f>IF(Project!J12&gt;0,Project!J12,"")</f>
        <v/>
      </c>
      <c r="K12" t="str">
        <f>IF(Project!K12&gt;0,Project!K12,"")</f>
        <v/>
      </c>
      <c r="L12" t="str">
        <f>IF(Project!L12&gt;0,Project!L12,"")</f>
        <v/>
      </c>
      <c r="M12" t="str">
        <f>IF(Project!M12&gt;0,Project!M12,"")</f>
        <v/>
      </c>
      <c r="N12" t="str">
        <f>IF(Project!N12&gt;0,Project!N12,"")</f>
        <v/>
      </c>
      <c r="O12" t="str">
        <f>IF(Project!O12&gt;0,Project!O12,"")</f>
        <v/>
      </c>
      <c r="P12" t="str">
        <f>IF(Project!P12&gt;0,Project!P12,"")</f>
        <v/>
      </c>
      <c r="Q12" t="str">
        <f>IF(Project!Q12&gt;0,Project!Q12,"")</f>
        <v/>
      </c>
      <c r="R12" t="str">
        <f>IF(Project!R12&gt;0,Project!R12,"")</f>
        <v/>
      </c>
      <c r="S12" t="str">
        <f>IF(Project!S12&gt;0,Project!S12,"")</f>
        <v/>
      </c>
      <c r="T12" t="str">
        <f>IF(Project!T12&gt;0,Project!T12,"")</f>
        <v/>
      </c>
    </row>
    <row r="13" spans="1:20" x14ac:dyDescent="0.2">
      <c r="A13" t="str">
        <f>IF(Project!A13&gt;0,Project!A13,"")</f>
        <v>SCGP e-Ordering</v>
      </c>
      <c r="B13">
        <f>IF(Project!B13&gt;0,Project!B13,"")</f>
        <v>162.78</v>
      </c>
      <c r="C13">
        <f>IF(Project!C13&gt;0,Project!C13,"")</f>
        <v>3.6</v>
      </c>
      <c r="D13" t="str">
        <f>IF(Project!D13&gt;0,Project!D13,"")</f>
        <v/>
      </c>
      <c r="E13">
        <f>IF(Project!E13&gt;0,Project!E13,"")</f>
        <v>46.3</v>
      </c>
      <c r="F13">
        <f>IF(Project!F13&gt;0,Project!F13,"")</f>
        <v>2.2999999999999998</v>
      </c>
      <c r="G13" t="str">
        <f>IF(Project!G13&gt;0,Project!G13,"")</f>
        <v/>
      </c>
      <c r="H13">
        <f>IF(Project!H13&gt;0,Project!H13,"")</f>
        <v>1.05</v>
      </c>
      <c r="I13">
        <f>IF(Project!I13&gt;0,Project!I13,"")</f>
        <v>1.35</v>
      </c>
      <c r="J13" t="str">
        <f>IF(Project!J13&gt;0,Project!J13,"")</f>
        <v/>
      </c>
      <c r="K13">
        <f>IF(Project!K13&gt;0,Project!K13,"")</f>
        <v>7.6</v>
      </c>
      <c r="L13">
        <f>IF(Project!L13&gt;0,Project!L13,"")</f>
        <v>12</v>
      </c>
      <c r="M13">
        <f>IF(Project!M13&gt;0,Project!M13,"")</f>
        <v>83.45</v>
      </c>
      <c r="N13">
        <f>IF(Project!N13&gt;0,Project!N13,"")</f>
        <v>5.13</v>
      </c>
      <c r="O13" t="str">
        <f>IF(Project!O13&gt;0,Project!O13,"")</f>
        <v/>
      </c>
      <c r="P13" t="str">
        <f>IF(Project!P13&gt;0,Project!P13,"")</f>
        <v/>
      </c>
      <c r="Q13" t="str">
        <f>IF(Project!Q13&gt;0,Project!Q13,"")</f>
        <v/>
      </c>
      <c r="R13" t="str">
        <f>IF(Project!R13&gt;0,Project!R13,"")</f>
        <v/>
      </c>
      <c r="S13" t="str">
        <f>IF(Project!S13&gt;0,Project!S13,"")</f>
        <v/>
      </c>
      <c r="T13" t="str">
        <f>IF(Project!T13&gt;0,Project!T13,"")</f>
        <v/>
      </c>
    </row>
    <row r="14" spans="1:20" x14ac:dyDescent="0.2">
      <c r="A14" t="str">
        <f>IF(Project!A14&gt;0,Project!A14,"")</f>
        <v>CDAS</v>
      </c>
      <c r="B14">
        <f>IF(Project!B14&gt;0,Project!B14,"")</f>
        <v>63.6</v>
      </c>
      <c r="C14" t="str">
        <f>IF(Project!C14&gt;0,Project!C14,"")</f>
        <v/>
      </c>
      <c r="D14">
        <f>IF(Project!D14&gt;0,Project!D14,"")</f>
        <v>61.8</v>
      </c>
      <c r="E14" t="str">
        <f>IF(Project!E14&gt;0,Project!E14,"")</f>
        <v/>
      </c>
      <c r="F14" t="str">
        <f>IF(Project!F14&gt;0,Project!F14,"")</f>
        <v/>
      </c>
      <c r="G14">
        <f>IF(Project!G14&gt;0,Project!G14,"")</f>
        <v>0.6</v>
      </c>
      <c r="H14" t="str">
        <f>IF(Project!H14&gt;0,Project!H14,"")</f>
        <v/>
      </c>
      <c r="I14">
        <f>IF(Project!I14&gt;0,Project!I14,"")</f>
        <v>1.2</v>
      </c>
      <c r="J14" t="str">
        <f>IF(Project!J14&gt;0,Project!J14,"")</f>
        <v/>
      </c>
      <c r="K14" t="str">
        <f>IF(Project!K14&gt;0,Project!K14,"")</f>
        <v/>
      </c>
      <c r="L14" t="str">
        <f>IF(Project!L14&gt;0,Project!L14,"")</f>
        <v/>
      </c>
      <c r="M14" t="str">
        <f>IF(Project!M14&gt;0,Project!M14,"")</f>
        <v/>
      </c>
      <c r="N14" t="str">
        <f>IF(Project!N14&gt;0,Project!N14,"")</f>
        <v/>
      </c>
      <c r="O14" t="str">
        <f>IF(Project!O14&gt;0,Project!O14,"")</f>
        <v/>
      </c>
      <c r="P14" t="str">
        <f>IF(Project!P14&gt;0,Project!P14,"")</f>
        <v/>
      </c>
      <c r="Q14" t="str">
        <f>IF(Project!Q14&gt;0,Project!Q14,"")</f>
        <v/>
      </c>
      <c r="R14" t="str">
        <f>IF(Project!R14&gt;0,Project!R14,"")</f>
        <v/>
      </c>
      <c r="S14" t="str">
        <f>IF(Project!S14&gt;0,Project!S14,"")</f>
        <v/>
      </c>
      <c r="T14" t="str">
        <f>IF(Project!T14&gt;0,Project!T14,"")</f>
        <v/>
      </c>
    </row>
    <row r="15" spans="1:20" x14ac:dyDescent="0.2">
      <c r="A15" t="str">
        <f>IF(Project!A15&gt;0,Project!A15,"")</f>
        <v>PromptPlus</v>
      </c>
      <c r="B15">
        <f>IF(Project!B15&gt;0,Project!B15,"")</f>
        <v>51.075000000000003</v>
      </c>
      <c r="C15">
        <f>IF(Project!C15&gt;0,Project!C15,"")</f>
        <v>0.9</v>
      </c>
      <c r="D15" t="str">
        <f>IF(Project!D15&gt;0,Project!D15,"")</f>
        <v/>
      </c>
      <c r="E15">
        <f>IF(Project!E15&gt;0,Project!E15,"")</f>
        <v>22.8</v>
      </c>
      <c r="F15">
        <f>IF(Project!F15&gt;0,Project!F15,"")</f>
        <v>1.875</v>
      </c>
      <c r="G15" t="str">
        <f>IF(Project!G15&gt;0,Project!G15,"")</f>
        <v/>
      </c>
      <c r="H15" t="str">
        <f>IF(Project!H15&gt;0,Project!H15,"")</f>
        <v/>
      </c>
      <c r="I15" t="str">
        <f>IF(Project!I15&gt;0,Project!I15,"")</f>
        <v/>
      </c>
      <c r="J15" t="str">
        <f>IF(Project!J15&gt;0,Project!J15,"")</f>
        <v/>
      </c>
      <c r="K15">
        <f>IF(Project!K15&gt;0,Project!K15,"")</f>
        <v>1.8</v>
      </c>
      <c r="L15">
        <f>IF(Project!L15&gt;0,Project!L15,"")</f>
        <v>7.7</v>
      </c>
      <c r="M15">
        <f>IF(Project!M15&gt;0,Project!M15,"")</f>
        <v>16</v>
      </c>
      <c r="N15" t="str">
        <f>IF(Project!N15&gt;0,Project!N15,"")</f>
        <v/>
      </c>
      <c r="O15" t="str">
        <f>IF(Project!O15&gt;0,Project!O15,"")</f>
        <v/>
      </c>
      <c r="P15" t="str">
        <f>IF(Project!P15&gt;0,Project!P15,"")</f>
        <v/>
      </c>
      <c r="Q15" t="str">
        <f>IF(Project!Q15&gt;0,Project!Q15,"")</f>
        <v/>
      </c>
      <c r="R15" t="str">
        <f>IF(Project!R15&gt;0,Project!R15,"")</f>
        <v/>
      </c>
      <c r="S15" t="str">
        <f>IF(Project!S15&gt;0,Project!S15,"")</f>
        <v/>
      </c>
      <c r="T15" t="str">
        <f>IF(Project!T15&gt;0,Project!T15,"")</f>
        <v/>
      </c>
    </row>
    <row r="16" spans="1:20" x14ac:dyDescent="0.2">
      <c r="A16" t="str">
        <f>IF(Project!A16&gt;0,Project!A16,"")</f>
        <v>SCG Home</v>
      </c>
      <c r="B16">
        <f>IF(Project!B16&gt;0,Project!B16,"")</f>
        <v>35.454999999999998</v>
      </c>
      <c r="C16" t="str">
        <f>IF(Project!C16&gt;0,Project!C16,"")</f>
        <v/>
      </c>
      <c r="D16" t="str">
        <f>IF(Project!D16&gt;0,Project!D16,"")</f>
        <v/>
      </c>
      <c r="E16">
        <f>IF(Project!E16&gt;0,Project!E16,"")</f>
        <v>7.2</v>
      </c>
      <c r="F16">
        <f>IF(Project!F16&gt;0,Project!F16,"")</f>
        <v>0.375</v>
      </c>
      <c r="G16" t="str">
        <f>IF(Project!G16&gt;0,Project!G16,"")</f>
        <v/>
      </c>
      <c r="H16">
        <f>IF(Project!H16&gt;0,Project!H16,"")</f>
        <v>1.8</v>
      </c>
      <c r="I16">
        <f>IF(Project!I16&gt;0,Project!I16,"")</f>
        <v>0.65</v>
      </c>
      <c r="J16" t="str">
        <f>IF(Project!J16&gt;0,Project!J16,"")</f>
        <v/>
      </c>
      <c r="K16">
        <f>IF(Project!K16&gt;0,Project!K16,"")</f>
        <v>1.65</v>
      </c>
      <c r="L16">
        <f>IF(Project!L16&gt;0,Project!L16,"")</f>
        <v>7.2</v>
      </c>
      <c r="M16">
        <f>IF(Project!M16&gt;0,Project!M16,"")</f>
        <v>5.4</v>
      </c>
      <c r="N16" t="str">
        <f>IF(Project!N16&gt;0,Project!N16,"")</f>
        <v/>
      </c>
      <c r="O16" t="str">
        <f>IF(Project!O16&gt;0,Project!O16,"")</f>
        <v/>
      </c>
      <c r="P16" t="str">
        <f>IF(Project!P16&gt;0,Project!P16,"")</f>
        <v/>
      </c>
      <c r="Q16" t="str">
        <f>IF(Project!Q16&gt;0,Project!Q16,"")</f>
        <v/>
      </c>
      <c r="R16">
        <f>IF(Project!R16&gt;0,Project!R16,"")</f>
        <v>11.18</v>
      </c>
      <c r="S16" t="str">
        <f>IF(Project!S16&gt;0,Project!S16,"")</f>
        <v/>
      </c>
      <c r="T16" t="str">
        <f>IF(Project!T16&gt;0,Project!T16,"")</f>
        <v/>
      </c>
    </row>
    <row r="17" spans="1:20" x14ac:dyDescent="0.2">
      <c r="A17" t="str">
        <f>IF(Project!A17&gt;0,Project!A17,"")</f>
        <v>Credit &amp; Collateral Management for CBM</v>
      </c>
      <c r="B17" t="str">
        <f>IF(Project!B17&gt;0,Project!B17,"")</f>
        <v/>
      </c>
      <c r="C17" t="str">
        <f>IF(Project!C17&gt;0,Project!C17,"")</f>
        <v/>
      </c>
      <c r="D17" t="str">
        <f>IF(Project!D17&gt;0,Project!D17,"")</f>
        <v/>
      </c>
      <c r="E17" t="str">
        <f>IF(Project!E17&gt;0,Project!E17,"")</f>
        <v/>
      </c>
      <c r="F17" t="str">
        <f>IF(Project!F17&gt;0,Project!F17,"")</f>
        <v/>
      </c>
      <c r="G17" t="str">
        <f>IF(Project!G17&gt;0,Project!G17,"")</f>
        <v/>
      </c>
      <c r="H17" t="str">
        <f>IF(Project!H17&gt;0,Project!H17,"")</f>
        <v/>
      </c>
      <c r="I17" t="str">
        <f>IF(Project!I17&gt;0,Project!I17,"")</f>
        <v/>
      </c>
      <c r="J17" t="str">
        <f>IF(Project!J17&gt;0,Project!J17,"")</f>
        <v/>
      </c>
      <c r="K17" t="str">
        <f>IF(Project!K17&gt;0,Project!K17,"")</f>
        <v/>
      </c>
      <c r="L17" t="str">
        <f>IF(Project!L17&gt;0,Project!L17,"")</f>
        <v/>
      </c>
      <c r="M17" t="str">
        <f>IF(Project!M17&gt;0,Project!M17,"")</f>
        <v/>
      </c>
      <c r="N17" t="str">
        <f>IF(Project!N17&gt;0,Project!N17,"")</f>
        <v/>
      </c>
      <c r="O17" t="str">
        <f>IF(Project!O17&gt;0,Project!O17,"")</f>
        <v/>
      </c>
      <c r="P17" t="str">
        <f>IF(Project!P17&gt;0,Project!P17,"")</f>
        <v/>
      </c>
      <c r="Q17" t="str">
        <f>IF(Project!Q17&gt;0,Project!Q17,"")</f>
        <v/>
      </c>
      <c r="R17" t="str">
        <f>IF(Project!R17&gt;0,Project!R17,"")</f>
        <v/>
      </c>
      <c r="S17" t="str">
        <f>IF(Project!S17&gt;0,Project!S17,"")</f>
        <v/>
      </c>
      <c r="T17" t="str">
        <f>IF(Project!T17&gt;0,Project!T17,"")</f>
        <v/>
      </c>
    </row>
    <row r="18" spans="1:20" x14ac:dyDescent="0.2">
      <c r="A18" t="str">
        <f>IF(Project!A18&gt;0,Project!A18,"")</f>
        <v/>
      </c>
      <c r="B18" t="str">
        <f>IF(Project!B18&gt;0,Project!B18,"")</f>
        <v/>
      </c>
      <c r="C18" t="str">
        <f>IF(Project!C18&gt;0,Project!C18,"")</f>
        <v/>
      </c>
      <c r="D18" t="str">
        <f>IF(Project!D18&gt;0,Project!D18,"")</f>
        <v/>
      </c>
      <c r="E18" t="str">
        <f>IF(Project!E18&gt;0,Project!E18,"")</f>
        <v/>
      </c>
      <c r="F18" t="str">
        <f>IF(Project!F18&gt;0,Project!F18,"")</f>
        <v/>
      </c>
      <c r="G18" t="str">
        <f>IF(Project!G18&gt;0,Project!G18,"")</f>
        <v/>
      </c>
      <c r="H18" t="str">
        <f>IF(Project!H18&gt;0,Project!H18,"")</f>
        <v/>
      </c>
      <c r="I18" t="str">
        <f>IF(Project!I18&gt;0,Project!I18,"")</f>
        <v/>
      </c>
      <c r="J18" t="str">
        <f>IF(Project!J18&gt;0,Project!J18,"")</f>
        <v/>
      </c>
      <c r="K18" t="str">
        <f>IF(Project!K18&gt;0,Project!K18,"")</f>
        <v/>
      </c>
      <c r="L18" t="str">
        <f>IF(Project!L18&gt;0,Project!L18,"")</f>
        <v/>
      </c>
      <c r="M18" t="str">
        <f>IF(Project!M18&gt;0,Project!M18,"")</f>
        <v/>
      </c>
      <c r="N18" t="str">
        <f>IF(Project!N18&gt;0,Project!N18,"")</f>
        <v/>
      </c>
      <c r="O18" t="str">
        <f>IF(Project!O18&gt;0,Project!O18,"")</f>
        <v/>
      </c>
      <c r="P18" t="str">
        <f>IF(Project!P18&gt;0,Project!P18,"")</f>
        <v/>
      </c>
      <c r="Q18" t="str">
        <f>IF(Project!Q18&gt;0,Project!Q18,"")</f>
        <v/>
      </c>
      <c r="R18" t="str">
        <f>IF(Project!R18&gt;0,Project!R18,"")</f>
        <v/>
      </c>
      <c r="S18" t="str">
        <f>IF(Project!S18&gt;0,Project!S18,"")</f>
        <v/>
      </c>
      <c r="T18" t="str">
        <f>IF(Project!T18&gt;0,Project!T18,"")</f>
        <v/>
      </c>
    </row>
    <row r="19" spans="1:20" s="55" customFormat="1" x14ac:dyDescent="0.2">
      <c r="A19" s="55" t="str">
        <f>IF(Project!A19&gt;0,Project!A19,"")</f>
        <v>Project by Type</v>
      </c>
      <c r="B19" s="55" t="str">
        <f>IF(Project!B19&gt;0,Project!B19,"")</f>
        <v/>
      </c>
      <c r="C19" s="55" t="str">
        <f>IF(Project!C19&gt;0,Project!C19,"")</f>
        <v/>
      </c>
      <c r="D19" s="55" t="str">
        <f>IF(Project!D19&gt;0,Project!D19,"")</f>
        <v/>
      </c>
      <c r="E19" s="55" t="str">
        <f>IF(Project!E19&gt;0,Project!E19,"")</f>
        <v/>
      </c>
      <c r="F19" s="55" t="str">
        <f>IF(Project!F19&gt;0,Project!F19,"")</f>
        <v/>
      </c>
      <c r="G19" s="55" t="str">
        <f>IF(Project!G19&gt;0,Project!G19,"")</f>
        <v/>
      </c>
      <c r="H19" s="55" t="str">
        <f>IF(Project!H19&gt;0,Project!H19,"")</f>
        <v/>
      </c>
      <c r="I19" s="55" t="str">
        <f>IF(Project!I19&gt;0,Project!I19,"")</f>
        <v/>
      </c>
      <c r="J19" s="55" t="str">
        <f>IF(Project!J19&gt;0,Project!J19,"")</f>
        <v/>
      </c>
      <c r="K19" s="55" t="str">
        <f>IF(Project!K19&gt;0,Project!K19,"")</f>
        <v/>
      </c>
      <c r="L19" s="55" t="str">
        <f>IF(Project!L19&gt;0,Project!L19,"")</f>
        <v/>
      </c>
      <c r="M19" s="55" t="str">
        <f>IF(Project!M19&gt;0,Project!M19,"")</f>
        <v/>
      </c>
      <c r="N19" s="55" t="str">
        <f>IF(Project!N19&gt;0,Project!N19,"")</f>
        <v/>
      </c>
      <c r="O19" s="55" t="str">
        <f>IF(Project!O19&gt;0,Project!O19,"")</f>
        <v/>
      </c>
      <c r="P19" s="55" t="str">
        <f>IF(Project!P19&gt;0,Project!P19,"")</f>
        <v/>
      </c>
      <c r="Q19" s="55" t="str">
        <f>IF(Project!Q19&gt;0,Project!Q19,"")</f>
        <v/>
      </c>
      <c r="R19" s="55" t="str">
        <f>IF(Project!R19&gt;0,Project!R19,"")</f>
        <v/>
      </c>
      <c r="S19" s="55" t="str">
        <f>IF(Project!S19&gt;0,Project!S19,"")</f>
        <v/>
      </c>
      <c r="T19" s="55" t="str">
        <f>IF(Project!T19&gt;0,Project!T19,"")</f>
        <v/>
      </c>
    </row>
    <row r="20" spans="1:20" s="55" customFormat="1" x14ac:dyDescent="0.2">
      <c r="A20" s="55" t="str">
        <f>IF(Project!A20&gt;0,Project!A20,"")</f>
        <v/>
      </c>
      <c r="B20" s="55" t="str">
        <f>IF(Project!B20&gt;0,Project!B20,"")</f>
        <v/>
      </c>
      <c r="C20" s="55" t="str">
        <f>IF(Project!C20&gt;0,Project!C20,"")</f>
        <v/>
      </c>
      <c r="D20" s="55" t="str">
        <f>IF(Project!D20&gt;0,Project!D20,"")</f>
        <v/>
      </c>
      <c r="E20" s="55" t="str">
        <f>IF(Project!E20&gt;0,Project!E20,"")</f>
        <v/>
      </c>
      <c r="F20" s="55" t="str">
        <f>IF(Project!F20&gt;0,Project!F20,"")</f>
        <v/>
      </c>
      <c r="G20" s="55" t="str">
        <f>IF(Project!G20&gt;0,Project!G20,"")</f>
        <v/>
      </c>
      <c r="H20" s="55" t="str">
        <f>IF(Project!H20&gt;0,Project!H20,"")</f>
        <v/>
      </c>
      <c r="I20" s="55" t="str">
        <f>IF(Project!I20&gt;0,Project!I20,"")</f>
        <v/>
      </c>
      <c r="J20" s="55" t="str">
        <f>IF(Project!J20&gt;0,Project!J20,"")</f>
        <v/>
      </c>
      <c r="K20" s="55" t="str">
        <f>IF(Project!K20&gt;0,Project!K20,"")</f>
        <v/>
      </c>
      <c r="L20" s="55" t="str">
        <f>IF(Project!L20&gt;0,Project!L20,"")</f>
        <v/>
      </c>
      <c r="M20" s="55" t="str">
        <f>IF(Project!M20&gt;0,Project!M20,"")</f>
        <v/>
      </c>
      <c r="N20" s="55" t="str">
        <f>IF(Project!N20&gt;0,Project!N20,"")</f>
        <v/>
      </c>
      <c r="O20" s="55" t="str">
        <f>IF(Project!O20&gt;0,Project!O20,"")</f>
        <v/>
      </c>
      <c r="P20" s="55" t="str">
        <f>IF(Project!P20&gt;0,Project!P20,"")</f>
        <v/>
      </c>
      <c r="Q20" s="55" t="str">
        <f>IF(Project!Q20&gt;0,Project!Q20,"")</f>
        <v/>
      </c>
      <c r="R20" s="55" t="str">
        <f>IF(Project!R20&gt;0,Project!R20,"")</f>
        <v/>
      </c>
      <c r="S20" s="55" t="str">
        <f>IF(Project!S20&gt;0,Project!S20,"")</f>
        <v/>
      </c>
      <c r="T20" s="55" t="str">
        <f>IF(Project!T20&gt;0,Project!T20,"")</f>
        <v/>
      </c>
    </row>
    <row r="21" spans="1:20" x14ac:dyDescent="0.2">
      <c r="A21" s="55" t="str">
        <f>IF(Project!A21&gt;0,Project!A21,"")</f>
        <v>Group Name</v>
      </c>
      <c r="B21" s="58" t="str">
        <f>IF(Project!A22&gt;0,Project!A22,"")</f>
        <v>IT Dist</v>
      </c>
      <c r="C21" s="59" t="str">
        <f>IF(Project!A23&gt;0,Project!A23,"")</f>
        <v>SCGP e-Ordering</v>
      </c>
      <c r="D21" s="60" t="str">
        <f>IF(Project!A24&gt;0,Project!A24,"")</f>
        <v>CDAS</v>
      </c>
      <c r="E21" s="62" t="str">
        <f>IF(Project!A25&gt;0,Project!A25,"")</f>
        <v>PromptPlus</v>
      </c>
      <c r="F21" s="61" t="str">
        <f>IF(Project!A26&gt;0,Project!A26,"")</f>
        <v>SCG Home</v>
      </c>
      <c r="G21" s="87" t="str">
        <f>IF(Project!A27&gt;0,Project!A27,"")</f>
        <v>Credit &amp; Collateral Management</v>
      </c>
    </row>
    <row r="22" spans="1:20" x14ac:dyDescent="0.2">
      <c r="A22" s="55" t="str">
        <f>IF(Project!B21&gt;0,Project!B21,"")</f>
        <v>Presale</v>
      </c>
      <c r="B22" s="58" t="str">
        <f>IF(Project!B22&gt;0,Project!B22,"")</f>
        <v/>
      </c>
      <c r="C22" s="59">
        <f>IF(Project!B23&gt;0,Project!B23,"")</f>
        <v>1.65</v>
      </c>
      <c r="D22" s="60">
        <f>IF(Project!B24&gt;0,Project!B24,"")</f>
        <v>0.3</v>
      </c>
      <c r="E22" s="62" t="str">
        <f>IF(Project!B25&gt;0,Project!B25,"")</f>
        <v/>
      </c>
      <c r="F22" s="61"/>
      <c r="G22" s="87" t="str">
        <f>IF(Project!B27&gt;0,Project!B27,"")</f>
        <v/>
      </c>
    </row>
    <row r="23" spans="1:20" x14ac:dyDescent="0.2">
      <c r="A23" s="55" t="str">
        <f>IF(Project!C21&gt;0,Project!C21,"")</f>
        <v>Project</v>
      </c>
      <c r="B23" s="58" t="str">
        <f>IF(Project!C22&gt;0,Project!C22,"")</f>
        <v/>
      </c>
      <c r="C23" s="59">
        <f>IF(Project!C23&gt;0,Project!C23,"")</f>
        <v>110.52500000000001</v>
      </c>
      <c r="D23" s="60">
        <f>IF(Project!C24&gt;0,Project!C24,"")</f>
        <v>48.756250000000001</v>
      </c>
      <c r="E23" s="62">
        <f>IF(Project!C25&gt;0,Project!C25,"")</f>
        <v>30.484999999999999</v>
      </c>
      <c r="F23" s="61" t="str">
        <f>IF(Project!C26&gt;0,Project!C26,"")</f>
        <v/>
      </c>
      <c r="G23" s="87">
        <f>IF(Project!C27&gt;0,Project!C27,"")</f>
        <v>23.375</v>
      </c>
    </row>
    <row r="24" spans="1:20" x14ac:dyDescent="0.2">
      <c r="A24" s="55" t="str">
        <f>IF(Project!D21&gt;0,Project!D21,"")</f>
        <v>TM</v>
      </c>
      <c r="B24" s="58" t="str">
        <f>IF(Project!D22&gt;0,Project!D22,"")</f>
        <v/>
      </c>
      <c r="C24" s="59">
        <f>IF(Project!D23&gt;0,Project!D23,"")</f>
        <v>5.04</v>
      </c>
      <c r="D24" s="60">
        <f>IF(Project!D24&gt;0,Project!D24,"")</f>
        <v>3.4649999999999999</v>
      </c>
      <c r="E24" s="62" t="str">
        <f>IF(Project!D25&gt;0,Project!D25,"")</f>
        <v/>
      </c>
      <c r="F24" s="61" t="str">
        <f>IF(Project!D26&gt;0,Project!D26,"")</f>
        <v/>
      </c>
      <c r="G24" s="87"/>
    </row>
    <row r="25" spans="1:20" x14ac:dyDescent="0.2">
      <c r="A25" s="55" t="str">
        <f>IF(Project!E21&gt;0,Project!E21,"")</f>
        <v>Infra</v>
      </c>
      <c r="B25" s="58" t="str">
        <f>IF(Project!E22&gt;0,Project!E22,"")</f>
        <v/>
      </c>
      <c r="C25" s="59">
        <f>IF(Project!E23&gt;0,Project!E23,"")</f>
        <v>0.6</v>
      </c>
      <c r="D25" s="60">
        <f>IF(Project!E24&gt;0,Project!E24,"")</f>
        <v>1.25</v>
      </c>
      <c r="E25" s="62" t="str">
        <f>IF(Project!E25&gt;0,Project!E25,"")</f>
        <v/>
      </c>
      <c r="F25" s="61" t="str">
        <f>IF(Project!E26&gt;0,Project!E26,"")</f>
        <v/>
      </c>
      <c r="G25" s="87">
        <f>IF(Project!E27&gt;0,Project!E27,"")</f>
        <v>0.21</v>
      </c>
    </row>
    <row r="26" spans="1:20" x14ac:dyDescent="0.2">
      <c r="A26" s="55" t="str">
        <f>IF(Project!F21&gt;0,Project!F21,"")</f>
        <v>Warmbody</v>
      </c>
      <c r="B26" s="58">
        <f>IF(Project!F22&gt;0,Project!F22,"")</f>
        <v>198.06</v>
      </c>
      <c r="C26" s="59" t="str">
        <f>IF(Project!F23&gt;0,Project!F23,"")</f>
        <v/>
      </c>
      <c r="D26" s="60" t="str">
        <f>IF(Project!F24&gt;0,Project!F24,"")</f>
        <v/>
      </c>
      <c r="E26" s="62">
        <f>IF(Project!F25&gt;0,Project!F25,"")</f>
        <v>21.01</v>
      </c>
      <c r="F26" s="61">
        <f>IF(Project!F26&gt;0,Project!F26,"")</f>
        <v>27.8</v>
      </c>
      <c r="G26" s="87"/>
    </row>
    <row r="27" spans="1:20" x14ac:dyDescent="0.2">
      <c r="A27" s="55"/>
    </row>
    <row r="28" spans="1:20" x14ac:dyDescent="0.2">
      <c r="A28" s="55"/>
    </row>
    <row r="29" spans="1:20" x14ac:dyDescent="0.2">
      <c r="A29" s="55"/>
    </row>
    <row r="31" spans="1:20" x14ac:dyDescent="0.2">
      <c r="A31" s="55"/>
      <c r="B31" s="55" t="str">
        <f>Project!B51</f>
        <v>JAN</v>
      </c>
      <c r="C31" s="55" t="str">
        <f>Project!C51</f>
        <v>FEB</v>
      </c>
      <c r="D31" s="55" t="str">
        <f>Project!D51</f>
        <v>MAR</v>
      </c>
      <c r="E31" s="55" t="str">
        <f>Project!E51</f>
        <v>APR</v>
      </c>
      <c r="F31" s="55" t="str">
        <f>Project!F51</f>
        <v>MAY</v>
      </c>
      <c r="G31" s="55" t="str">
        <f>Project!G51</f>
        <v>JUN</v>
      </c>
      <c r="H31" s="55" t="str">
        <f>Project!H51</f>
        <v>JUL</v>
      </c>
      <c r="I31" s="55" t="str">
        <f>Project!I51</f>
        <v>AUG</v>
      </c>
      <c r="J31" s="55" t="str">
        <f>Project!J51</f>
        <v>SEP</v>
      </c>
      <c r="K31" s="55" t="str">
        <f>Project!K51</f>
        <v>OCT</v>
      </c>
      <c r="L31" s="55" t="str">
        <f>Project!L51</f>
        <v>NOV</v>
      </c>
      <c r="M31" s="55" t="str">
        <f>Project!M51</f>
        <v>DEC</v>
      </c>
    </row>
    <row r="32" spans="1:20" x14ac:dyDescent="0.2">
      <c r="A32" t="str">
        <f>Project!A52</f>
        <v>Plan</v>
      </c>
      <c r="B32">
        <f>Project!B52</f>
        <v>2.72</v>
      </c>
      <c r="C32">
        <f>Project!C52</f>
        <v>6.21</v>
      </c>
      <c r="D32">
        <f>Project!D52</f>
        <v>13.56</v>
      </c>
      <c r="E32">
        <f>Project!E52</f>
        <v>7.23</v>
      </c>
      <c r="F32">
        <f>Project!F52</f>
        <v>7.41</v>
      </c>
      <c r="G32">
        <f>Project!G52</f>
        <v>19.32</v>
      </c>
      <c r="H32">
        <f>Project!H52</f>
        <v>13.48</v>
      </c>
      <c r="I32">
        <f>Project!I52</f>
        <v>10.68</v>
      </c>
      <c r="J32">
        <f>Project!J52</f>
        <v>18.09</v>
      </c>
      <c r="K32">
        <f>Project!K52</f>
        <v>16.18</v>
      </c>
      <c r="L32">
        <f>Project!L52</f>
        <v>14.54</v>
      </c>
      <c r="M32">
        <f>Project!M52</f>
        <v>19.850000000000001</v>
      </c>
    </row>
    <row r="33" spans="1:16" x14ac:dyDescent="0.2">
      <c r="A33" t="str">
        <f>Project!A53</f>
        <v>Actual</v>
      </c>
      <c r="B33">
        <f>Project!B53</f>
        <v>1.05</v>
      </c>
      <c r="C33">
        <f>Project!C53</f>
        <v>6.16</v>
      </c>
      <c r="D33">
        <f>Project!D53</f>
        <v>9.09</v>
      </c>
      <c r="E33">
        <f>Project!E53</f>
        <v>6.31</v>
      </c>
    </row>
    <row r="34" spans="1:16" x14ac:dyDescent="0.2">
      <c r="A34" t="str">
        <f>Project!A54</f>
        <v>Plan-PS</v>
      </c>
      <c r="B34">
        <f>Project!B54</f>
        <v>1.79</v>
      </c>
      <c r="C34">
        <f>Project!C54</f>
        <v>4.78</v>
      </c>
      <c r="D34">
        <f>Project!D54</f>
        <v>7.83</v>
      </c>
      <c r="E34">
        <f>Project!E54</f>
        <v>5.23</v>
      </c>
      <c r="F34">
        <f>Project!F54</f>
        <v>4.21</v>
      </c>
      <c r="G34">
        <f>Project!G54</f>
        <v>14.38</v>
      </c>
      <c r="H34">
        <f>Project!H54</f>
        <v>9.2799999999999994</v>
      </c>
      <c r="I34">
        <f>Project!I54</f>
        <v>6.28</v>
      </c>
      <c r="J34">
        <f>Project!J54</f>
        <v>10.38</v>
      </c>
      <c r="K34">
        <f>Project!K54</f>
        <v>11.28</v>
      </c>
      <c r="L34">
        <f>Project!L54</f>
        <v>4.38</v>
      </c>
      <c r="M34">
        <f>Project!M54</f>
        <v>10.45</v>
      </c>
    </row>
    <row r="35" spans="1:16" x14ac:dyDescent="0.2">
      <c r="A35" t="str">
        <f>Project!A55</f>
        <v>Actual-PS</v>
      </c>
      <c r="B35">
        <f>Project!B55</f>
        <v>1</v>
      </c>
      <c r="C35">
        <f>Project!C55</f>
        <v>5.71</v>
      </c>
      <c r="D35">
        <f>Project!D55</f>
        <v>8.5399999999999991</v>
      </c>
      <c r="E35">
        <f>Project!E55</f>
        <v>4.8600000000000003</v>
      </c>
    </row>
    <row r="36" spans="1:16" x14ac:dyDescent="0.2">
      <c r="A36" t="str">
        <f>Project!A56</f>
        <v>Plan-PD</v>
      </c>
      <c r="B36">
        <f>Project!B56</f>
        <v>0.93</v>
      </c>
      <c r="C36">
        <f>Project!C56</f>
        <v>1.43</v>
      </c>
      <c r="D36">
        <f>Project!D56</f>
        <v>5.73</v>
      </c>
      <c r="E36">
        <f>Project!E56</f>
        <v>2</v>
      </c>
      <c r="F36">
        <f>Project!F56</f>
        <v>3.2</v>
      </c>
      <c r="G36">
        <f>Project!G56</f>
        <v>4.9400000000000004</v>
      </c>
      <c r="H36">
        <f>Project!H56</f>
        <v>4.2</v>
      </c>
      <c r="I36">
        <f>Project!I56</f>
        <v>4.4000000000000004</v>
      </c>
      <c r="J36">
        <f>Project!J56</f>
        <v>7.71</v>
      </c>
      <c r="K36">
        <f>Project!K56</f>
        <v>4.9000000000000004</v>
      </c>
      <c r="L36">
        <f>Project!L56</f>
        <v>10.16</v>
      </c>
      <c r="M36">
        <f>Project!M56</f>
        <v>9.4</v>
      </c>
    </row>
    <row r="37" spans="1:16" x14ac:dyDescent="0.2">
      <c r="A37" t="str">
        <f>Project!A57</f>
        <v>Actual-PD</v>
      </c>
      <c r="B37">
        <f>Project!B57</f>
        <v>0.05</v>
      </c>
      <c r="C37">
        <f>Project!C57</f>
        <v>0.45</v>
      </c>
      <c r="D37">
        <f>Project!D57</f>
        <v>0.55000000000000004</v>
      </c>
      <c r="E37">
        <f>Project!E57</f>
        <v>1.45</v>
      </c>
    </row>
    <row r="40" spans="1:16" x14ac:dyDescent="0.2">
      <c r="A40" s="51"/>
      <c r="B40" s="55"/>
      <c r="C40" s="55"/>
      <c r="D40" s="55"/>
      <c r="E40" s="55"/>
      <c r="F40" s="55"/>
      <c r="G40" s="55"/>
      <c r="H40" s="55"/>
      <c r="I40" s="55"/>
      <c r="J40" s="55"/>
      <c r="K40" s="55"/>
      <c r="L40" s="55"/>
      <c r="M40" s="55"/>
      <c r="N40" s="55"/>
      <c r="O40" s="55"/>
      <c r="P40" s="55"/>
    </row>
    <row r="41" spans="1:16" x14ac:dyDescent="0.2">
      <c r="A41" s="7"/>
      <c r="B41" s="16" t="str">
        <f>Project!B61</f>
        <v>APR</v>
      </c>
      <c r="C41" s="16" t="str">
        <f>Project!C61</f>
        <v>MAY</v>
      </c>
      <c r="D41" s="16" t="str">
        <f>Project!D61</f>
        <v>JUN</v>
      </c>
      <c r="E41" s="16" t="str">
        <f>Project!E61</f>
        <v>JUL</v>
      </c>
      <c r="F41" s="16" t="str">
        <f>Project!F61</f>
        <v>AUG</v>
      </c>
      <c r="G41" s="16" t="str">
        <f>Project!G61</f>
        <v>SEP</v>
      </c>
      <c r="H41" s="16" t="str">
        <f>Project!H61</f>
        <v>OCT</v>
      </c>
      <c r="I41" s="16" t="str">
        <f>Project!I61</f>
        <v>NOV</v>
      </c>
      <c r="J41" s="16" t="str">
        <f>Project!J61</f>
        <v>DEC</v>
      </c>
      <c r="K41" s="16" t="str">
        <f>Project!K61</f>
        <v>JAN'27</v>
      </c>
      <c r="L41" s="16" t="str">
        <f>Project!L61</f>
        <v>FEB'27</v>
      </c>
      <c r="M41" s="16" t="str">
        <f>Project!M61</f>
        <v>MAR'27</v>
      </c>
      <c r="N41" s="16" t="str">
        <f>Project!N61</f>
        <v>APR'27</v>
      </c>
      <c r="O41" s="16" t="str">
        <f>Project!O61</f>
        <v>MAY'27</v>
      </c>
      <c r="P41" s="16" t="str">
        <f>Project!P61</f>
        <v>JUN'27</v>
      </c>
    </row>
    <row r="42" spans="1:16" x14ac:dyDescent="0.2">
      <c r="A42" s="7" t="str">
        <f>Project!A62</f>
        <v>1.1 PS</v>
      </c>
      <c r="B42" s="7">
        <f>Project!B62</f>
        <v>72.98</v>
      </c>
      <c r="C42" s="7">
        <f>Project!C62</f>
        <v>78.489999999999995</v>
      </c>
      <c r="D42" s="7">
        <f>Project!D62</f>
        <v>73.37</v>
      </c>
      <c r="E42" s="7">
        <f>Project!E62</f>
        <v>75.7</v>
      </c>
      <c r="F42" s="7">
        <f>Project!F62</f>
        <v>84.62</v>
      </c>
      <c r="G42" s="7">
        <f>Project!G62</f>
        <v>80.34</v>
      </c>
      <c r="H42" s="7">
        <f>Project!H62</f>
        <v>76.22</v>
      </c>
      <c r="I42" s="7">
        <f>Project!I62</f>
        <v>72.7</v>
      </c>
      <c r="J42" s="7">
        <f>Project!J62</f>
        <v>71</v>
      </c>
      <c r="K42" s="7">
        <f>Project!K62</f>
        <v>58.02</v>
      </c>
      <c r="L42" s="7">
        <f>Project!L62</f>
        <v>56.99</v>
      </c>
      <c r="M42" s="7">
        <f>Project!M62</f>
        <v>56.99</v>
      </c>
      <c r="N42" s="7">
        <f>Project!N62</f>
        <v>41.74</v>
      </c>
      <c r="O42" s="7">
        <f>Project!O62</f>
        <v>39.08</v>
      </c>
      <c r="P42" s="7">
        <f>Project!P62</f>
        <v>38.4</v>
      </c>
    </row>
    <row r="43" spans="1:16" x14ac:dyDescent="0.2">
      <c r="A43" s="7" t="str">
        <f>Project!A63</f>
        <v>1.2 Product</v>
      </c>
      <c r="B43" s="7">
        <f>Project!B63</f>
        <v>23.63</v>
      </c>
      <c r="C43" s="7">
        <f>Project!C63</f>
        <v>22.68</v>
      </c>
      <c r="D43" s="7">
        <f>Project!D63</f>
        <v>24.44</v>
      </c>
      <c r="E43" s="7">
        <f>Project!E63</f>
        <v>21.08</v>
      </c>
      <c r="F43" s="7">
        <f>Project!F63</f>
        <v>21.48</v>
      </c>
      <c r="G43" s="7">
        <f>Project!G63</f>
        <v>21.11</v>
      </c>
      <c r="H43" s="7">
        <f>Project!H63</f>
        <v>21.95</v>
      </c>
      <c r="I43" s="7">
        <f>Project!I63</f>
        <v>21.76</v>
      </c>
      <c r="J43" s="7">
        <f>Project!J63</f>
        <v>21.96</v>
      </c>
      <c r="K43" s="7">
        <f>Project!K63</f>
        <v>21.06</v>
      </c>
      <c r="L43" s="7">
        <f>Project!L63</f>
        <v>20.97</v>
      </c>
      <c r="M43" s="7">
        <f>Project!M63</f>
        <v>20.62</v>
      </c>
      <c r="N43" s="7">
        <f>Project!N63</f>
        <v>18.23</v>
      </c>
      <c r="O43" s="7">
        <f>Project!O63</f>
        <v>18.100000000000001</v>
      </c>
      <c r="P43" s="7">
        <f>Project!P63</f>
        <v>18.100000000000001</v>
      </c>
    </row>
    <row r="44" spans="1:16" x14ac:dyDescent="0.2">
      <c r="A44" s="7" t="str">
        <f>Project!A64</f>
        <v>2 R&amp;D</v>
      </c>
      <c r="B44" s="7">
        <f>Project!B64</f>
        <v>10.8</v>
      </c>
      <c r="C44" s="7">
        <f>Project!C64</f>
        <v>10.3</v>
      </c>
      <c r="D44" s="7">
        <f>Project!D64</f>
        <v>10.25</v>
      </c>
      <c r="E44" s="7">
        <f>Project!E64</f>
        <v>6.93</v>
      </c>
      <c r="F44" s="7">
        <f>Project!F64</f>
        <v>6.93</v>
      </c>
      <c r="G44" s="7">
        <f>Project!G64</f>
        <v>6.98</v>
      </c>
      <c r="H44" s="7">
        <f>Project!H64</f>
        <v>7.56</v>
      </c>
      <c r="I44" s="7">
        <f>Project!I64</f>
        <v>7.41</v>
      </c>
      <c r="J44" s="7">
        <f>Project!J64</f>
        <v>7.31</v>
      </c>
      <c r="K44" s="7">
        <f>Project!K64</f>
        <v>6.86</v>
      </c>
      <c r="L44" s="7">
        <f>Project!L64</f>
        <v>6.86</v>
      </c>
      <c r="M44" s="7">
        <f>Project!M64</f>
        <v>6.86</v>
      </c>
      <c r="N44" s="7">
        <f>Project!N64</f>
        <v>6.61</v>
      </c>
      <c r="O44" s="7">
        <f>Project!O64</f>
        <v>6.61</v>
      </c>
      <c r="P44" s="7">
        <f>Project!P64</f>
        <v>6.61</v>
      </c>
    </row>
    <row r="45" spans="1:16" x14ac:dyDescent="0.2">
      <c r="A45" t="str">
        <f>Project!A65</f>
        <v>3 Policy</v>
      </c>
      <c r="B45">
        <f>Project!B65</f>
        <v>0.26</v>
      </c>
      <c r="C45">
        <f>Project!C65</f>
        <v>0.21</v>
      </c>
      <c r="D45">
        <f>Project!D65</f>
        <v>0.13</v>
      </c>
      <c r="E45">
        <f>Project!E65</f>
        <v>0.21</v>
      </c>
      <c r="F45">
        <f>Project!F65</f>
        <v>0.22</v>
      </c>
      <c r="G45">
        <f>Project!G65</f>
        <v>0.22</v>
      </c>
      <c r="H45">
        <f>Project!H65</f>
        <v>0.41</v>
      </c>
      <c r="I45">
        <f>Project!I65</f>
        <v>0.41</v>
      </c>
      <c r="J45">
        <f>Project!J65</f>
        <v>0.22</v>
      </c>
      <c r="K45">
        <f>Project!K65</f>
        <v>0.22</v>
      </c>
      <c r="L45">
        <f>Project!L65</f>
        <v>0.22</v>
      </c>
      <c r="M45">
        <f>Project!M65</f>
        <v>0.22</v>
      </c>
      <c r="N45">
        <f>Project!N65</f>
        <v>0.21</v>
      </c>
      <c r="O45">
        <f>Project!O65</f>
        <v>0.21</v>
      </c>
      <c r="P45">
        <f>Project!P65</f>
        <v>0.21</v>
      </c>
    </row>
    <row r="46" spans="1:16" x14ac:dyDescent="0.2">
      <c r="A46" t="str">
        <f>Project!A66</f>
        <v>7 DO Tools</v>
      </c>
      <c r="B46">
        <f>Project!B66</f>
        <v>0.38</v>
      </c>
      <c r="C46">
        <f>Project!C66</f>
        <v>0.75</v>
      </c>
      <c r="D46">
        <f>Project!D66</f>
        <v>0.6</v>
      </c>
      <c r="E46">
        <f>Project!E66</f>
        <v>1.28</v>
      </c>
      <c r="F46">
        <f>Project!F66</f>
        <v>1.1499999999999999</v>
      </c>
      <c r="G46">
        <f>Project!G66</f>
        <v>1.1499999999999999</v>
      </c>
      <c r="H46">
        <f>Project!H66</f>
        <v>1.18</v>
      </c>
      <c r="I46">
        <f>Project!I66</f>
        <v>1.05</v>
      </c>
      <c r="J46">
        <f>Project!J66</f>
        <v>1.18</v>
      </c>
      <c r="K46">
        <f>Project!K66</f>
        <v>0.7</v>
      </c>
      <c r="L46">
        <f>Project!L66</f>
        <v>0.7</v>
      </c>
      <c r="M46">
        <f>Project!M66</f>
        <v>0.7</v>
      </c>
      <c r="N46">
        <f>Project!N66</f>
        <v>0.2</v>
      </c>
      <c r="O46">
        <f>Project!O66</f>
        <v>0.2</v>
      </c>
      <c r="P46">
        <f>Project!P66</f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ALL</vt:lpstr>
      <vt:lpstr>GraphAll</vt:lpstr>
      <vt:lpstr>DV</vt:lpstr>
      <vt:lpstr>GraphDV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  <vt:lpstr>TDE</vt:lpstr>
      <vt:lpstr>GraphTDE</vt:lpstr>
      <vt:lpstr>Project</vt:lpstr>
      <vt:lpstr>GraphPJ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Teerasoradech</cp:lastModifiedBy>
  <dcterms:created xsi:type="dcterms:W3CDTF">2026-05-07T15:51:47Z</dcterms:created>
  <dcterms:modified xsi:type="dcterms:W3CDTF">2026-07-21T08:36:22Z</dcterms:modified>
</cp:coreProperties>
</file>