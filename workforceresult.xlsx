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iintra/Downloads/"/>
    </mc:Choice>
  </mc:AlternateContent>
  <xr:revisionPtr revIDLastSave="0" documentId="13_ncr:1_{9B9E87B0-B56C-2044-8DD5-6A106F9878F9}" xr6:coauthVersionLast="47" xr6:coauthVersionMax="47" xr10:uidLastSave="{00000000-0000-0000-0000-000000000000}"/>
  <bookViews>
    <workbookView xWindow="7920" yWindow="3800" windowWidth="40720" windowHeight="15880" activeTab="2" xr2:uid="{9B62DE01-5AE9-7A46-A5D4-95A9ED94E5A6}"/>
  </bookViews>
  <sheets>
    <sheet name="ALL" sheetId="1" r:id="rId1"/>
    <sheet name="GraphAll" sheetId="3" r:id="rId2"/>
    <sheet name="DV" sheetId="15" r:id="rId3"/>
    <sheet name="GraphDV" sheetId="16" r:id="rId4"/>
    <sheet name="CPS" sheetId="2" r:id="rId5"/>
    <sheet name="GraphCPS" sheetId="4" r:id="rId6"/>
    <sheet name="PSE" sheetId="5" r:id="rId7"/>
    <sheet name="GraphPSE" sheetId="6" r:id="rId8"/>
    <sheet name="SD" sheetId="7" r:id="rId9"/>
    <sheet name="GraphSD" sheetId="8" r:id="rId10"/>
    <sheet name="AIC" sheetId="9" r:id="rId11"/>
    <sheet name="GraphAIC" sheetId="10" r:id="rId12"/>
    <sheet name="TDE" sheetId="11" r:id="rId13"/>
    <sheet name="GraphTDE" sheetId="12" r:id="rId14"/>
    <sheet name="Project" sheetId="13" r:id="rId15"/>
    <sheet name="GraphPJ" sheetId="14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4" i="16" l="1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N4" i="16"/>
  <c r="M4" i="16"/>
  <c r="L4" i="16"/>
  <c r="K4" i="16"/>
  <c r="K163" i="16" s="1"/>
  <c r="J4" i="16"/>
  <c r="J163" i="16" s="1"/>
  <c r="I4" i="16"/>
  <c r="I163" i="16" s="1"/>
  <c r="H4" i="16"/>
  <c r="G4" i="16"/>
  <c r="F4" i="16"/>
  <c r="E4" i="16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O2" i="16"/>
  <c r="N2" i="16"/>
  <c r="N162" i="16" s="1"/>
  <c r="M2" i="16"/>
  <c r="M162" i="16" s="1"/>
  <c r="L2" i="16"/>
  <c r="L162" i="16" s="1"/>
  <c r="K2" i="16"/>
  <c r="K162" i="16" s="1"/>
  <c r="J2" i="16"/>
  <c r="I2" i="16"/>
  <c r="H2" i="16"/>
  <c r="G2" i="16"/>
  <c r="F2" i="16"/>
  <c r="E2" i="16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O163" i="16"/>
  <c r="N163" i="16"/>
  <c r="M163" i="16"/>
  <c r="L163" i="16"/>
  <c r="H163" i="16"/>
  <c r="G163" i="16"/>
  <c r="F163" i="16"/>
  <c r="E163" i="16"/>
  <c r="A163" i="16"/>
  <c r="P162" i="16"/>
  <c r="O162" i="16"/>
  <c r="J162" i="16"/>
  <c r="I162" i="16"/>
  <c r="H162" i="16"/>
  <c r="G162" i="16"/>
  <c r="F162" i="16"/>
  <c r="E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A86" i="12"/>
  <c r="F85" i="12"/>
  <c r="E85" i="12"/>
  <c r="D85" i="12"/>
  <c r="C85" i="12"/>
  <c r="B85" i="12"/>
  <c r="A76" i="12"/>
  <c r="F75" i="12"/>
  <c r="E75" i="12"/>
  <c r="D75" i="12"/>
  <c r="C75" i="12"/>
  <c r="B75" i="12"/>
  <c r="A66" i="12"/>
  <c r="F65" i="12"/>
  <c r="E65" i="12"/>
  <c r="D65" i="12"/>
  <c r="C65" i="12"/>
  <c r="B65" i="12"/>
  <c r="A56" i="12"/>
  <c r="F55" i="12"/>
  <c r="E55" i="12"/>
  <c r="D55" i="12"/>
  <c r="C55" i="12"/>
  <c r="B55" i="12"/>
  <c r="A96" i="10"/>
  <c r="F95" i="10"/>
  <c r="E95" i="10"/>
  <c r="D95" i="10"/>
  <c r="C95" i="10"/>
  <c r="B95" i="10"/>
  <c r="A86" i="10"/>
  <c r="F85" i="10"/>
  <c r="E85" i="10"/>
  <c r="D85" i="10"/>
  <c r="C85" i="10"/>
  <c r="B85" i="10"/>
  <c r="A76" i="10"/>
  <c r="F75" i="10"/>
  <c r="E75" i="10"/>
  <c r="D75" i="10"/>
  <c r="C75" i="10"/>
  <c r="B75" i="10"/>
  <c r="A66" i="10"/>
  <c r="F65" i="10"/>
  <c r="E65" i="10"/>
  <c r="D65" i="10"/>
  <c r="C65" i="10"/>
  <c r="B65" i="10"/>
  <c r="A56" i="10"/>
  <c r="F55" i="10"/>
  <c r="E55" i="10"/>
  <c r="D55" i="10"/>
  <c r="C55" i="10"/>
  <c r="B55" i="10"/>
  <c r="A136" i="8"/>
  <c r="F135" i="8"/>
  <c r="E135" i="8"/>
  <c r="D135" i="8"/>
  <c r="C135" i="8"/>
  <c r="B135" i="8"/>
  <c r="A126" i="8"/>
  <c r="F125" i="8"/>
  <c r="E125" i="8"/>
  <c r="D125" i="8"/>
  <c r="C125" i="8"/>
  <c r="B125" i="8"/>
  <c r="A116" i="8"/>
  <c r="F115" i="8"/>
  <c r="E115" i="8"/>
  <c r="D115" i="8"/>
  <c r="C115" i="8"/>
  <c r="B115" i="8"/>
  <c r="A106" i="8"/>
  <c r="F105" i="8"/>
  <c r="E105" i="8"/>
  <c r="D105" i="8"/>
  <c r="C105" i="8"/>
  <c r="B105" i="8"/>
  <c r="A96" i="8"/>
  <c r="F95" i="8"/>
  <c r="E95" i="8"/>
  <c r="D95" i="8"/>
  <c r="C95" i="8"/>
  <c r="B95" i="8"/>
  <c r="A86" i="8"/>
  <c r="F85" i="8"/>
  <c r="E85" i="8"/>
  <c r="D85" i="8"/>
  <c r="C85" i="8"/>
  <c r="B85" i="8"/>
  <c r="A76" i="8"/>
  <c r="F75" i="8"/>
  <c r="E75" i="8"/>
  <c r="D75" i="8"/>
  <c r="C75" i="8"/>
  <c r="B75" i="8"/>
  <c r="A66" i="8"/>
  <c r="F65" i="8"/>
  <c r="E65" i="8"/>
  <c r="D65" i="8"/>
  <c r="C65" i="8"/>
  <c r="B65" i="8"/>
  <c r="A56" i="8"/>
  <c r="F55" i="8"/>
  <c r="E55" i="8"/>
  <c r="D55" i="8"/>
  <c r="C55" i="8"/>
  <c r="B55" i="8"/>
  <c r="A66" i="6"/>
  <c r="F65" i="6"/>
  <c r="E65" i="6"/>
  <c r="D65" i="6"/>
  <c r="C65" i="6"/>
  <c r="B65" i="6"/>
  <c r="A56" i="6"/>
  <c r="F55" i="6"/>
  <c r="E55" i="6"/>
  <c r="D55" i="6"/>
  <c r="C55" i="6"/>
  <c r="B55" i="6"/>
  <c r="A66" i="4"/>
  <c r="F65" i="4"/>
  <c r="E65" i="4"/>
  <c r="D65" i="4"/>
  <c r="C65" i="4"/>
  <c r="B65" i="4"/>
  <c r="C55" i="4"/>
  <c r="D55" i="4"/>
  <c r="E55" i="4"/>
  <c r="F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B84" i="12" s="1"/>
  <c r="C82" i="12"/>
  <c r="C84" i="12" s="1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I84" i="12" s="1"/>
  <c r="J82" i="12"/>
  <c r="J84" i="12" s="1"/>
  <c r="K82" i="12"/>
  <c r="K84" i="12" s="1"/>
  <c r="L82" i="12"/>
  <c r="L84" i="12" s="1"/>
  <c r="M82" i="12"/>
  <c r="M84" i="12" s="1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D86" i="12" s="1"/>
  <c r="I83" i="12"/>
  <c r="J83" i="12"/>
  <c r="K83" i="12"/>
  <c r="E86" i="12" s="1"/>
  <c r="L83" i="12"/>
  <c r="M83" i="12"/>
  <c r="N83" i="12"/>
  <c r="F86" i="12" s="1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G74" i="12" s="1"/>
  <c r="H72" i="12"/>
  <c r="H74" i="12" s="1"/>
  <c r="I72" i="12"/>
  <c r="I74" i="12" s="1"/>
  <c r="J72" i="12"/>
  <c r="J74" i="12" s="1"/>
  <c r="K72" i="12"/>
  <c r="K74" i="12" s="1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B76" i="12" s="1"/>
  <c r="C73" i="12"/>
  <c r="D73" i="12"/>
  <c r="E73" i="12"/>
  <c r="C76" i="12" s="1"/>
  <c r="F73" i="12"/>
  <c r="G73" i="12"/>
  <c r="H73" i="12"/>
  <c r="D76" i="12" s="1"/>
  <c r="I73" i="12"/>
  <c r="J73" i="12"/>
  <c r="K73" i="12"/>
  <c r="E76" i="12" s="1"/>
  <c r="L73" i="12"/>
  <c r="M73" i="12"/>
  <c r="N73" i="12"/>
  <c r="F76" i="12" s="1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F66" i="12" s="1"/>
  <c r="M63" i="12"/>
  <c r="L63" i="12"/>
  <c r="E66" i="12" s="1"/>
  <c r="K63" i="12"/>
  <c r="J63" i="12"/>
  <c r="I63" i="12"/>
  <c r="H63" i="12"/>
  <c r="D66" i="12" s="1"/>
  <c r="G63" i="12"/>
  <c r="F63" i="12"/>
  <c r="E63" i="12"/>
  <c r="C66" i="12" s="1"/>
  <c r="D63" i="12"/>
  <c r="C63" i="12"/>
  <c r="B63" i="12"/>
  <c r="B66" i="12" s="1"/>
  <c r="A63" i="12"/>
  <c r="P62" i="12"/>
  <c r="P64" i="12" s="1"/>
  <c r="O62" i="12"/>
  <c r="O64" i="12" s="1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G64" i="12" s="1"/>
  <c r="F62" i="12"/>
  <c r="F64" i="12" s="1"/>
  <c r="E62" i="12"/>
  <c r="E64" i="12" s="1"/>
  <c r="D62" i="12"/>
  <c r="D64" i="12" s="1"/>
  <c r="C62" i="12"/>
  <c r="C64" i="12" s="1"/>
  <c r="B62" i="12"/>
  <c r="B64" i="12" s="1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F56" i="12" s="1"/>
  <c r="M53" i="12"/>
  <c r="L53" i="12"/>
  <c r="K53" i="12"/>
  <c r="E56" i="12" s="1"/>
  <c r="J53" i="12"/>
  <c r="I53" i="12"/>
  <c r="H53" i="12"/>
  <c r="D56" i="12" s="1"/>
  <c r="G53" i="12"/>
  <c r="F53" i="12"/>
  <c r="E53" i="12"/>
  <c r="C56" i="12" s="1"/>
  <c r="D53" i="12"/>
  <c r="C53" i="12"/>
  <c r="B53" i="12"/>
  <c r="B56" i="12" s="1"/>
  <c r="A53" i="12"/>
  <c r="P52" i="12"/>
  <c r="P54" i="12" s="1"/>
  <c r="O52" i="12"/>
  <c r="O54" i="12" s="1"/>
  <c r="N52" i="12"/>
  <c r="N54" i="12" s="1"/>
  <c r="M52" i="12"/>
  <c r="M54" i="12" s="1"/>
  <c r="L52" i="12"/>
  <c r="L54" i="12" s="1"/>
  <c r="K52" i="12"/>
  <c r="K54" i="12" s="1"/>
  <c r="J52" i="12"/>
  <c r="J54" i="12" s="1"/>
  <c r="I52" i="12"/>
  <c r="I54" i="12" s="1"/>
  <c r="H52" i="12"/>
  <c r="H54" i="12" s="1"/>
  <c r="G52" i="12"/>
  <c r="G54" i="12" s="1"/>
  <c r="F52" i="12"/>
  <c r="F54" i="12" s="1"/>
  <c r="E52" i="12"/>
  <c r="E54" i="12" s="1"/>
  <c r="D52" i="12"/>
  <c r="D54" i="12" s="1"/>
  <c r="C52" i="12"/>
  <c r="C54" i="12" s="1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I94" i="10" s="1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G84" i="10" s="1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E74" i="10" s="1"/>
  <c r="F72" i="10"/>
  <c r="G72" i="10"/>
  <c r="H72" i="10"/>
  <c r="H74" i="10" s="1"/>
  <c r="I72" i="10"/>
  <c r="J72" i="10"/>
  <c r="K72" i="10"/>
  <c r="L72" i="10"/>
  <c r="M72" i="10"/>
  <c r="N72" i="10"/>
  <c r="O72" i="10"/>
  <c r="O74" i="10" s="1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C64" i="10" s="1"/>
  <c r="D62" i="10"/>
  <c r="E62" i="10"/>
  <c r="F62" i="10"/>
  <c r="F64" i="10" s="1"/>
  <c r="G62" i="10"/>
  <c r="H62" i="10"/>
  <c r="I62" i="10"/>
  <c r="J62" i="10"/>
  <c r="K62" i="10"/>
  <c r="L62" i="10"/>
  <c r="M62" i="10"/>
  <c r="M64" i="10" s="1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K54" i="10" s="1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C64" i="8" s="1"/>
  <c r="D62" i="8"/>
  <c r="E62" i="8"/>
  <c r="F62" i="8"/>
  <c r="G62" i="8"/>
  <c r="H62" i="8"/>
  <c r="I62" i="8"/>
  <c r="J62" i="8"/>
  <c r="K62" i="8"/>
  <c r="L62" i="8"/>
  <c r="L64" i="8" s="1"/>
  <c r="M62" i="8"/>
  <c r="M64" i="8" s="1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B74" i="8" s="1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C64" i="4" s="1"/>
  <c r="D62" i="4"/>
  <c r="E62" i="4"/>
  <c r="F62" i="4"/>
  <c r="G62" i="4"/>
  <c r="H62" i="4"/>
  <c r="I62" i="4"/>
  <c r="J62" i="4"/>
  <c r="J64" i="4" s="1"/>
  <c r="K62" i="4"/>
  <c r="L62" i="4"/>
  <c r="M62" i="4"/>
  <c r="M64" i="4" s="1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J54" i="4" s="1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O54" i="4" s="1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K74" i="10" l="1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<sst xmlns="http://schemas.openxmlformats.org/spreadsheetml/2006/main" count="895" uniqueCount="145">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</sst>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  <xf numFmtId="0" fontId="0" fillId="2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4" workbookViewId="0">
      <selection activeCell="I28" sqref="I2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152</v>
      </c>
      <c r="H2" s="8">
        <v>151</v>
      </c>
      <c r="I2" s="8">
        <v>150</v>
      </c>
      <c r="J2" s="8">
        <v>150</v>
      </c>
      <c r="K2" s="8">
        <v>150</v>
      </c>
      <c r="L2" s="8">
        <v>150</v>
      </c>
      <c r="M2" s="8">
        <v>150</v>
      </c>
      <c r="N2" s="8">
        <v>150</v>
      </c>
      <c r="O2" s="8">
        <v>150</v>
      </c>
      <c r="P2" s="8">
        <v>150</v>
      </c>
      <c r="Q2" s="8">
        <v>150</v>
      </c>
    </row>
    <row r="3" spans="1:17" x14ac:dyDescent="0.2">
      <c r="A3" s="12" t="s">
        <v>22</v>
      </c>
      <c r="B3" s="9" t="s">
        <v>17</v>
      </c>
      <c r="C3" s="8">
        <v>150</v>
      </c>
      <c r="D3" s="8">
        <v>150</v>
      </c>
      <c r="E3" s="8">
        <v>150</v>
      </c>
      <c r="F3" s="8">
        <v>150</v>
      </c>
      <c r="G3" s="8">
        <v>150</v>
      </c>
      <c r="H3" s="8">
        <v>150</v>
      </c>
      <c r="I3" s="8">
        <v>150</v>
      </c>
      <c r="J3" s="8">
        <v>150</v>
      </c>
      <c r="K3" s="8">
        <v>150</v>
      </c>
      <c r="L3" s="8">
        <v>150</v>
      </c>
      <c r="M3" s="8">
        <v>150</v>
      </c>
      <c r="N3" s="8">
        <v>150</v>
      </c>
      <c r="O3" s="8">
        <v>150</v>
      </c>
      <c r="P3" s="8">
        <v>150</v>
      </c>
      <c r="Q3" s="8">
        <v>150</v>
      </c>
    </row>
    <row r="4" spans="1:17" x14ac:dyDescent="0.2">
      <c r="A4" s="13" t="s">
        <v>22</v>
      </c>
      <c r="B4" s="10" t="s">
        <v>18</v>
      </c>
      <c r="C4" s="8">
        <v>130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131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0.88139999999999996</v>
      </c>
      <c r="D6" s="19">
        <v>0.93569999999999998</v>
      </c>
      <c r="E6" s="19">
        <v>0.95509999999999995</v>
      </c>
      <c r="F6" s="19">
        <v>0.94579999999999997</v>
      </c>
      <c r="G6" s="19">
        <v>0.96530000000000005</v>
      </c>
      <c r="H6" s="19">
        <v>0.95079999999999998</v>
      </c>
      <c r="I6" s="19">
        <v>0.95050000000000001</v>
      </c>
      <c r="J6" s="19">
        <v>0.93310000000000004</v>
      </c>
      <c r="K6" s="19">
        <v>0.92679999999999996</v>
      </c>
      <c r="L6" s="19">
        <v>0.88319999999999999</v>
      </c>
      <c r="M6" s="19">
        <v>0.87150000000000005</v>
      </c>
      <c r="N6" s="19">
        <v>0.86650000000000005</v>
      </c>
      <c r="O6" s="19">
        <v>0.6976</v>
      </c>
      <c r="P6" s="19">
        <v>0.6956</v>
      </c>
      <c r="Q6" s="19">
        <v>0.6956</v>
      </c>
    </row>
    <row r="7" spans="1:17" x14ac:dyDescent="0.2">
      <c r="A7" s="17"/>
      <c r="B7" s="18" t="s">
        <v>24</v>
      </c>
      <c r="C7" s="20">
        <v>18</v>
      </c>
      <c r="D7" s="20">
        <v>10</v>
      </c>
      <c r="E7" s="20">
        <v>7</v>
      </c>
      <c r="F7" s="20">
        <v>8</v>
      </c>
      <c r="G7" s="20">
        <v>5</v>
      </c>
      <c r="H7" s="20">
        <v>7</v>
      </c>
      <c r="I7" s="20">
        <v>7</v>
      </c>
      <c r="J7" s="20">
        <v>10</v>
      </c>
      <c r="K7" s="20">
        <v>11</v>
      </c>
      <c r="L7" s="20">
        <v>18</v>
      </c>
      <c r="M7" s="20">
        <v>19</v>
      </c>
      <c r="N7" s="20">
        <v>20</v>
      </c>
      <c r="O7" s="20">
        <v>45</v>
      </c>
      <c r="P7" s="20">
        <v>46</v>
      </c>
      <c r="Q7" s="20">
        <v>46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119</v>
      </c>
      <c r="H9" s="8">
        <v>118</v>
      </c>
      <c r="I9" s="8">
        <v>117</v>
      </c>
      <c r="J9" s="8">
        <v>117</v>
      </c>
      <c r="K9" s="8">
        <v>117</v>
      </c>
      <c r="L9" s="8">
        <v>117</v>
      </c>
      <c r="M9" s="8">
        <v>117</v>
      </c>
      <c r="N9" s="8">
        <v>117</v>
      </c>
      <c r="O9" s="8">
        <v>117</v>
      </c>
      <c r="P9" s="8">
        <v>117</v>
      </c>
      <c r="Q9" s="8">
        <v>117</v>
      </c>
    </row>
    <row r="10" spans="1:17" x14ac:dyDescent="0.2">
      <c r="A10" s="9" t="s">
        <v>17</v>
      </c>
      <c r="B10" s="12" t="s">
        <v>19</v>
      </c>
      <c r="C10" s="8">
        <v>118</v>
      </c>
      <c r="D10" s="8">
        <v>118</v>
      </c>
      <c r="E10" s="8">
        <v>118</v>
      </c>
      <c r="F10" s="8">
        <v>117</v>
      </c>
      <c r="G10" s="8">
        <v>117</v>
      </c>
      <c r="H10" s="8">
        <v>117</v>
      </c>
      <c r="I10" s="8">
        <v>117</v>
      </c>
      <c r="J10" s="8">
        <v>117</v>
      </c>
      <c r="K10" s="8">
        <v>117</v>
      </c>
      <c r="L10" s="8">
        <v>117</v>
      </c>
      <c r="M10" s="8">
        <v>117</v>
      </c>
      <c r="N10" s="8">
        <v>117</v>
      </c>
      <c r="O10" s="8">
        <v>117</v>
      </c>
      <c r="P10" s="8">
        <v>117</v>
      </c>
      <c r="Q10" s="8">
        <v>117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106</v>
      </c>
      <c r="K11" s="8">
        <v>104</v>
      </c>
      <c r="L11" s="8">
        <v>101</v>
      </c>
      <c r="M11" s="8">
        <v>99</v>
      </c>
      <c r="N11" s="8">
        <v>99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19</v>
      </c>
      <c r="J15" s="8">
        <v>19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70">
        <v>11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  <c r="G23" s="70">
        <v>132.74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151</v>
      </c>
      <c r="E32" s="21">
        <v>150</v>
      </c>
      <c r="F32" s="21">
        <v>150</v>
      </c>
      <c r="G32" s="21">
        <v>150</v>
      </c>
      <c r="H32" s="21"/>
    </row>
    <row r="33" spans="1:8" x14ac:dyDescent="0.2">
      <c r="A33" s="12" t="s">
        <v>22</v>
      </c>
      <c r="B33" s="9" t="s">
        <v>17</v>
      </c>
      <c r="C33" s="26">
        <v>150</v>
      </c>
      <c r="D33" s="21">
        <v>150</v>
      </c>
      <c r="E33" s="21">
        <v>150</v>
      </c>
      <c r="F33" s="21">
        <v>150</v>
      </c>
      <c r="G33" s="21">
        <v>150</v>
      </c>
      <c r="H33" s="21"/>
    </row>
    <row r="34" spans="1:8" x14ac:dyDescent="0.2">
      <c r="A34" s="13" t="s">
        <v>22</v>
      </c>
      <c r="B34" s="10" t="s">
        <v>18</v>
      </c>
      <c r="C34" s="26">
        <v>137</v>
      </c>
      <c r="D34" s="21">
        <v>144</v>
      </c>
      <c r="E34" s="21">
        <v>141</v>
      </c>
      <c r="F34" s="21">
        <v>131</v>
      </c>
      <c r="G34" s="21">
        <v>104</v>
      </c>
      <c r="H34" s="21"/>
    </row>
    <row r="35" spans="1:8" x14ac:dyDescent="0.2">
      <c r="A35" s="17"/>
      <c r="B35" s="8"/>
      <c r="C35" s="27">
        <v>7.5899999999999995E-2</v>
      </c>
      <c r="D35" s="28">
        <v>4.5999999999999999E-2</v>
      </c>
      <c r="E35" s="28">
        <v>6.3200000000000006E-2</v>
      </c>
      <c r="F35" s="28">
        <v>0.1263</v>
      </c>
      <c r="G35" s="28">
        <v>0.30370000000000003</v>
      </c>
      <c r="H35" s="8"/>
    </row>
    <row r="36" spans="1:8" x14ac:dyDescent="0.2">
      <c r="A36" s="8"/>
      <c r="B36" s="18" t="s">
        <v>23</v>
      </c>
      <c r="C36" s="29">
        <v>0.92410000000000003</v>
      </c>
      <c r="D36" s="19">
        <v>0.95399999999999996</v>
      </c>
      <c r="E36" s="19">
        <v>0.93679999999999997</v>
      </c>
      <c r="F36" s="19">
        <v>0.87380000000000002</v>
      </c>
      <c r="G36" s="19">
        <v>0.69630000000000003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7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118</v>
      </c>
      <c r="E39" s="21">
        <v>117</v>
      </c>
      <c r="F39" s="21">
        <v>117</v>
      </c>
      <c r="G39" s="21">
        <v>117</v>
      </c>
      <c r="H39" s="21"/>
    </row>
    <row r="40" spans="1:8" x14ac:dyDescent="0.2">
      <c r="A40" s="9" t="s">
        <v>17</v>
      </c>
      <c r="B40" s="12" t="s">
        <v>19</v>
      </c>
      <c r="C40" s="26">
        <v>118</v>
      </c>
      <c r="D40" s="21">
        <v>117</v>
      </c>
      <c r="E40" s="21">
        <v>117</v>
      </c>
      <c r="F40" s="21">
        <v>117</v>
      </c>
      <c r="G40" s="21">
        <v>117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106</v>
      </c>
      <c r="F41" s="21">
        <v>100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19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B6" sqref="B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152</v>
      </c>
      <c r="G2">
        <f>IF(ALL!H2&gt;0,ALL!H2,"")</f>
        <v>151</v>
      </c>
      <c r="H2">
        <f>IF(ALL!I2&gt;0,ALL!I2,"")</f>
        <v>150</v>
      </c>
      <c r="I2">
        <f>IF(ALL!J2&gt;0,ALL!J2,"")</f>
        <v>150</v>
      </c>
      <c r="J2">
        <f>IF(ALL!K2&gt;0,ALL!K2,"")</f>
        <v>150</v>
      </c>
      <c r="K2">
        <f>IF(ALL!L2&gt;0,ALL!L2,"")</f>
        <v>150</v>
      </c>
      <c r="L2">
        <f>IF(ALL!M2&gt;0,ALL!M2,"")</f>
        <v>150</v>
      </c>
      <c r="M2">
        <f>IF(ALL!N2&gt;0,ALL!N2,"")</f>
        <v>150</v>
      </c>
      <c r="N2">
        <f>IF(ALL!O2&gt;0,ALL!O2,"")</f>
        <v>150</v>
      </c>
      <c r="O2">
        <f>IF(ALL!P2&gt;0,ALL!P2,"")</f>
        <v>150</v>
      </c>
      <c r="P2">
        <f>IF(ALL!Q2&gt;0,ALL!Q2,"")</f>
        <v>150</v>
      </c>
    </row>
    <row r="3" spans="1:16" x14ac:dyDescent="0.2">
      <c r="A3" t="str">
        <f>IF(ALL!B3&gt;0,ALL!B3,"")</f>
        <v>Staff AVG</v>
      </c>
      <c r="B3">
        <f>IF(ALL!C3&gt;0,ALL!C3,"")</f>
        <v>150</v>
      </c>
      <c r="C3">
        <f>IF(ALL!D3&gt;0,ALL!D3,"")</f>
        <v>150</v>
      </c>
      <c r="D3">
        <f>IF(ALL!E3&gt;0,ALL!E3,"")</f>
        <v>150</v>
      </c>
      <c r="E3">
        <f>IF(ALL!F3&gt;0,ALL!F3,"")</f>
        <v>150</v>
      </c>
      <c r="F3">
        <f>IF(ALL!G3&gt;0,ALL!G3,"")</f>
        <v>150</v>
      </c>
      <c r="G3">
        <f>IF(ALL!H3&gt;0,ALL!H3,"")</f>
        <v>150</v>
      </c>
      <c r="H3">
        <f>IF(ALL!I3&gt;0,ALL!I3,"")</f>
        <v>150</v>
      </c>
      <c r="I3">
        <f>IF(ALL!J3&gt;0,ALL!J3,"")</f>
        <v>150</v>
      </c>
      <c r="J3">
        <f>IF(ALL!K3&gt;0,ALL!K3,"")</f>
        <v>150</v>
      </c>
      <c r="K3">
        <f>IF(ALL!L3&gt;0,ALL!L3,"")</f>
        <v>150</v>
      </c>
      <c r="L3">
        <f>IF(ALL!M3&gt;0,ALL!M3,"")</f>
        <v>150</v>
      </c>
      <c r="M3">
        <f>IF(ALL!N3&gt;0,ALL!N3,"")</f>
        <v>150</v>
      </c>
      <c r="N3">
        <f>IF(ALL!O3&gt;0,ALL!O3,"")</f>
        <v>150</v>
      </c>
      <c r="O3">
        <f>IF(ALL!P3&gt;0,ALL!P3,"")</f>
        <v>150</v>
      </c>
      <c r="P3">
        <f>IF(ALL!Q3&gt;0,ALL!Q3,"")</f>
        <v>150</v>
      </c>
    </row>
    <row r="4" spans="1:16" x14ac:dyDescent="0.2">
      <c r="A4" t="str">
        <f>IF(ALL!B4&gt;0,ALL!B4,"")</f>
        <v>Plan</v>
      </c>
      <c r="B4">
        <f>IF(ALL!C4&gt;0,ALL!C4,"")</f>
        <v>130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131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106</v>
      </c>
      <c r="J5">
        <f>IF(ALL!K11&gt;0,ALL!K11,"")</f>
        <v>104</v>
      </c>
      <c r="K5">
        <f>IF(ALL!L11&gt;0,ALL!L11,"")</f>
        <v>101</v>
      </c>
      <c r="L5">
        <f>IF(ALL!M11&gt;0,ALL!M11,"")</f>
        <v>99</v>
      </c>
      <c r="M5">
        <f>IF(ALL!N11&gt;0,ALL!N11,"")</f>
        <v>99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19</v>
      </c>
      <c r="I6">
        <f>IF(ALL!J15&gt;0,ALL!J15,"")</f>
        <v>19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119</v>
      </c>
      <c r="G12">
        <f>IF(ALL!H9&gt;0,ALL!H9,"")</f>
        <v>118</v>
      </c>
      <c r="H12">
        <f>IF(ALL!I9&gt;0,ALL!I9,"")</f>
        <v>117</v>
      </c>
      <c r="I12">
        <f>IF(ALL!J9&gt;0,ALL!J9,"")</f>
        <v>117</v>
      </c>
      <c r="J12">
        <f>IF(ALL!K9&gt;0,ALL!K9,"")</f>
        <v>117</v>
      </c>
      <c r="K12">
        <f>IF(ALL!L9&gt;0,ALL!L9,"")</f>
        <v>117</v>
      </c>
      <c r="L12">
        <f>IF(ALL!M9&gt;0,ALL!M9,"")</f>
        <v>117</v>
      </c>
      <c r="M12">
        <f>IF(ALL!N9&gt;0,ALL!N9,"")</f>
        <v>117</v>
      </c>
      <c r="N12">
        <f>IF(ALL!O9&gt;0,ALL!O9,"")</f>
        <v>117</v>
      </c>
      <c r="O12">
        <f>IF(ALL!P9&gt;0,ALL!P9,"")</f>
        <v>117</v>
      </c>
      <c r="P12">
        <f>IF(ALL!Q9&gt;0,ALL!Q9,"")</f>
        <v>117</v>
      </c>
    </row>
    <row r="13" spans="1:16" x14ac:dyDescent="0.2">
      <c r="A13" t="str">
        <f>IF(ALL!A10&gt;0,ALL!A10,"")</f>
        <v>Staff AVG</v>
      </c>
      <c r="B13">
        <f>IF(ALL!C10&gt;0,ALL!C10,"")</f>
        <v>118</v>
      </c>
      <c r="C13">
        <f>IF(ALL!D10&gt;0,ALL!D10,"")</f>
        <v>118</v>
      </c>
      <c r="D13">
        <f>IF(ALL!E10&gt;0,ALL!E10,"")</f>
        <v>118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106</v>
      </c>
      <c r="J14">
        <f>IF(ALL!K11&gt;0,ALL!K11,"")</f>
        <v>104</v>
      </c>
      <c r="K14">
        <f>IF(ALL!L11&gt;0,ALL!L11,"")</f>
        <v>101</v>
      </c>
      <c r="L14">
        <f>IF(ALL!M11&gt;0,ALL!M11,"")</f>
        <v>99</v>
      </c>
      <c r="M14">
        <f>IF(ALL!N11&gt;0,ALL!N11,"")</f>
        <v>99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19</v>
      </c>
      <c r="I24">
        <f>IF(ALL!J15&gt;0,ALL!J15,"")</f>
        <v>19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151</v>
      </c>
      <c r="D42">
        <f>IF(ALL!E32&gt;0,ALL!E32,"")</f>
        <v>150</v>
      </c>
      <c r="E42">
        <f>IF(ALL!F32&gt;0,ALL!F32,"")</f>
        <v>150</v>
      </c>
      <c r="F42">
        <f>IF(ALL!G32&gt;0,ALL!G32,"")</f>
        <v>150</v>
      </c>
    </row>
    <row r="43" spans="1:16" x14ac:dyDescent="0.2">
      <c r="A43" t="str">
        <f>IF(ALL!B33&gt;0,ALL!B33,"")</f>
        <v>Staff AVG</v>
      </c>
      <c r="B43">
        <f>IF(ALL!C33&gt;0,ALL!C33,"")</f>
        <v>150</v>
      </c>
      <c r="C43">
        <f>IF(ALL!D33&gt;0,ALL!D33,"")</f>
        <v>150</v>
      </c>
      <c r="D43">
        <f>IF(ALL!E33&gt;0,ALL!E33,"")</f>
        <v>150</v>
      </c>
      <c r="E43">
        <f>IF(ALL!F33&gt;0,ALL!F33,"")</f>
        <v>150</v>
      </c>
      <c r="F43">
        <f>IF(ALL!G33&gt;0,ALL!G33,"")</f>
        <v>150</v>
      </c>
    </row>
    <row r="44" spans="1:16" x14ac:dyDescent="0.2">
      <c r="A44" t="str">
        <f>IF(ALL!B34&gt;0,ALL!B34,"")</f>
        <v>Plan</v>
      </c>
      <c r="B44">
        <f>IF(ALL!C34&gt;0,ALL!C34,"")</f>
        <v>137</v>
      </c>
      <c r="C44">
        <f>IF(ALL!D34&gt;0,ALL!D34,"")</f>
        <v>144</v>
      </c>
      <c r="D44">
        <f>IF(ALL!E34&gt;0,ALL!E34,"")</f>
        <v>141</v>
      </c>
      <c r="E44">
        <f>IF(ALL!F34&gt;0,ALL!F34,"")</f>
        <v>131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106</v>
      </c>
      <c r="E45">
        <f>IF(ALL!F41&gt;0,ALL!F41,"")</f>
        <v>100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19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88.14</v>
      </c>
      <c r="C152">
        <f>ALL!D6*100</f>
        <v>93.57</v>
      </c>
      <c r="D152">
        <f>ALL!E6*100</f>
        <v>95.509999999999991</v>
      </c>
      <c r="E152">
        <f>ALL!F6*100</f>
        <v>94.58</v>
      </c>
      <c r="F152">
        <f>ALL!G6*100</f>
        <v>96.53</v>
      </c>
      <c r="G152">
        <f>ALL!H6*100</f>
        <v>95.08</v>
      </c>
      <c r="H152">
        <f>ALL!I6*100</f>
        <v>95.05</v>
      </c>
      <c r="I152">
        <f>ALL!J6*100</f>
        <v>93.31</v>
      </c>
      <c r="J152">
        <f>ALL!K6*100</f>
        <v>92.679999999999993</v>
      </c>
      <c r="K152">
        <f>ALL!L6*100</f>
        <v>88.32</v>
      </c>
      <c r="L152">
        <f>ALL!M6*100</f>
        <v>87.15</v>
      </c>
      <c r="M152">
        <f>ALL!N6*100</f>
        <v>86.65</v>
      </c>
      <c r="N152">
        <f>ALL!O6*100</f>
        <v>69.760000000000005</v>
      </c>
      <c r="O152">
        <f>ALL!P6*100</f>
        <v>69.56</v>
      </c>
      <c r="P152">
        <f>ALL!Q6*100</f>
        <v>69.56</v>
      </c>
    </row>
    <row r="153" spans="1:16" x14ac:dyDescent="0.2">
      <c r="A153" t="str">
        <f>ALL!B7</f>
        <v>Available FTE</v>
      </c>
      <c r="B153">
        <f>ALL!C7</f>
        <v>18</v>
      </c>
      <c r="C153">
        <f>ALL!D7</f>
        <v>10</v>
      </c>
      <c r="D153">
        <f>ALL!E7</f>
        <v>7</v>
      </c>
      <c r="E153">
        <f>ALL!F7</f>
        <v>8</v>
      </c>
      <c r="F153">
        <f>ALL!G7</f>
        <v>5</v>
      </c>
      <c r="G153">
        <f>ALL!H7</f>
        <v>7</v>
      </c>
      <c r="H153">
        <f>ALL!I7</f>
        <v>7</v>
      </c>
      <c r="I153">
        <f>ALL!J7</f>
        <v>10</v>
      </c>
      <c r="J153">
        <f>ALL!K7</f>
        <v>11</v>
      </c>
      <c r="K153">
        <f>ALL!L7</f>
        <v>18</v>
      </c>
      <c r="L153">
        <f>ALL!M7</f>
        <v>19</v>
      </c>
      <c r="M153">
        <f>ALL!N7</f>
        <v>20</v>
      </c>
      <c r="N153">
        <f>ALL!O7</f>
        <v>45</v>
      </c>
      <c r="O153">
        <f>ALL!P7</f>
        <v>46</v>
      </c>
      <c r="P153">
        <f>ALL!Q7</f>
        <v>46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92.41</v>
      </c>
      <c r="C156">
        <f>ALL!D36*100</f>
        <v>95.399999999999991</v>
      </c>
      <c r="D156">
        <f>ALL!E36*100</f>
        <v>93.679999999999993</v>
      </c>
      <c r="E156">
        <f>ALL!F36*100</f>
        <v>87.38</v>
      </c>
      <c r="F156">
        <f>ALL!G36*100</f>
        <v>69.63000000000001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7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152</v>
      </c>
      <c r="G162">
        <f t="shared" si="0"/>
        <v>151</v>
      </c>
      <c r="H162">
        <f t="shared" si="0"/>
        <v>150</v>
      </c>
      <c r="I162">
        <f t="shared" si="0"/>
        <v>150</v>
      </c>
      <c r="J162">
        <f t="shared" si="0"/>
        <v>150</v>
      </c>
      <c r="K162">
        <f t="shared" si="0"/>
        <v>150</v>
      </c>
      <c r="L162">
        <f t="shared" si="0"/>
        <v>150</v>
      </c>
      <c r="M162">
        <f t="shared" si="0"/>
        <v>150</v>
      </c>
      <c r="N162">
        <f t="shared" si="0"/>
        <v>150</v>
      </c>
      <c r="O162">
        <f t="shared" si="0"/>
        <v>150</v>
      </c>
      <c r="P162">
        <f t="shared" si="0"/>
        <v>150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131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127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tabSelected="1" workbookViewId="0">
      <selection activeCell="H23" sqref="H2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106</v>
      </c>
      <c r="D2" s="8">
        <v>108</v>
      </c>
      <c r="E2" s="8">
        <v>109</v>
      </c>
      <c r="F2" s="8">
        <v>111</v>
      </c>
      <c r="G2" s="8">
        <v>112</v>
      </c>
      <c r="H2" s="8">
        <v>111</v>
      </c>
      <c r="I2" s="8">
        <v>111</v>
      </c>
      <c r="J2" s="8">
        <v>111</v>
      </c>
      <c r="K2" s="8">
        <v>111</v>
      </c>
      <c r="L2" s="8">
        <v>111</v>
      </c>
      <c r="M2" s="8">
        <v>111</v>
      </c>
      <c r="N2" s="8">
        <v>111</v>
      </c>
      <c r="O2" s="8">
        <v>111</v>
      </c>
      <c r="P2" s="8">
        <v>111</v>
      </c>
      <c r="Q2" s="8">
        <v>111</v>
      </c>
    </row>
    <row r="3" spans="1:17" x14ac:dyDescent="0.2">
      <c r="A3" s="12" t="s">
        <v>22</v>
      </c>
      <c r="B3" s="9" t="s">
        <v>17</v>
      </c>
      <c r="C3" s="8">
        <v>110</v>
      </c>
      <c r="D3" s="8">
        <v>110</v>
      </c>
      <c r="E3" s="8">
        <v>110</v>
      </c>
      <c r="F3" s="8">
        <v>110</v>
      </c>
      <c r="G3" s="8">
        <v>110</v>
      </c>
      <c r="H3" s="8">
        <v>110</v>
      </c>
      <c r="I3" s="8">
        <v>110</v>
      </c>
      <c r="J3" s="8">
        <v>110</v>
      </c>
      <c r="K3" s="8">
        <v>110</v>
      </c>
      <c r="L3" s="8">
        <v>110</v>
      </c>
      <c r="M3" s="8">
        <v>110</v>
      </c>
      <c r="N3" s="8">
        <v>110</v>
      </c>
      <c r="O3" s="8">
        <v>110</v>
      </c>
      <c r="P3" s="8">
        <v>110</v>
      </c>
      <c r="Q3" s="8">
        <v>110</v>
      </c>
    </row>
    <row r="4" spans="1:17" x14ac:dyDescent="0.2">
      <c r="A4" s="13" t="s">
        <v>22</v>
      </c>
      <c r="B4" s="10" t="s">
        <v>18</v>
      </c>
      <c r="C4" s="8">
        <v>98</v>
      </c>
      <c r="D4" s="8">
        <v>105</v>
      </c>
      <c r="E4" s="8">
        <v>109</v>
      </c>
      <c r="F4" s="8">
        <v>106</v>
      </c>
      <c r="G4" s="8">
        <v>110</v>
      </c>
      <c r="H4" s="8">
        <v>108</v>
      </c>
      <c r="I4" s="8">
        <v>109</v>
      </c>
      <c r="J4" s="8">
        <v>107</v>
      </c>
      <c r="K4" s="8">
        <v>107</v>
      </c>
      <c r="L4" s="8">
        <v>101</v>
      </c>
      <c r="M4" s="8">
        <v>99</v>
      </c>
      <c r="N4" s="8">
        <v>99</v>
      </c>
      <c r="O4" s="8">
        <v>78</v>
      </c>
      <c r="P4" s="8">
        <v>78</v>
      </c>
      <c r="Q4" s="8">
        <v>78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0.92010000000000003</v>
      </c>
      <c r="D6" s="19">
        <v>0.97289999999999999</v>
      </c>
      <c r="E6" s="19">
        <v>0.99839999999999995</v>
      </c>
      <c r="F6" s="19">
        <v>0.95720000000000005</v>
      </c>
      <c r="G6" s="19">
        <v>0.98509999999999998</v>
      </c>
      <c r="H6" s="19">
        <v>0.96940000000000004</v>
      </c>
      <c r="I6" s="19">
        <v>0.97970000000000002</v>
      </c>
      <c r="J6" s="19">
        <v>0.96389999999999998</v>
      </c>
      <c r="K6" s="19">
        <v>0.96079999999999999</v>
      </c>
      <c r="L6" s="19">
        <v>0.90900000000000003</v>
      </c>
      <c r="M6" s="19">
        <v>0.89270000000000005</v>
      </c>
      <c r="N6" s="19">
        <v>0.88870000000000005</v>
      </c>
      <c r="O6" s="19">
        <v>0.70509999999999995</v>
      </c>
      <c r="P6" s="19">
        <v>0.70240000000000002</v>
      </c>
      <c r="Q6" s="19">
        <v>0.70240000000000002</v>
      </c>
    </row>
    <row r="7" spans="1:17" x14ac:dyDescent="0.2">
      <c r="A7" s="17"/>
      <c r="B7" s="18" t="s">
        <v>24</v>
      </c>
      <c r="C7" s="20">
        <v>8</v>
      </c>
      <c r="D7" s="20">
        <v>3</v>
      </c>
      <c r="E7" s="20">
        <v>0</v>
      </c>
      <c r="F7" s="20">
        <v>5</v>
      </c>
      <c r="G7" s="20">
        <v>2</v>
      </c>
      <c r="H7" s="20">
        <v>3</v>
      </c>
      <c r="I7" s="20">
        <v>2</v>
      </c>
      <c r="J7" s="20">
        <v>4</v>
      </c>
      <c r="K7" s="20">
        <v>4</v>
      </c>
      <c r="L7" s="20">
        <v>10</v>
      </c>
      <c r="M7" s="20">
        <v>12</v>
      </c>
      <c r="N7" s="20">
        <v>12</v>
      </c>
      <c r="O7" s="20">
        <v>33</v>
      </c>
      <c r="P7" s="20">
        <v>33</v>
      </c>
      <c r="Q7" s="20">
        <v>33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81</v>
      </c>
      <c r="D9" s="8">
        <v>81</v>
      </c>
      <c r="E9" s="8">
        <v>80</v>
      </c>
      <c r="F9" s="8">
        <v>80</v>
      </c>
      <c r="G9" s="8">
        <v>81</v>
      </c>
      <c r="H9" s="8">
        <v>80</v>
      </c>
      <c r="I9" s="8">
        <v>80</v>
      </c>
      <c r="J9" s="8">
        <v>80</v>
      </c>
      <c r="K9" s="8">
        <v>80</v>
      </c>
      <c r="L9" s="8">
        <v>80</v>
      </c>
      <c r="M9" s="8">
        <v>80</v>
      </c>
      <c r="N9" s="8">
        <v>80</v>
      </c>
      <c r="O9" s="8">
        <v>80</v>
      </c>
      <c r="P9" s="8">
        <v>80</v>
      </c>
      <c r="Q9" s="8">
        <v>80</v>
      </c>
    </row>
    <row r="10" spans="1:17" x14ac:dyDescent="0.2">
      <c r="A10" s="9" t="s">
        <v>17</v>
      </c>
      <c r="B10" s="12" t="s">
        <v>19</v>
      </c>
      <c r="C10" s="8">
        <v>80</v>
      </c>
      <c r="D10" s="8">
        <v>80</v>
      </c>
      <c r="E10" s="8">
        <v>80</v>
      </c>
      <c r="F10" s="8">
        <v>80</v>
      </c>
      <c r="G10" s="8">
        <v>80</v>
      </c>
      <c r="H10" s="8">
        <v>80</v>
      </c>
      <c r="I10" s="8">
        <v>80</v>
      </c>
      <c r="J10" s="8">
        <v>80</v>
      </c>
      <c r="K10" s="8">
        <v>80</v>
      </c>
      <c r="L10" s="8">
        <v>80</v>
      </c>
      <c r="M10" s="8">
        <v>80</v>
      </c>
      <c r="N10" s="8">
        <v>80</v>
      </c>
      <c r="O10" s="8">
        <v>80</v>
      </c>
      <c r="P10" s="8">
        <v>80</v>
      </c>
      <c r="Q10" s="8">
        <v>80</v>
      </c>
    </row>
    <row r="11" spans="1:17" x14ac:dyDescent="0.2">
      <c r="A11" s="16" t="s">
        <v>18</v>
      </c>
      <c r="B11" s="13" t="s">
        <v>19</v>
      </c>
      <c r="C11" s="8">
        <v>74</v>
      </c>
      <c r="D11" s="8">
        <v>79</v>
      </c>
      <c r="E11" s="8">
        <v>79</v>
      </c>
      <c r="F11" s="8">
        <v>77</v>
      </c>
      <c r="G11" s="8">
        <v>79</v>
      </c>
      <c r="H11" s="8">
        <v>77</v>
      </c>
      <c r="I11" s="8">
        <v>76</v>
      </c>
      <c r="J11" s="8">
        <v>75</v>
      </c>
      <c r="K11" s="8">
        <v>74</v>
      </c>
      <c r="L11" s="8">
        <v>72</v>
      </c>
      <c r="M11" s="8">
        <v>70</v>
      </c>
      <c r="N11" s="8">
        <v>69</v>
      </c>
      <c r="O11" s="8">
        <v>57</v>
      </c>
      <c r="P11" s="8">
        <v>56</v>
      </c>
      <c r="Q11" s="8">
        <v>56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19</v>
      </c>
      <c r="D13" s="8">
        <v>19</v>
      </c>
      <c r="E13" s="8">
        <v>19</v>
      </c>
      <c r="F13" s="8">
        <v>19</v>
      </c>
      <c r="G13" s="8">
        <v>19</v>
      </c>
      <c r="H13" s="8">
        <v>19</v>
      </c>
      <c r="I13" s="8">
        <v>19</v>
      </c>
      <c r="J13" s="8">
        <v>19</v>
      </c>
      <c r="K13" s="8">
        <v>19</v>
      </c>
      <c r="L13" s="8">
        <v>19</v>
      </c>
      <c r="M13" s="8">
        <v>19</v>
      </c>
      <c r="N13" s="8">
        <v>19</v>
      </c>
      <c r="O13" s="8">
        <v>19</v>
      </c>
      <c r="P13" s="8">
        <v>19</v>
      </c>
      <c r="Q13" s="8">
        <v>19</v>
      </c>
    </row>
    <row r="14" spans="1:17" x14ac:dyDescent="0.2">
      <c r="A14" s="9" t="s">
        <v>17</v>
      </c>
      <c r="B14" s="12" t="s">
        <v>20</v>
      </c>
      <c r="C14" s="8">
        <v>19</v>
      </c>
      <c r="D14" s="8">
        <v>19</v>
      </c>
      <c r="E14" s="8">
        <v>19</v>
      </c>
      <c r="F14" s="8">
        <v>19</v>
      </c>
      <c r="G14" s="8">
        <v>19</v>
      </c>
      <c r="H14" s="8">
        <v>19</v>
      </c>
      <c r="I14" s="8">
        <v>19</v>
      </c>
      <c r="J14" s="8">
        <v>19</v>
      </c>
      <c r="K14" s="8">
        <v>19</v>
      </c>
      <c r="L14" s="8">
        <v>19</v>
      </c>
      <c r="M14" s="8">
        <v>19</v>
      </c>
      <c r="N14" s="8">
        <v>19</v>
      </c>
      <c r="O14" s="8">
        <v>19</v>
      </c>
      <c r="P14" s="8">
        <v>19</v>
      </c>
      <c r="Q14" s="8">
        <v>19</v>
      </c>
    </row>
    <row r="15" spans="1:17" x14ac:dyDescent="0.2">
      <c r="A15" s="16" t="s">
        <v>18</v>
      </c>
      <c r="B15" s="13" t="s">
        <v>20</v>
      </c>
      <c r="C15" s="8">
        <v>18</v>
      </c>
      <c r="D15" s="8">
        <v>18</v>
      </c>
      <c r="E15" s="14">
        <v>20</v>
      </c>
      <c r="F15" s="8">
        <v>19</v>
      </c>
      <c r="G15" s="8">
        <v>19</v>
      </c>
      <c r="H15" s="8">
        <v>18</v>
      </c>
      <c r="I15" s="8">
        <v>17</v>
      </c>
      <c r="J15" s="8">
        <v>17</v>
      </c>
      <c r="K15" s="8">
        <v>18</v>
      </c>
      <c r="L15" s="8">
        <v>17</v>
      </c>
      <c r="M15" s="8">
        <v>17</v>
      </c>
      <c r="N15" s="8">
        <v>17</v>
      </c>
      <c r="O15" s="8">
        <v>15</v>
      </c>
      <c r="P15" s="8">
        <v>15</v>
      </c>
      <c r="Q15" s="8">
        <v>15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6</v>
      </c>
      <c r="D22" s="70">
        <v>6</v>
      </c>
      <c r="E22" s="70">
        <v>6</v>
      </c>
      <c r="F22" s="70">
        <v>6</v>
      </c>
      <c r="G22" s="70">
        <v>6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86.27</v>
      </c>
      <c r="D23" s="71">
        <v>91.07</v>
      </c>
      <c r="E23" s="70">
        <v>93.43</v>
      </c>
      <c r="F23" s="70">
        <v>94.74</v>
      </c>
      <c r="G23" s="70">
        <v>99.94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108</v>
      </c>
      <c r="D32" s="21">
        <v>111</v>
      </c>
      <c r="E32" s="21">
        <v>111</v>
      </c>
      <c r="F32" s="21">
        <v>111</v>
      </c>
      <c r="G32" s="21">
        <v>111</v>
      </c>
      <c r="H32" s="21"/>
    </row>
    <row r="33" spans="1:8" x14ac:dyDescent="0.2">
      <c r="A33" s="12" t="s">
        <v>22</v>
      </c>
      <c r="B33" s="9" t="s">
        <v>17</v>
      </c>
      <c r="C33" s="26">
        <v>110</v>
      </c>
      <c r="D33" s="21">
        <v>110</v>
      </c>
      <c r="E33" s="21">
        <v>110</v>
      </c>
      <c r="F33" s="21">
        <v>110</v>
      </c>
      <c r="G33" s="21">
        <v>110</v>
      </c>
      <c r="H33" s="21"/>
    </row>
    <row r="34" spans="1:8" x14ac:dyDescent="0.2">
      <c r="A34" s="13" t="s">
        <v>22</v>
      </c>
      <c r="B34" s="10" t="s">
        <v>18</v>
      </c>
      <c r="C34" s="26">
        <v>104</v>
      </c>
      <c r="D34" s="21">
        <v>108</v>
      </c>
      <c r="E34" s="21">
        <v>107</v>
      </c>
      <c r="F34" s="21">
        <v>100</v>
      </c>
      <c r="G34" s="21">
        <v>78</v>
      </c>
      <c r="H34" s="21"/>
    </row>
    <row r="35" spans="1:8" x14ac:dyDescent="0.2">
      <c r="A35" s="17"/>
      <c r="B35" s="8"/>
      <c r="C35" s="27">
        <v>3.5799999999999998E-2</v>
      </c>
      <c r="D35" s="28">
        <v>2.9399999999999999E-2</v>
      </c>
      <c r="E35" s="28">
        <v>3.1899999999999998E-2</v>
      </c>
      <c r="F35" s="28">
        <v>0.1032</v>
      </c>
      <c r="G35" s="28">
        <v>0.29670000000000002</v>
      </c>
      <c r="H35" s="8"/>
    </row>
    <row r="36" spans="1:8" x14ac:dyDescent="0.2">
      <c r="A36" s="8"/>
      <c r="B36" s="18" t="s">
        <v>23</v>
      </c>
      <c r="C36" s="29">
        <v>0.96419999999999995</v>
      </c>
      <c r="D36" s="19">
        <v>0.97060000000000002</v>
      </c>
      <c r="E36" s="19">
        <v>0.96809999999999996</v>
      </c>
      <c r="F36" s="19">
        <v>0.89680000000000004</v>
      </c>
      <c r="G36" s="19">
        <v>0.70330000000000004</v>
      </c>
      <c r="H36" s="20"/>
    </row>
    <row r="37" spans="1:8" x14ac:dyDescent="0.2">
      <c r="A37" s="17"/>
      <c r="B37" s="18" t="s">
        <v>24</v>
      </c>
      <c r="C37" s="30">
        <v>4</v>
      </c>
      <c r="D37" s="20">
        <v>3</v>
      </c>
      <c r="E37" s="20">
        <v>4</v>
      </c>
      <c r="F37" s="20">
        <v>11</v>
      </c>
      <c r="G37" s="20">
        <v>19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81</v>
      </c>
      <c r="D39" s="21">
        <v>80</v>
      </c>
      <c r="E39" s="21">
        <v>80</v>
      </c>
      <c r="F39" s="21">
        <v>80</v>
      </c>
      <c r="G39" s="21">
        <v>80</v>
      </c>
      <c r="H39" s="21"/>
    </row>
    <row r="40" spans="1:8" x14ac:dyDescent="0.2">
      <c r="A40" s="9" t="s">
        <v>17</v>
      </c>
      <c r="B40" s="12" t="s">
        <v>19</v>
      </c>
      <c r="C40" s="26">
        <v>80</v>
      </c>
      <c r="D40" s="21">
        <v>80</v>
      </c>
      <c r="E40" s="21">
        <v>80</v>
      </c>
      <c r="F40" s="21">
        <v>80</v>
      </c>
      <c r="G40" s="21">
        <v>80</v>
      </c>
      <c r="H40" s="21"/>
    </row>
    <row r="41" spans="1:8" x14ac:dyDescent="0.2">
      <c r="A41" s="16" t="s">
        <v>18</v>
      </c>
      <c r="B41" s="13" t="s">
        <v>19</v>
      </c>
      <c r="C41" s="26">
        <v>77</v>
      </c>
      <c r="D41" s="21">
        <v>78</v>
      </c>
      <c r="E41" s="21">
        <v>75</v>
      </c>
      <c r="F41" s="21">
        <v>70</v>
      </c>
      <c r="G41" s="21">
        <v>57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19</v>
      </c>
      <c r="D43" s="21">
        <v>19</v>
      </c>
      <c r="E43" s="21">
        <v>19</v>
      </c>
      <c r="F43" s="21">
        <v>19</v>
      </c>
      <c r="G43" s="21">
        <v>19</v>
      </c>
      <c r="H43" s="21"/>
    </row>
    <row r="44" spans="1:8" x14ac:dyDescent="0.2">
      <c r="A44" s="9" t="s">
        <v>17</v>
      </c>
      <c r="B44" s="12" t="s">
        <v>20</v>
      </c>
      <c r="C44" s="26">
        <v>19</v>
      </c>
      <c r="D44" s="21">
        <v>19</v>
      </c>
      <c r="E44" s="21">
        <v>19</v>
      </c>
      <c r="F44" s="21">
        <v>19</v>
      </c>
      <c r="G44" s="21">
        <v>19</v>
      </c>
      <c r="H44" s="21"/>
    </row>
    <row r="45" spans="1:8" x14ac:dyDescent="0.2">
      <c r="A45" s="16" t="s">
        <v>18</v>
      </c>
      <c r="B45" s="13" t="s">
        <v>20</v>
      </c>
      <c r="C45" s="26">
        <v>19</v>
      </c>
      <c r="D45" s="21">
        <v>19</v>
      </c>
      <c r="E45" s="21">
        <v>17</v>
      </c>
      <c r="F45" s="21">
        <v>17</v>
      </c>
      <c r="G45" s="21">
        <v>15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1" workbookViewId="0">
      <selection activeCell="A165" sqref="A16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JAN</v>
      </c>
      <c r="C1" t="str">
        <f>IF(DV!D1&gt;0,DV!D1,"")</f>
        <v>FEB</v>
      </c>
      <c r="D1" t="str">
        <f>IF(DV!E1&gt;0,DV!E1,"")</f>
        <v>MAR</v>
      </c>
      <c r="E1" t="str">
        <f>IF(DV!F1&gt;0,DV!F1,"")</f>
        <v>APR</v>
      </c>
      <c r="F1" t="str">
        <f>IF(DV!G1&gt;0,DV!G1,"")</f>
        <v>MAY</v>
      </c>
      <c r="G1" t="str">
        <f>IF(DV!H1&gt;0,DV!H1,"")</f>
        <v>JUN</v>
      </c>
      <c r="H1" t="str">
        <f>IF(DV!I1&gt;0,DV!I1,"")</f>
        <v>JUL</v>
      </c>
      <c r="I1" t="str">
        <f>IF(DV!J1&gt;0,DV!J1,"")</f>
        <v>AUG</v>
      </c>
      <c r="J1" t="str">
        <f>IF(DV!K1&gt;0,DV!K1,"")</f>
        <v>SEP</v>
      </c>
      <c r="K1" t="str">
        <f>IF(DV!L1&gt;0,DV!L1,"")</f>
        <v>OCT</v>
      </c>
      <c r="L1" t="str">
        <f>IF(DV!M1&gt;0,DV!M1,"")</f>
        <v>NOV</v>
      </c>
      <c r="M1" t="str">
        <f>IF(DV!N1&gt;0,DV!N1,"")</f>
        <v>DEC</v>
      </c>
      <c r="N1" t="str">
        <f>IF(DV!O1&gt;0,DV!O1,"")</f>
        <v>JAN'27</v>
      </c>
      <c r="O1" t="str">
        <f>IF(DV!P1&gt;0,DV!P1,"")</f>
        <v>FEB'27</v>
      </c>
      <c r="P1" t="str">
        <f>IF(DV!Q1&gt;0,DV!Q1,"")</f>
        <v>MAR'27</v>
      </c>
    </row>
    <row r="2" spans="1:16" x14ac:dyDescent="0.2">
      <c r="A2" t="str">
        <f>IF(DV!B2&gt;0,DV!B2,"")</f>
        <v>Staff</v>
      </c>
      <c r="B2">
        <f>IF(DV!C2&gt;0,DV!C2,"")</f>
        <v>106</v>
      </c>
      <c r="C2">
        <f>IF(DV!D2&gt;0,DV!D2,"")</f>
        <v>108</v>
      </c>
      <c r="D2">
        <f>IF(DV!E2&gt;0,DV!E2,"")</f>
        <v>109</v>
      </c>
      <c r="E2">
        <f>IF(DV!F2&gt;0,DV!F2,"")</f>
        <v>111</v>
      </c>
      <c r="F2">
        <f>IF(DV!G2&gt;0,DV!G2,"")</f>
        <v>112</v>
      </c>
      <c r="G2">
        <f>IF(DV!H2&gt;0,DV!H2,"")</f>
        <v>111</v>
      </c>
      <c r="H2">
        <f>IF(DV!I2&gt;0,DV!I2,"")</f>
        <v>111</v>
      </c>
      <c r="I2">
        <f>IF(DV!J2&gt;0,DV!J2,"")</f>
        <v>111</v>
      </c>
      <c r="J2">
        <f>IF(DV!K2&gt;0,DV!K2,"")</f>
        <v>111</v>
      </c>
      <c r="K2">
        <f>IF(DV!L2&gt;0,DV!L2,"")</f>
        <v>111</v>
      </c>
      <c r="L2">
        <f>IF(DV!M2&gt;0,DV!M2,"")</f>
        <v>111</v>
      </c>
      <c r="M2">
        <f>IF(DV!N2&gt;0,DV!N2,"")</f>
        <v>111</v>
      </c>
      <c r="N2">
        <f>IF(DV!O2&gt;0,DV!O2,"")</f>
        <v>111</v>
      </c>
      <c r="O2">
        <f>IF(DV!P2&gt;0,DV!P2,"")</f>
        <v>111</v>
      </c>
      <c r="P2">
        <f>IF(DV!Q2&gt;0,DV!Q2,"")</f>
        <v>111</v>
      </c>
    </row>
    <row r="3" spans="1:16" x14ac:dyDescent="0.2">
      <c r="A3" t="str">
        <f>IF(DV!B3&gt;0,DV!B3,"")</f>
        <v>Staff AVG</v>
      </c>
      <c r="B3">
        <f>IF(DV!C3&gt;0,DV!C3,"")</f>
        <v>110</v>
      </c>
      <c r="C3">
        <f>IF(DV!D3&gt;0,DV!D3,"")</f>
        <v>110</v>
      </c>
      <c r="D3">
        <f>IF(DV!E3&gt;0,DV!E3,"")</f>
        <v>110</v>
      </c>
      <c r="E3">
        <f>IF(DV!F3&gt;0,DV!F3,"")</f>
        <v>110</v>
      </c>
      <c r="F3">
        <f>IF(DV!G3&gt;0,DV!G3,"")</f>
        <v>110</v>
      </c>
      <c r="G3">
        <f>IF(DV!H3&gt;0,DV!H3,"")</f>
        <v>110</v>
      </c>
      <c r="H3">
        <f>IF(DV!I3&gt;0,DV!I3,"")</f>
        <v>110</v>
      </c>
      <c r="I3">
        <f>IF(DV!J3&gt;0,DV!J3,"")</f>
        <v>110</v>
      </c>
      <c r="J3">
        <f>IF(DV!K3&gt;0,DV!K3,"")</f>
        <v>110</v>
      </c>
      <c r="K3">
        <f>IF(DV!L3&gt;0,DV!L3,"")</f>
        <v>110</v>
      </c>
      <c r="L3">
        <f>IF(DV!M3&gt;0,DV!M3,"")</f>
        <v>110</v>
      </c>
      <c r="M3">
        <f>IF(DV!N3&gt;0,DV!N3,"")</f>
        <v>110</v>
      </c>
      <c r="N3">
        <f>IF(DV!O3&gt;0,DV!O3,"")</f>
        <v>110</v>
      </c>
      <c r="O3">
        <f>IF(DV!P3&gt;0,DV!P3,"")</f>
        <v>110</v>
      </c>
      <c r="P3">
        <f>IF(DV!Q3&gt;0,DV!Q3,"")</f>
        <v>110</v>
      </c>
    </row>
    <row r="4" spans="1:16" x14ac:dyDescent="0.2">
      <c r="A4" t="str">
        <f>IF(DV!B4&gt;0,DV!B4,"")</f>
        <v>Plan</v>
      </c>
      <c r="B4">
        <f>IF(DV!C4&gt;0,DV!C4,"")</f>
        <v>98</v>
      </c>
      <c r="C4">
        <f>IF(DV!D4&gt;0,DV!D4,"")</f>
        <v>105</v>
      </c>
      <c r="D4">
        <f>IF(DV!E4&gt;0,DV!E4,"")</f>
        <v>109</v>
      </c>
      <c r="E4">
        <f>IF(DV!F4&gt;0,DV!F4,"")</f>
        <v>106</v>
      </c>
      <c r="F4">
        <f>IF(DV!G4&gt;0,DV!G4,"")</f>
        <v>110</v>
      </c>
      <c r="G4">
        <f>IF(DV!H4&gt;0,DV!H4,"")</f>
        <v>108</v>
      </c>
      <c r="H4">
        <f>IF(DV!I4&gt;0,DV!I4,"")</f>
        <v>109</v>
      </c>
      <c r="I4">
        <f>IF(DV!J4&gt;0,DV!J4,"")</f>
        <v>107</v>
      </c>
      <c r="J4">
        <f>IF(DV!K4&gt;0,DV!K4,"")</f>
        <v>107</v>
      </c>
      <c r="K4">
        <f>IF(DV!L4&gt;0,DV!L4,"")</f>
        <v>101</v>
      </c>
      <c r="L4">
        <f>IF(DV!M4&gt;0,DV!M4,"")</f>
        <v>99</v>
      </c>
      <c r="M4">
        <f>IF(DV!N4&gt;0,DV!N4,"")</f>
        <v>99</v>
      </c>
      <c r="N4">
        <f>IF(DV!O4&gt;0,DV!O4,"")</f>
        <v>78</v>
      </c>
      <c r="O4">
        <f>IF(DV!P4&gt;0,DV!P4,"")</f>
        <v>78</v>
      </c>
      <c r="P4">
        <f>IF(DV!Q4&gt;0,DV!Q4,"")</f>
        <v>78</v>
      </c>
    </row>
    <row r="5" spans="1:16" x14ac:dyDescent="0.2">
      <c r="A5" t="str">
        <f>IF(DV!B11&gt;0,DV!B11,"")</f>
        <v>PAYROLL</v>
      </c>
      <c r="B5">
        <f>IF(DV!C11&gt;0,DV!C11,"")</f>
        <v>74</v>
      </c>
      <c r="C5">
        <f>IF(DV!D11&gt;0,DV!D11,"")</f>
        <v>79</v>
      </c>
      <c r="D5">
        <f>IF(DV!E11&gt;0,DV!E11,"")</f>
        <v>79</v>
      </c>
      <c r="E5">
        <f>IF(DV!F11&gt;0,DV!F11,"")</f>
        <v>77</v>
      </c>
      <c r="F5">
        <f>IF(DV!G11&gt;0,DV!G11,"")</f>
        <v>79</v>
      </c>
      <c r="G5">
        <f>IF(DV!H11&gt;0,DV!H11,"")</f>
        <v>77</v>
      </c>
      <c r="H5">
        <f>IF(DV!I11&gt;0,DV!I11,"")</f>
        <v>76</v>
      </c>
      <c r="I5">
        <f>IF(DV!J11&gt;0,DV!J11,"")</f>
        <v>75</v>
      </c>
      <c r="J5">
        <f>IF(DV!K11&gt;0,DV!K11,"")</f>
        <v>74</v>
      </c>
      <c r="K5">
        <f>IF(DV!L11&gt;0,DV!L11,"")</f>
        <v>72</v>
      </c>
      <c r="L5">
        <f>IF(DV!M11&gt;0,DV!M11,"")</f>
        <v>70</v>
      </c>
      <c r="M5">
        <f>IF(DV!N11&gt;0,DV!N11,"")</f>
        <v>69</v>
      </c>
      <c r="N5">
        <f>IF(DV!O11&gt;0,DV!O11,"")</f>
        <v>57</v>
      </c>
      <c r="O5">
        <f>IF(DV!P11&gt;0,DV!P11,"")</f>
        <v>56</v>
      </c>
      <c r="P5">
        <f>IF(DV!Q11&gt;0,DV!Q11,"")</f>
        <v>56</v>
      </c>
    </row>
    <row r="6" spans="1:16" x14ac:dyDescent="0.2">
      <c r="A6" t="str">
        <f>IF(DV!B15&gt;0,DV!B15,"")</f>
        <v>CONTRACTOR</v>
      </c>
      <c r="B6">
        <f>IF(DV!C15&gt;0,DV!C15,"")</f>
        <v>18</v>
      </c>
      <c r="C6">
        <f>IF(DV!D15&gt;0,DV!D15,"")</f>
        <v>18</v>
      </c>
      <c r="D6">
        <f>IF(DV!E15&gt;0,DV!E15,"")</f>
        <v>20</v>
      </c>
      <c r="E6">
        <f>IF(DV!F15&gt;0,DV!F15,"")</f>
        <v>19</v>
      </c>
      <c r="F6">
        <f>IF(DV!G15&gt;0,DV!G15,"")</f>
        <v>19</v>
      </c>
      <c r="G6">
        <f>IF(DV!H15&gt;0,DV!H15,"")</f>
        <v>18</v>
      </c>
      <c r="H6">
        <f>IF(DV!I15&gt;0,DV!I15,"")</f>
        <v>17</v>
      </c>
      <c r="I6">
        <f>IF(DV!J15&gt;0,DV!J15,"")</f>
        <v>17</v>
      </c>
      <c r="J6">
        <f>IF(DV!K15&gt;0,DV!K15,"")</f>
        <v>18</v>
      </c>
      <c r="K6">
        <f>IF(DV!L15&gt;0,DV!L15,"")</f>
        <v>17</v>
      </c>
      <c r="L6">
        <f>IF(DV!M15&gt;0,DV!M15,"")</f>
        <v>17</v>
      </c>
      <c r="M6">
        <f>IF(DV!N15&gt;0,DV!N15,"")</f>
        <v>17</v>
      </c>
      <c r="N6">
        <f>IF(DV!O15&gt;0,DV!O15,"")</f>
        <v>15</v>
      </c>
      <c r="O6">
        <f>IF(DV!P15&gt;0,DV!P15,"")</f>
        <v>15</v>
      </c>
      <c r="P6">
        <f>IF(DV!Q15&gt;0,DV!Q15,"")</f>
        <v>15</v>
      </c>
    </row>
    <row r="7" spans="1:16" x14ac:dyDescent="0.2">
      <c r="A7" t="str">
        <f>IF(DV!B19&gt;0,DV!B19,"")</f>
        <v>OUTSOURCE</v>
      </c>
      <c r="B7">
        <f>IF(DV!C19&gt;0,DV!C19,"")</f>
        <v>6</v>
      </c>
      <c r="C7">
        <f>IF(DV!D19&gt;0,DV!D19,"")</f>
        <v>8</v>
      </c>
      <c r="D7">
        <f>IF(DV!E19&gt;0,DV!E19,"")</f>
        <v>10</v>
      </c>
      <c r="E7">
        <f>IF(DV!F19&gt;0,DV!F19,"")</f>
        <v>10</v>
      </c>
      <c r="F7">
        <f>IF(DV!G19&gt;0,DV!G19,"")</f>
        <v>12</v>
      </c>
      <c r="G7">
        <f>IF(DV!H19&gt;0,DV!H19,"")</f>
        <v>14</v>
      </c>
      <c r="H7">
        <f>IF(DV!I19&gt;0,DV!I19,"")</f>
        <v>15</v>
      </c>
      <c r="I7">
        <f>IF(DV!J19&gt;0,DV!J19,"")</f>
        <v>15</v>
      </c>
      <c r="J7">
        <f>IF(DV!K19&gt;0,DV!K19,"")</f>
        <v>16</v>
      </c>
      <c r="K7">
        <f>IF(DV!L19&gt;0,DV!L19,"")</f>
        <v>12</v>
      </c>
      <c r="L7">
        <f>IF(DV!M19&gt;0,DV!M19,"")</f>
        <v>12</v>
      </c>
      <c r="M7">
        <f>IF(DV!N19&gt;0,DV!N19,"")</f>
        <v>12</v>
      </c>
      <c r="N7">
        <f>IF(DV!O19&gt;0,DV!O19,"")</f>
        <v>7</v>
      </c>
      <c r="O7">
        <f>IF(DV!P19&gt;0,DV!P19,"")</f>
        <v>7</v>
      </c>
      <c r="P7">
        <f>IF(DV!Q19&gt;0,DV!Q19,"")</f>
        <v>7</v>
      </c>
    </row>
    <row r="11" spans="1:16" x14ac:dyDescent="0.2">
      <c r="B11" t="str">
        <f>IF(DV!C1&gt;0,DV!C1,"")</f>
        <v>JAN</v>
      </c>
      <c r="C11" t="str">
        <f>IF(DV!D1&gt;0,DV!D1,"")</f>
        <v>FEB</v>
      </c>
      <c r="D11" t="str">
        <f>IF(DV!E1&gt;0,DV!E1,"")</f>
        <v>MAR</v>
      </c>
      <c r="E11" t="str">
        <f>IF(DV!F1&gt;0,DV!F1,"")</f>
        <v>APR</v>
      </c>
      <c r="F11" t="str">
        <f>IF(DV!G1&gt;0,DV!G1,"")</f>
        <v>MAY</v>
      </c>
      <c r="G11" t="str">
        <f>IF(DV!H1&gt;0,DV!H1,"")</f>
        <v>JUN</v>
      </c>
      <c r="H11" t="str">
        <f>IF(DV!I1&gt;0,DV!I1,"")</f>
        <v>JUL</v>
      </c>
      <c r="I11" t="str">
        <f>IF(DV!J1&gt;0,DV!J1,"")</f>
        <v>AUG</v>
      </c>
      <c r="J11" t="str">
        <f>IF(DV!K1&gt;0,DV!K1,"")</f>
        <v>SEP</v>
      </c>
      <c r="K11" t="str">
        <f>IF(DV!L1&gt;0,DV!L1,"")</f>
        <v>OCT</v>
      </c>
      <c r="L11" t="str">
        <f>IF(DV!M1&gt;0,DV!M1,"")</f>
        <v>NOV</v>
      </c>
      <c r="M11" t="str">
        <f>IF(DV!N1&gt;0,DV!N1,"")</f>
        <v>DEC</v>
      </c>
      <c r="N11" t="str">
        <f>IF(DV!O1&gt;0,DV!O1,"")</f>
        <v>JAN'27</v>
      </c>
      <c r="O11" t="str">
        <f>IF(DV!P1&gt;0,DV!P1,"")</f>
        <v>FEB'27</v>
      </c>
      <c r="P11" t="str">
        <f>IF(DV!Q1&gt;0,DV!Q1,"")</f>
        <v>MAR'27</v>
      </c>
    </row>
    <row r="12" spans="1:16" x14ac:dyDescent="0.2">
      <c r="A12" t="str">
        <f>IF(DV!A9&gt;0,DV!A9,"")</f>
        <v>Staff</v>
      </c>
      <c r="B12">
        <f>IF(DV!C9&gt;0,DV!C9,"")</f>
        <v>81</v>
      </c>
      <c r="C12">
        <f>IF(DV!D9&gt;0,DV!D9,"")</f>
        <v>81</v>
      </c>
      <c r="D12">
        <f>IF(DV!E9&gt;0,DV!E9,"")</f>
        <v>80</v>
      </c>
      <c r="E12">
        <f>IF(DV!F9&gt;0,DV!F9,"")</f>
        <v>80</v>
      </c>
      <c r="F12">
        <f>IF(DV!G9&gt;0,DV!G9,"")</f>
        <v>81</v>
      </c>
      <c r="G12">
        <f>IF(DV!H9&gt;0,DV!H9,"")</f>
        <v>80</v>
      </c>
      <c r="H12">
        <f>IF(DV!I9&gt;0,DV!I9,"")</f>
        <v>80</v>
      </c>
      <c r="I12">
        <f>IF(DV!J9&gt;0,DV!J9,"")</f>
        <v>80</v>
      </c>
      <c r="J12">
        <f>IF(DV!K9&gt;0,DV!K9,"")</f>
        <v>80</v>
      </c>
      <c r="K12">
        <f>IF(DV!L9&gt;0,DV!L9,"")</f>
        <v>80</v>
      </c>
      <c r="L12">
        <f>IF(DV!M9&gt;0,DV!M9,"")</f>
        <v>80</v>
      </c>
      <c r="M12">
        <f>IF(DV!N9&gt;0,DV!N9,"")</f>
        <v>80</v>
      </c>
      <c r="N12">
        <f>IF(DV!O9&gt;0,DV!O9,"")</f>
        <v>80</v>
      </c>
      <c r="O12">
        <f>IF(DV!P9&gt;0,DV!P9,"")</f>
        <v>80</v>
      </c>
      <c r="P12">
        <f>IF(DV!Q9&gt;0,DV!Q9,"")</f>
        <v>80</v>
      </c>
    </row>
    <row r="13" spans="1:16" x14ac:dyDescent="0.2">
      <c r="A13" t="str">
        <f>IF(DV!A10&gt;0,DV!A10,"")</f>
        <v>Staff AVG</v>
      </c>
      <c r="B13">
        <f>IF(DV!C10&gt;0,DV!C10,"")</f>
        <v>80</v>
      </c>
      <c r="C13">
        <f>IF(DV!D10&gt;0,DV!D10,"")</f>
        <v>80</v>
      </c>
      <c r="D13">
        <f>IF(DV!E10&gt;0,DV!E10,"")</f>
        <v>80</v>
      </c>
      <c r="E13">
        <f>IF(DV!F10&gt;0,DV!F10,"")</f>
        <v>80</v>
      </c>
      <c r="F13">
        <f>IF(DV!G10&gt;0,DV!G10,"")</f>
        <v>80</v>
      </c>
      <c r="G13">
        <f>IF(DV!H10&gt;0,DV!H10,"")</f>
        <v>80</v>
      </c>
      <c r="H13">
        <f>IF(DV!I10&gt;0,DV!I10,"")</f>
        <v>80</v>
      </c>
      <c r="I13">
        <f>IF(DV!J10&gt;0,DV!J10,"")</f>
        <v>80</v>
      </c>
      <c r="J13">
        <f>IF(DV!K10&gt;0,DV!K10,"")</f>
        <v>80</v>
      </c>
      <c r="K13">
        <f>IF(DV!L10&gt;0,DV!L10,"")</f>
        <v>80</v>
      </c>
      <c r="L13">
        <f>IF(DV!M10&gt;0,DV!M10,"")</f>
        <v>80</v>
      </c>
      <c r="M13">
        <f>IF(DV!N10&gt;0,DV!N10,"")</f>
        <v>80</v>
      </c>
      <c r="N13">
        <f>IF(DV!O10&gt;0,DV!O10,"")</f>
        <v>80</v>
      </c>
      <c r="O13">
        <f>IF(DV!P10&gt;0,DV!P10,"")</f>
        <v>80</v>
      </c>
      <c r="P13">
        <f>IF(DV!Q10&gt;0,DV!Q10,"")</f>
        <v>80</v>
      </c>
    </row>
    <row r="14" spans="1:16" x14ac:dyDescent="0.2">
      <c r="A14" t="str">
        <f>IF(DV!A11&gt;0,DV!A11,"")</f>
        <v>Plan</v>
      </c>
      <c r="B14">
        <f>IF(DV!C11&gt;0,DV!C11,"")</f>
        <v>74</v>
      </c>
      <c r="C14">
        <f>IF(DV!D11&gt;0,DV!D11,"")</f>
        <v>79</v>
      </c>
      <c r="D14">
        <f>IF(DV!E11&gt;0,DV!E11,"")</f>
        <v>79</v>
      </c>
      <c r="E14">
        <f>IF(DV!F11&gt;0,DV!F11,"")</f>
        <v>77</v>
      </c>
      <c r="F14">
        <f>IF(DV!G11&gt;0,DV!G11,"")</f>
        <v>79</v>
      </c>
      <c r="G14">
        <f>IF(DV!H11&gt;0,DV!H11,"")</f>
        <v>77</v>
      </c>
      <c r="H14">
        <f>IF(DV!I11&gt;0,DV!I11,"")</f>
        <v>76</v>
      </c>
      <c r="I14">
        <f>IF(DV!J11&gt;0,DV!J11,"")</f>
        <v>75</v>
      </c>
      <c r="J14">
        <f>IF(DV!K11&gt;0,DV!K11,"")</f>
        <v>74</v>
      </c>
      <c r="K14">
        <f>IF(DV!L11&gt;0,DV!L11,"")</f>
        <v>72</v>
      </c>
      <c r="L14">
        <f>IF(DV!M11&gt;0,DV!M11,"")</f>
        <v>70</v>
      </c>
      <c r="M14">
        <f>IF(DV!N11&gt;0,DV!N11,"")</f>
        <v>69</v>
      </c>
      <c r="N14">
        <f>IF(DV!O11&gt;0,DV!O11,"")</f>
        <v>57</v>
      </c>
      <c r="O14">
        <f>IF(DV!P11&gt;0,DV!P11,"")</f>
        <v>56</v>
      </c>
      <c r="P14">
        <f>IF(DV!Q11&gt;0,DV!Q11,"")</f>
        <v>56</v>
      </c>
    </row>
    <row r="21" spans="1:16" x14ac:dyDescent="0.2">
      <c r="B21" t="str">
        <f>IF(DV!C1&gt;0,DV!C1,"")</f>
        <v>JAN</v>
      </c>
      <c r="C21" t="str">
        <f>IF(DV!D1&gt;0,DV!D1,"")</f>
        <v>FEB</v>
      </c>
      <c r="D21" t="str">
        <f>IF(DV!E1&gt;0,DV!E1,"")</f>
        <v>MAR</v>
      </c>
      <c r="E21" t="str">
        <f>IF(DV!F1&gt;0,DV!F1,"")</f>
        <v>APR</v>
      </c>
      <c r="F21" t="str">
        <f>IF(DV!G1&gt;0,DV!G1,"")</f>
        <v>MAY</v>
      </c>
      <c r="G21" t="str">
        <f>IF(DV!H1&gt;0,DV!H1,"")</f>
        <v>JUN</v>
      </c>
      <c r="H21" t="str">
        <f>IF(DV!I1&gt;0,DV!I1,"")</f>
        <v>JUL</v>
      </c>
      <c r="I21" t="str">
        <f>IF(DV!J1&gt;0,DV!J1,"")</f>
        <v>AUG</v>
      </c>
      <c r="J21" t="str">
        <f>IF(DV!K1&gt;0,DV!K1,"")</f>
        <v>SEP</v>
      </c>
      <c r="K21" t="str">
        <f>IF(DV!L1&gt;0,DV!L1,"")</f>
        <v>OCT</v>
      </c>
      <c r="L21" t="str">
        <f>IF(DV!M1&gt;0,DV!M1,"")</f>
        <v>NOV</v>
      </c>
      <c r="M21" t="str">
        <f>IF(DV!N1&gt;0,DV!N1,"")</f>
        <v>DEC</v>
      </c>
      <c r="N21" t="str">
        <f>IF(DV!O1&gt;0,DV!O1,"")</f>
        <v>JAN'27</v>
      </c>
      <c r="O21" t="str">
        <f>IF(DV!P1&gt;0,DV!P1,"")</f>
        <v>FEB'27</v>
      </c>
      <c r="P21" t="str">
        <f>IF(DV!Q1&gt;0,DV!Q1,"")</f>
        <v>MAR'27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18</v>
      </c>
      <c r="C24">
        <f>IF(DV!D15&gt;0,DV!D15,"")</f>
        <v>18</v>
      </c>
      <c r="D24">
        <f>IF(DV!E15&gt;0,DV!E15,"")</f>
        <v>20</v>
      </c>
      <c r="E24">
        <f>IF(DV!F15&gt;0,DV!F15,"")</f>
        <v>19</v>
      </c>
      <c r="F24">
        <f>IF(DV!G15&gt;0,DV!G15,"")</f>
        <v>19</v>
      </c>
      <c r="G24">
        <f>IF(DV!H15&gt;0,DV!H15,"")</f>
        <v>18</v>
      </c>
      <c r="H24">
        <f>IF(DV!I15&gt;0,DV!I15,"")</f>
        <v>17</v>
      </c>
      <c r="I24">
        <f>IF(DV!J15&gt;0,DV!J15,"")</f>
        <v>17</v>
      </c>
      <c r="J24">
        <f>IF(DV!K15&gt;0,DV!K15,"")</f>
        <v>18</v>
      </c>
      <c r="K24">
        <f>IF(DV!L15&gt;0,DV!L15,"")</f>
        <v>17</v>
      </c>
      <c r="L24">
        <f>IF(DV!M15&gt;0,DV!M15,"")</f>
        <v>17</v>
      </c>
      <c r="M24">
        <f>IF(DV!N15&gt;0,DV!N15,"")</f>
        <v>17</v>
      </c>
      <c r="N24">
        <f>IF(DV!O15&gt;0,DV!O15,"")</f>
        <v>15</v>
      </c>
      <c r="O24">
        <f>IF(DV!P15&gt;0,DV!P15,"")</f>
        <v>15</v>
      </c>
      <c r="P24">
        <f>IF(DV!Q15&gt;0,DV!Q15,"")</f>
        <v>15</v>
      </c>
    </row>
    <row r="31" spans="1:16" x14ac:dyDescent="0.2">
      <c r="B31" t="str">
        <f>IF(DV!C1&gt;0,DV!C1,"")</f>
        <v>JAN</v>
      </c>
      <c r="C31" t="str">
        <f>IF(DV!D1&gt;0,DV!D1,"")</f>
        <v>FEB</v>
      </c>
      <c r="D31" t="str">
        <f>IF(DV!E1&gt;0,DV!E1,"")</f>
        <v>MAR</v>
      </c>
      <c r="E31" t="str">
        <f>IF(DV!F1&gt;0,DV!F1,"")</f>
        <v>APR</v>
      </c>
      <c r="F31" t="str">
        <f>IF(DV!G1&gt;0,DV!G1,"")</f>
        <v>MAY</v>
      </c>
      <c r="G31" t="str">
        <f>IF(DV!H1&gt;0,DV!H1,"")</f>
        <v>JUN</v>
      </c>
      <c r="H31" t="str">
        <f>IF(DV!I1&gt;0,DV!I1,"")</f>
        <v>JUL</v>
      </c>
      <c r="I31" t="str">
        <f>IF(DV!J1&gt;0,DV!J1,"")</f>
        <v>AUG</v>
      </c>
      <c r="J31" t="str">
        <f>IF(DV!K1&gt;0,DV!K1,"")</f>
        <v>SEP</v>
      </c>
      <c r="K31" t="str">
        <f>IF(DV!L1&gt;0,DV!L1,"")</f>
        <v>OCT</v>
      </c>
      <c r="L31" t="str">
        <f>IF(DV!M1&gt;0,DV!M1,"")</f>
        <v>NOV</v>
      </c>
      <c r="M31" t="str">
        <f>IF(DV!N1&gt;0,DV!N1,"")</f>
        <v>DEC</v>
      </c>
      <c r="N31" t="str">
        <f>IF(DV!O1&gt;0,DV!O1,"")</f>
        <v>JAN'27</v>
      </c>
      <c r="O31" t="str">
        <f>IF(DV!P1&gt;0,DV!P1,"")</f>
        <v>FEB'27</v>
      </c>
      <c r="P31" t="str">
        <f>IF(DV!Q1&gt;0,DV!Q1,"")</f>
        <v>MAR'27</v>
      </c>
    </row>
    <row r="32" spans="1:16" x14ac:dyDescent="0.2">
      <c r="A32" t="str">
        <f>IF(DV!A17&gt;0,DV!A17,"")</f>
        <v>Staff</v>
      </c>
      <c r="B32">
        <f>IF(DV!C17&gt;0,DV!C17,"")</f>
        <v>6</v>
      </c>
      <c r="C32">
        <f>IF(DV!D17&gt;0,DV!D17,"")</f>
        <v>8</v>
      </c>
      <c r="D32">
        <f>IF(DV!E17&gt;0,DV!E17,"")</f>
        <v>10</v>
      </c>
      <c r="E32">
        <f>IF(DV!F17&gt;0,DV!F17,"")</f>
        <v>12</v>
      </c>
      <c r="F32">
        <f>IF(DV!G17&gt;0,DV!G17,"")</f>
        <v>12</v>
      </c>
      <c r="G32">
        <f>IF(DV!H17&gt;0,DV!H17,"")</f>
        <v>12</v>
      </c>
      <c r="H32">
        <f>IF(DV!I17&gt;0,DV!I17,"")</f>
        <v>12</v>
      </c>
      <c r="I32">
        <f>IF(DV!J17&gt;0,DV!J17,"")</f>
        <v>12</v>
      </c>
      <c r="J32">
        <f>IF(DV!K17&gt;0,DV!K17,"")</f>
        <v>12</v>
      </c>
      <c r="K32">
        <f>IF(DV!L17&gt;0,DV!L17,"")</f>
        <v>12</v>
      </c>
      <c r="L32">
        <f>IF(DV!M17&gt;0,DV!M17,"")</f>
        <v>12</v>
      </c>
      <c r="M32">
        <f>IF(DV!N17&gt;0,DV!N17,"")</f>
        <v>12</v>
      </c>
      <c r="N32">
        <f>IF(DV!O17&gt;0,DV!O17,"")</f>
        <v>12</v>
      </c>
      <c r="O32">
        <f>IF(DV!P17&gt;0,DV!P17,"")</f>
        <v>12</v>
      </c>
      <c r="P32">
        <f>IF(DV!Q17&gt;0,DV!Q17,"")</f>
        <v>12</v>
      </c>
    </row>
    <row r="33" spans="1:16" x14ac:dyDescent="0.2">
      <c r="A33" t="str">
        <f>IF(DV!A18&gt;0,DV!A18,"")</f>
        <v>Staff AVG</v>
      </c>
      <c r="B33">
        <f>IF(DV!C18&gt;0,DV!C18,"")</f>
        <v>11</v>
      </c>
      <c r="C33">
        <f>IF(DV!D18&gt;0,DV!D18,"")</f>
        <v>11</v>
      </c>
      <c r="D33">
        <f>IF(DV!E18&gt;0,DV!E18,"")</f>
        <v>11</v>
      </c>
      <c r="E33">
        <f>IF(DV!F18&gt;0,DV!F18,"")</f>
        <v>11</v>
      </c>
      <c r="F33">
        <f>IF(DV!G18&gt;0,DV!G18,"")</f>
        <v>11</v>
      </c>
      <c r="G33">
        <f>IF(DV!H18&gt;0,DV!H18,"")</f>
        <v>11</v>
      </c>
      <c r="H33">
        <f>IF(DV!I18&gt;0,DV!I18,"")</f>
        <v>11</v>
      </c>
      <c r="I33">
        <f>IF(DV!J18&gt;0,DV!J18,"")</f>
        <v>11</v>
      </c>
      <c r="J33">
        <f>IF(DV!K18&gt;0,DV!K18,"")</f>
        <v>11</v>
      </c>
      <c r="K33">
        <f>IF(DV!L18&gt;0,DV!L18,"")</f>
        <v>11</v>
      </c>
      <c r="L33">
        <f>IF(DV!M18&gt;0,DV!M18,"")</f>
        <v>11</v>
      </c>
      <c r="M33">
        <f>IF(DV!N18&gt;0,DV!N18,"")</f>
        <v>11</v>
      </c>
      <c r="N33">
        <f>IF(DV!O18&gt;0,DV!O18,"")</f>
        <v>11</v>
      </c>
      <c r="O33">
        <f>IF(DV!P18&gt;0,DV!P18,"")</f>
        <v>11</v>
      </c>
      <c r="P33">
        <f>IF(DV!Q18&gt;0,DV!Q18,"")</f>
        <v>11</v>
      </c>
    </row>
    <row r="34" spans="1:16" x14ac:dyDescent="0.2">
      <c r="A34" t="str">
        <f>IF(DV!A19&gt;0,DV!A19,"")</f>
        <v>Plan</v>
      </c>
      <c r="B34">
        <f>IF(DV!C19&gt;0,DV!C19,"")</f>
        <v>6</v>
      </c>
      <c r="C34">
        <f>IF(DV!D19&gt;0,DV!D19,"")</f>
        <v>8</v>
      </c>
      <c r="D34">
        <f>IF(DV!E19&gt;0,DV!E19,"")</f>
        <v>10</v>
      </c>
      <c r="E34">
        <f>IF(DV!F19&gt;0,DV!F19,"")</f>
        <v>10</v>
      </c>
      <c r="F34">
        <f>IF(DV!G19&gt;0,DV!G19,"")</f>
        <v>12</v>
      </c>
      <c r="G34">
        <f>IF(DV!H19&gt;0,DV!H19,"")</f>
        <v>14</v>
      </c>
      <c r="H34">
        <f>IF(DV!I19&gt;0,DV!I19,"")</f>
        <v>15</v>
      </c>
      <c r="I34">
        <f>IF(DV!J19&gt;0,DV!J19,"")</f>
        <v>15</v>
      </c>
      <c r="J34">
        <f>IF(DV!K19&gt;0,DV!K19,"")</f>
        <v>16</v>
      </c>
      <c r="K34">
        <f>IF(DV!L19&gt;0,DV!L19,"")</f>
        <v>12</v>
      </c>
      <c r="L34">
        <f>IF(DV!M19&gt;0,DV!M19,"")</f>
        <v>12</v>
      </c>
      <c r="M34">
        <f>IF(DV!N19&gt;0,DV!N19,"")</f>
        <v>12</v>
      </c>
      <c r="N34">
        <f>IF(DV!O19&gt;0,DV!O19,"")</f>
        <v>7</v>
      </c>
      <c r="O34">
        <f>IF(DV!P19&gt;0,DV!P19,"")</f>
        <v>7</v>
      </c>
      <c r="P34">
        <f>IF(DV!Q19&gt;0,DV!Q19,"")</f>
        <v>7</v>
      </c>
    </row>
    <row r="41" spans="1:16" x14ac:dyDescent="0.2">
      <c r="B41" t="str">
        <f>IF(DV!C31&gt;0,DV!C31,"")</f>
        <v>Q1</v>
      </c>
      <c r="C41" t="str">
        <f>IF(DV!D31&gt;0,DV!D31,"")</f>
        <v>Q2</v>
      </c>
      <c r="D41" t="str">
        <f>IF(DV!E31&gt;0,DV!E31,"")</f>
        <v>Q3</v>
      </c>
      <c r="E41" t="str">
        <f>IF(DV!F31&gt;0,DV!F31,"")</f>
        <v>Q4</v>
      </c>
      <c r="F41" t="str">
        <f>IF(DV!G31&gt;0,DV!G31,"")</f>
        <v>Q1'27</v>
      </c>
    </row>
    <row r="42" spans="1:16" x14ac:dyDescent="0.2">
      <c r="A42" t="str">
        <f>IF(DV!B32&gt;0,DV!B32,"")</f>
        <v>Staff</v>
      </c>
      <c r="B42">
        <f>IF(DV!C32&gt;0,DV!C32,"")</f>
        <v>108</v>
      </c>
      <c r="C42">
        <f>IF(DV!D32&gt;0,DV!D32,"")</f>
        <v>111</v>
      </c>
      <c r="D42">
        <f>IF(DV!E32&gt;0,DV!E32,"")</f>
        <v>111</v>
      </c>
      <c r="E42">
        <f>IF(DV!F32&gt;0,DV!F32,"")</f>
        <v>111</v>
      </c>
      <c r="F42">
        <f>IF(DV!G32&gt;0,DV!G32,"")</f>
        <v>111</v>
      </c>
    </row>
    <row r="43" spans="1:16" x14ac:dyDescent="0.2">
      <c r="A43" t="str">
        <f>IF(DV!B33&gt;0,DV!B33,"")</f>
        <v>Staff AVG</v>
      </c>
      <c r="B43">
        <f>IF(DV!C33&gt;0,DV!C33,"")</f>
        <v>110</v>
      </c>
      <c r="C43">
        <f>IF(DV!D33&gt;0,DV!D33,"")</f>
        <v>110</v>
      </c>
      <c r="D43">
        <f>IF(DV!E33&gt;0,DV!E33,"")</f>
        <v>110</v>
      </c>
      <c r="E43">
        <f>IF(DV!F33&gt;0,DV!F33,"")</f>
        <v>110</v>
      </c>
      <c r="F43">
        <f>IF(DV!G33&gt;0,DV!G33,"")</f>
        <v>110</v>
      </c>
    </row>
    <row r="44" spans="1:16" x14ac:dyDescent="0.2">
      <c r="A44" t="str">
        <f>IF(DV!B34&gt;0,DV!B34,"")</f>
        <v>Plan</v>
      </c>
      <c r="B44">
        <f>IF(DV!C34&gt;0,DV!C34,"")</f>
        <v>104</v>
      </c>
      <c r="C44">
        <f>IF(DV!D34&gt;0,DV!D34,"")</f>
        <v>108</v>
      </c>
      <c r="D44">
        <f>IF(DV!E34&gt;0,DV!E34,"")</f>
        <v>107</v>
      </c>
      <c r="E44">
        <f>IF(DV!F34&gt;0,DV!F34,"")</f>
        <v>100</v>
      </c>
      <c r="F44">
        <f>IF(DV!G34&gt;0,DV!G34,"")</f>
        <v>78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78</v>
      </c>
      <c r="D45">
        <f>IF(DV!E41&gt;0,DV!E41,"")</f>
        <v>75</v>
      </c>
      <c r="E45">
        <f>IF(DV!F41&gt;0,DV!F41,"")</f>
        <v>70</v>
      </c>
      <c r="F45">
        <f>IF(DV!G41&gt;0,DV!G41,"")</f>
        <v>57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19</v>
      </c>
      <c r="D46">
        <f>IF(DV!E45&gt;0,DV!E45,"")</f>
        <v>17</v>
      </c>
      <c r="E46">
        <f>IF(DV!F45&gt;0,DV!F45,"")</f>
        <v>17</v>
      </c>
      <c r="F46">
        <f>IF(DV!G45&gt;0,DV!G45,"")</f>
        <v>15</v>
      </c>
    </row>
    <row r="47" spans="1:16" x14ac:dyDescent="0.2">
      <c r="A47" t="str">
        <f>IF(DV!B49&gt;0,DV!B49,"")</f>
        <v>OUTSOURCE</v>
      </c>
      <c r="B47">
        <f>IF(DV!C49&gt;0,DV!C49,"")</f>
        <v>8</v>
      </c>
      <c r="C47">
        <f>IF(DV!D49&gt;0,DV!D49,"")</f>
        <v>12</v>
      </c>
      <c r="D47">
        <f>IF(DV!E49&gt;0,DV!E49,"")</f>
        <v>15</v>
      </c>
      <c r="E47">
        <f>IF(DV!F49&gt;0,DV!F49,"")</f>
        <v>12</v>
      </c>
      <c r="F47">
        <f>IF(DV!G49&gt;0,DV!G49,"")</f>
        <v>7</v>
      </c>
    </row>
    <row r="151" spans="1:16" x14ac:dyDescent="0.2">
      <c r="B151" t="str">
        <f>DV!C1</f>
        <v>JAN</v>
      </c>
      <c r="C151" t="str">
        <f>DV!D1</f>
        <v>FEB</v>
      </c>
      <c r="D151" t="str">
        <f>DV!E1</f>
        <v>MAR</v>
      </c>
      <c r="E151" t="str">
        <f>DV!F1</f>
        <v>APR</v>
      </c>
      <c r="F151" t="str">
        <f>DV!G1</f>
        <v>MAY</v>
      </c>
      <c r="G151" t="str">
        <f>DV!H1</f>
        <v>JUN</v>
      </c>
      <c r="H151" t="str">
        <f>DV!I1</f>
        <v>JUL</v>
      </c>
      <c r="I151" t="str">
        <f>DV!J1</f>
        <v>AUG</v>
      </c>
      <c r="J151" t="str">
        <f>DV!K1</f>
        <v>SEP</v>
      </c>
      <c r="K151" t="str">
        <f>DV!L1</f>
        <v>OCT</v>
      </c>
      <c r="L151" t="str">
        <f>DV!M1</f>
        <v>NOV</v>
      </c>
      <c r="M151" t="str">
        <f>DV!N1</f>
        <v>DEC</v>
      </c>
      <c r="N151" t="str">
        <f>DV!O1</f>
        <v>JAN'27</v>
      </c>
      <c r="O151" t="str">
        <f>DV!P1</f>
        <v>FEB'27</v>
      </c>
      <c r="P151" t="str">
        <f>DV!Q1</f>
        <v>MAR'27</v>
      </c>
    </row>
    <row r="152" spans="1:16" x14ac:dyDescent="0.2">
      <c r="A152" t="str">
        <f>DV!B6</f>
        <v>% Plan</v>
      </c>
      <c r="B152">
        <f>DV!C6*100</f>
        <v>92.01</v>
      </c>
      <c r="C152">
        <f>DV!D6*100</f>
        <v>97.289999999999992</v>
      </c>
      <c r="D152">
        <f>DV!E6*100</f>
        <v>99.839999999999989</v>
      </c>
      <c r="E152">
        <f>DV!F6*100</f>
        <v>95.72</v>
      </c>
      <c r="F152">
        <f>DV!G6*100</f>
        <v>98.509999999999991</v>
      </c>
      <c r="G152">
        <f>DV!H6*100</f>
        <v>96.94</v>
      </c>
      <c r="H152">
        <f>DV!I6*100</f>
        <v>97.97</v>
      </c>
      <c r="I152">
        <f>DV!J6*100</f>
        <v>96.39</v>
      </c>
      <c r="J152">
        <f>DV!K6*100</f>
        <v>96.08</v>
      </c>
      <c r="K152">
        <f>DV!L6*100</f>
        <v>90.9</v>
      </c>
      <c r="L152">
        <f>DV!M6*100</f>
        <v>89.27000000000001</v>
      </c>
      <c r="M152">
        <f>DV!N6*100</f>
        <v>88.87</v>
      </c>
      <c r="N152">
        <f>DV!O6*100</f>
        <v>70.509999999999991</v>
      </c>
      <c r="O152">
        <f>DV!P6*100</f>
        <v>70.240000000000009</v>
      </c>
      <c r="P152">
        <f>DV!Q6*100</f>
        <v>70.240000000000009</v>
      </c>
    </row>
    <row r="153" spans="1:16" x14ac:dyDescent="0.2">
      <c r="A153" t="str">
        <f>DV!B7</f>
        <v>Available FTE</v>
      </c>
      <c r="B153">
        <f>DV!C7</f>
        <v>8</v>
      </c>
      <c r="C153">
        <f>DV!D7</f>
        <v>3</v>
      </c>
      <c r="D153">
        <f>DV!E7</f>
        <v>0</v>
      </c>
      <c r="E153">
        <f>DV!F7</f>
        <v>5</v>
      </c>
      <c r="F153">
        <f>DV!G7</f>
        <v>2</v>
      </c>
      <c r="G153">
        <f>DV!H7</f>
        <v>3</v>
      </c>
      <c r="H153">
        <f>DV!I7</f>
        <v>2</v>
      </c>
      <c r="I153">
        <f>DV!J7</f>
        <v>4</v>
      </c>
      <c r="J153">
        <f>DV!K7</f>
        <v>4</v>
      </c>
      <c r="K153">
        <f>DV!L7</f>
        <v>10</v>
      </c>
      <c r="L153">
        <f>DV!M7</f>
        <v>12</v>
      </c>
      <c r="M153">
        <f>DV!N7</f>
        <v>12</v>
      </c>
      <c r="N153">
        <f>DV!O7</f>
        <v>33</v>
      </c>
      <c r="O153">
        <f>DV!P7</f>
        <v>33</v>
      </c>
      <c r="P153">
        <f>DV!Q7</f>
        <v>33</v>
      </c>
    </row>
    <row r="155" spans="1:16" x14ac:dyDescent="0.2">
      <c r="B155" t="str">
        <f>DV!C31</f>
        <v>Q1</v>
      </c>
      <c r="C155" t="str">
        <f>DV!D31</f>
        <v>Q2</v>
      </c>
      <c r="D155" t="str">
        <f>DV!E31</f>
        <v>Q3</v>
      </c>
      <c r="E155" t="str">
        <f>DV!F31</f>
        <v>Q4</v>
      </c>
      <c r="F155" t="str">
        <f>DV!G31</f>
        <v>Q1'27</v>
      </c>
    </row>
    <row r="156" spans="1:16" x14ac:dyDescent="0.2">
      <c r="A156" t="str">
        <f>DV!B6</f>
        <v>% Plan</v>
      </c>
      <c r="B156">
        <f>DV!C36*100</f>
        <v>96.419999999999987</v>
      </c>
      <c r="C156">
        <f>DV!D36*100</f>
        <v>97.06</v>
      </c>
      <c r="D156">
        <f>DV!E36*100</f>
        <v>96.81</v>
      </c>
      <c r="E156">
        <f>DV!F36*100</f>
        <v>89.68</v>
      </c>
      <c r="F156">
        <f>DV!G36*100</f>
        <v>70.33</v>
      </c>
    </row>
    <row r="157" spans="1:16" x14ac:dyDescent="0.2">
      <c r="A157" t="str">
        <f>DV!B7</f>
        <v>Available FTE</v>
      </c>
      <c r="B157">
        <f>DV!C37</f>
        <v>4</v>
      </c>
      <c r="C157">
        <f>DV!D37</f>
        <v>3</v>
      </c>
      <c r="D157">
        <f>DV!E37</f>
        <v>4</v>
      </c>
      <c r="E157">
        <f>DV!F37</f>
        <v>11</v>
      </c>
      <c r="F157">
        <f>DV!G37</f>
        <v>19</v>
      </c>
    </row>
    <row r="161" spans="1:16" x14ac:dyDescent="0.2">
      <c r="B161" t="str">
        <f>DV!C1</f>
        <v>JAN</v>
      </c>
      <c r="C161" t="str">
        <f>DV!D1</f>
        <v>FEB</v>
      </c>
      <c r="D161" t="str">
        <f>DV!E1</f>
        <v>MAR</v>
      </c>
      <c r="E161" t="str">
        <f>DV!F1</f>
        <v>APR</v>
      </c>
      <c r="F161" t="str">
        <f>DV!G1</f>
        <v>MAY</v>
      </c>
      <c r="G161" t="str">
        <f>DV!H1</f>
        <v>JUN</v>
      </c>
      <c r="H161" t="str">
        <f>DV!I1</f>
        <v>JUL</v>
      </c>
      <c r="I161" t="str">
        <f>DV!J1</f>
        <v>AUG</v>
      </c>
      <c r="J161" t="str">
        <f>DV!K1</f>
        <v>SEP</v>
      </c>
      <c r="K161" t="str">
        <f>DV!L1</f>
        <v>OCT</v>
      </c>
      <c r="L161" t="str">
        <f>DV!M1</f>
        <v>NOV</v>
      </c>
      <c r="M161" t="str">
        <f>DV!N1</f>
        <v>DEC</v>
      </c>
      <c r="N161" t="str">
        <f>DV!O1</f>
        <v>JAN'27</v>
      </c>
      <c r="O161" t="str">
        <f>DV!P1</f>
        <v>FEB'27</v>
      </c>
      <c r="P161" t="str">
        <f>DV!Q1</f>
        <v>MAR'27</v>
      </c>
    </row>
    <row r="162" spans="1:16" x14ac:dyDescent="0.2">
      <c r="A162" t="str">
        <f>A2</f>
        <v>Staff</v>
      </c>
      <c r="B162">
        <f t="shared" ref="B162:P162" si="0">B2</f>
        <v>106</v>
      </c>
      <c r="C162">
        <f t="shared" si="0"/>
        <v>108</v>
      </c>
      <c r="D162">
        <f t="shared" si="0"/>
        <v>109</v>
      </c>
      <c r="E162">
        <f t="shared" si="0"/>
        <v>111</v>
      </c>
      <c r="F162">
        <f t="shared" si="0"/>
        <v>112</v>
      </c>
      <c r="G162">
        <f t="shared" si="0"/>
        <v>111</v>
      </c>
      <c r="H162">
        <f t="shared" si="0"/>
        <v>111</v>
      </c>
      <c r="I162">
        <f t="shared" si="0"/>
        <v>111</v>
      </c>
      <c r="J162">
        <f t="shared" si="0"/>
        <v>111</v>
      </c>
      <c r="K162">
        <f t="shared" si="0"/>
        <v>111</v>
      </c>
      <c r="L162">
        <f t="shared" si="0"/>
        <v>111</v>
      </c>
      <c r="M162">
        <f t="shared" si="0"/>
        <v>111</v>
      </c>
      <c r="N162">
        <f t="shared" si="0"/>
        <v>111</v>
      </c>
      <c r="O162">
        <f t="shared" si="0"/>
        <v>111</v>
      </c>
      <c r="P162">
        <f t="shared" si="0"/>
        <v>111</v>
      </c>
    </row>
    <row r="163" spans="1:16" x14ac:dyDescent="0.2">
      <c r="A163" t="str">
        <f>A4</f>
        <v>Plan</v>
      </c>
      <c r="E163">
        <f t="shared" ref="E163:P163" si="1">E4</f>
        <v>106</v>
      </c>
      <c r="F163">
        <f t="shared" si="1"/>
        <v>110</v>
      </c>
      <c r="G163">
        <f t="shared" si="1"/>
        <v>108</v>
      </c>
      <c r="H163">
        <f t="shared" si="1"/>
        <v>109</v>
      </c>
      <c r="I163">
        <f t="shared" si="1"/>
        <v>107</v>
      </c>
      <c r="J163">
        <f t="shared" si="1"/>
        <v>107</v>
      </c>
      <c r="K163">
        <f t="shared" si="1"/>
        <v>101</v>
      </c>
      <c r="L163">
        <f t="shared" si="1"/>
        <v>99</v>
      </c>
      <c r="M163">
        <f t="shared" si="1"/>
        <v>99</v>
      </c>
      <c r="N163">
        <f t="shared" si="1"/>
        <v>78</v>
      </c>
      <c r="O163">
        <f t="shared" si="1"/>
        <v>78</v>
      </c>
      <c r="P163">
        <f t="shared" si="1"/>
        <v>78</v>
      </c>
    </row>
    <row r="164" spans="1:16" x14ac:dyDescent="0.2">
      <c r="A164" t="s">
        <v>127</v>
      </c>
      <c r="B164">
        <f>SUM(DV!C22:C23)</f>
        <v>92.27</v>
      </c>
      <c r="C164">
        <f>SUM(DV!D22:D23)</f>
        <v>97.07</v>
      </c>
      <c r="D164">
        <f>SUM(DV!E22:E23)</f>
        <v>99.43</v>
      </c>
      <c r="E164">
        <f>SUM(DV!F22:F23)</f>
        <v>100.74</v>
      </c>
    </row>
    <row r="165" spans="1:16" x14ac:dyDescent="0.2">
      <c r="A165" s="83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48" activePane="bottomLeft" state="frozen"/>
      <selection pane="bottomLeft" activeCell="C62" sqref="C62:Q6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17.2</v>
      </c>
      <c r="D3" s="8">
        <v>17.2</v>
      </c>
      <c r="E3" s="8">
        <v>17.2</v>
      </c>
      <c r="F3" s="8">
        <v>17.2</v>
      </c>
      <c r="G3" s="8">
        <v>17.2</v>
      </c>
      <c r="H3" s="8">
        <v>17.2</v>
      </c>
      <c r="I3" s="8">
        <v>17.2</v>
      </c>
      <c r="J3" s="8">
        <v>17.2</v>
      </c>
      <c r="K3" s="8">
        <v>17.2</v>
      </c>
      <c r="L3" s="8">
        <v>17.2</v>
      </c>
      <c r="M3" s="8">
        <v>17.2</v>
      </c>
      <c r="N3" s="8">
        <v>17.2</v>
      </c>
      <c r="O3" s="8">
        <v>17.2</v>
      </c>
      <c r="P3" s="8">
        <v>17.2</v>
      </c>
      <c r="Q3" s="8">
        <v>17.2</v>
      </c>
    </row>
    <row r="4" spans="1:17" x14ac:dyDescent="0.2">
      <c r="A4" s="13" t="s">
        <v>31</v>
      </c>
      <c r="B4" s="10" t="s">
        <v>18</v>
      </c>
      <c r="C4" s="8">
        <v>16.850000000000001</v>
      </c>
      <c r="D4" s="8">
        <v>16.95</v>
      </c>
      <c r="E4" s="8">
        <v>16.649999999999999</v>
      </c>
      <c r="F4" s="14">
        <v>17.399999999999999</v>
      </c>
      <c r="G4" s="14">
        <v>17.5</v>
      </c>
      <c r="H4" s="14">
        <v>17.399999999999999</v>
      </c>
      <c r="I4" s="8">
        <v>16.2</v>
      </c>
      <c r="J4" s="8">
        <v>16</v>
      </c>
      <c r="K4" s="8">
        <v>16</v>
      </c>
      <c r="L4" s="8">
        <v>15.9</v>
      </c>
      <c r="M4" s="8">
        <v>15.7</v>
      </c>
      <c r="N4" s="8">
        <v>15.7</v>
      </c>
      <c r="O4" s="8">
        <v>14.2</v>
      </c>
      <c r="P4" s="8">
        <v>14.2</v>
      </c>
      <c r="Q4" s="8">
        <v>14.2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17.25</v>
      </c>
      <c r="D10" s="8">
        <v>17.25</v>
      </c>
      <c r="E10" s="8">
        <v>17.25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16.850000000000001</v>
      </c>
      <c r="D11" s="8">
        <v>16.95</v>
      </c>
      <c r="E11" s="8">
        <v>16.649999999999999</v>
      </c>
      <c r="F11" s="14">
        <v>17.399999999999999</v>
      </c>
      <c r="G11" s="14">
        <v>17.5</v>
      </c>
      <c r="H11" s="14">
        <v>17.399999999999999</v>
      </c>
      <c r="I11" s="8">
        <v>16.2</v>
      </c>
      <c r="J11" s="8">
        <v>16</v>
      </c>
      <c r="K11" s="8">
        <v>16</v>
      </c>
      <c r="L11" s="8">
        <v>15.9</v>
      </c>
      <c r="M11" s="8">
        <v>15.7</v>
      </c>
      <c r="N11" s="8">
        <v>15.7</v>
      </c>
      <c r="O11" s="8">
        <v>14.2</v>
      </c>
      <c r="P11" s="8">
        <v>14.2</v>
      </c>
      <c r="Q11" s="8">
        <v>14.2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17.2</v>
      </c>
      <c r="D33" s="21">
        <v>17.2</v>
      </c>
      <c r="E33" s="21">
        <v>17.2</v>
      </c>
      <c r="F33" s="21">
        <v>17.2</v>
      </c>
      <c r="G33" s="21">
        <v>17.2</v>
      </c>
    </row>
    <row r="34" spans="1:7" x14ac:dyDescent="0.2">
      <c r="A34" s="13" t="s">
        <v>31</v>
      </c>
      <c r="B34" s="10" t="s">
        <v>18</v>
      </c>
      <c r="C34" s="26">
        <v>16.81666667</v>
      </c>
      <c r="D34" s="14">
        <v>17.43333333</v>
      </c>
      <c r="E34" s="21">
        <v>16.06666667</v>
      </c>
      <c r="F34" s="21">
        <v>15.766666669999999</v>
      </c>
      <c r="G34" s="21">
        <v>14.2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17.2</v>
      </c>
      <c r="C3">
        <f>IF(CPS!D3&gt;0,CPS!D3,"")</f>
        <v>17.2</v>
      </c>
      <c r="D3">
        <f>IF(CPS!E3&gt;0,CPS!E3,"")</f>
        <v>17.2</v>
      </c>
      <c r="E3">
        <f>IF(CPS!F3&gt;0,CPS!F3,"")</f>
        <v>17.2</v>
      </c>
      <c r="F3">
        <f>IF(CPS!G3&gt;0,CPS!G3,"")</f>
        <v>17.2</v>
      </c>
      <c r="G3">
        <f>IF(CPS!H3&gt;0,CPS!H3,"")</f>
        <v>17.2</v>
      </c>
      <c r="H3">
        <f>IF(CPS!I3&gt;0,CPS!I3,"")</f>
        <v>17.2</v>
      </c>
      <c r="I3">
        <f>IF(CPS!J3&gt;0,CPS!J3,"")</f>
        <v>17.2</v>
      </c>
      <c r="J3">
        <f>IF(CPS!K3&gt;0,CPS!K3,"")</f>
        <v>17.2</v>
      </c>
      <c r="K3">
        <f>IF(CPS!L3&gt;0,CPS!L3,"")</f>
        <v>17.2</v>
      </c>
      <c r="L3">
        <f>IF(CPS!M3&gt;0,CPS!M3,"")</f>
        <v>17.2</v>
      </c>
      <c r="M3">
        <f>IF(CPS!N3&gt;0,CPS!N3,"")</f>
        <v>17.2</v>
      </c>
      <c r="N3">
        <f>IF(CPS!O3&gt;0,CPS!O3,"")</f>
        <v>17.2</v>
      </c>
      <c r="O3">
        <f>IF(CPS!P3&gt;0,CPS!P3,"")</f>
        <v>17.2</v>
      </c>
      <c r="P3">
        <f>IF(CPS!Q3&gt;0,CPS!Q3,"")</f>
        <v>17.2</v>
      </c>
    </row>
    <row r="4" spans="1:16" x14ac:dyDescent="0.2">
      <c r="A4" t="str">
        <f>IF(CPS!B4&gt;0,CPS!B4,"")</f>
        <v>Plan</v>
      </c>
      <c r="B4">
        <f>IF(CPS!C4&gt;0,CPS!C4,"")</f>
        <v>16.850000000000001</v>
      </c>
      <c r="C4">
        <f>IF(CPS!D4&gt;0,CPS!D4,"")</f>
        <v>16.95</v>
      </c>
      <c r="D4">
        <f>IF(CPS!E4&gt;0,CPS!E4,"")</f>
        <v>16.649999999999999</v>
      </c>
      <c r="E4">
        <f>IF(CPS!F4&gt;0,CPS!F4,"")</f>
        <v>17.399999999999999</v>
      </c>
      <c r="F4">
        <f>IF(CPS!G4&gt;0,CPS!G4,"")</f>
        <v>17.5</v>
      </c>
      <c r="G4">
        <f>IF(CPS!H4&gt;0,CPS!H4,"")</f>
        <v>17.399999999999999</v>
      </c>
      <c r="H4">
        <f>IF(CPS!I4&gt;0,CPS!I4,"")</f>
        <v>16.2</v>
      </c>
      <c r="I4">
        <f>IF(CPS!J4&gt;0,CPS!J4,"")</f>
        <v>16</v>
      </c>
      <c r="J4">
        <f>IF(CPS!K4&gt;0,CPS!K4,"")</f>
        <v>16</v>
      </c>
      <c r="K4">
        <f>IF(CPS!L4&gt;0,CPS!L4,"")</f>
        <v>15.9</v>
      </c>
      <c r="L4">
        <f>IF(CPS!M4&gt;0,CPS!M4,"")</f>
        <v>15.7</v>
      </c>
      <c r="M4">
        <f>IF(CPS!N4&gt;0,CPS!N4,"")</f>
        <v>15.7</v>
      </c>
      <c r="N4">
        <f>IF(CPS!O4&gt;0,CPS!O4,"")</f>
        <v>14.2</v>
      </c>
      <c r="O4">
        <f>IF(CPS!P4&gt;0,CPS!P4,"")</f>
        <v>14.2</v>
      </c>
      <c r="P4">
        <f>IF(CPS!Q4&gt;0,CPS!Q4,"")</f>
        <v>14.2</v>
      </c>
    </row>
    <row r="5" spans="1:16" x14ac:dyDescent="0.2">
      <c r="A5" t="str">
        <f>IF(CPS!B11&gt;0,CPS!B11,"")</f>
        <v>PAYROLL</v>
      </c>
      <c r="B5">
        <f>IF(CPS!C11&gt;0,CPS!C11,"")</f>
        <v>16.850000000000001</v>
      </c>
      <c r="C5">
        <f>IF(CPS!D11&gt;0,CPS!D11,"")</f>
        <v>16.95</v>
      </c>
      <c r="D5">
        <f>IF(CPS!E11&gt;0,CPS!E11,"")</f>
        <v>16.649999999999999</v>
      </c>
      <c r="E5">
        <f>IF(CPS!F11&gt;0,CPS!F11,"")</f>
        <v>17.399999999999999</v>
      </c>
      <c r="F5">
        <f>IF(CPS!G11&gt;0,CPS!G11,"")</f>
        <v>17.5</v>
      </c>
      <c r="G5">
        <f>IF(CPS!H11&gt;0,CPS!H11,"")</f>
        <v>17.399999999999999</v>
      </c>
      <c r="H5">
        <f>IF(CPS!I11&gt;0,CPS!I11,"")</f>
        <v>16.2</v>
      </c>
      <c r="I5">
        <f>IF(CPS!J11&gt;0,CPS!J11,"")</f>
        <v>16</v>
      </c>
      <c r="J5">
        <f>IF(CPS!K11&gt;0,CPS!K11,"")</f>
        <v>16</v>
      </c>
      <c r="K5">
        <f>IF(CPS!L11&gt;0,CPS!L11,"")</f>
        <v>15.9</v>
      </c>
      <c r="L5">
        <f>IF(CPS!M11&gt;0,CPS!M11,"")</f>
        <v>15.7</v>
      </c>
      <c r="M5">
        <f>IF(CPS!N11&gt;0,CPS!N11,"")</f>
        <v>15.7</v>
      </c>
      <c r="N5">
        <f>IF(CPS!O11&gt;0,CPS!O11,"")</f>
        <v>14.2</v>
      </c>
      <c r="O5">
        <f>IF(CPS!P11&gt;0,CPS!P11,"")</f>
        <v>14.2</v>
      </c>
      <c r="P5">
        <f>IF(CPS!Q11&gt;0,CPS!Q11,"")</f>
        <v>14.2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17.25</v>
      </c>
      <c r="C13">
        <f>IF(CPS!D10&gt;0,CPS!D10,"")</f>
        <v>17.25</v>
      </c>
      <c r="D13">
        <f>IF(CPS!E10&gt;0,CPS!E10,"")</f>
        <v>17.25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16.850000000000001</v>
      </c>
      <c r="C14">
        <f>IF(CPS!D11&gt;0,CPS!D11,"")</f>
        <v>16.95</v>
      </c>
      <c r="D14">
        <f>IF(CPS!E11&gt;0,CPS!E11,"")</f>
        <v>16.649999999999999</v>
      </c>
      <c r="E14">
        <f>IF(CPS!F11&gt;0,CPS!F11,"")</f>
        <v>17.399999999999999</v>
      </c>
      <c r="F14">
        <f>IF(CPS!G11&gt;0,CPS!G11,"")</f>
        <v>17.5</v>
      </c>
      <c r="G14">
        <f>IF(CPS!H11&gt;0,CPS!H11,"")</f>
        <v>17.399999999999999</v>
      </c>
      <c r="H14">
        <f>IF(CPS!I11&gt;0,CPS!I11,"")</f>
        <v>16.2</v>
      </c>
      <c r="I14">
        <f>IF(CPS!J11&gt;0,CPS!J11,"")</f>
        <v>16</v>
      </c>
      <c r="J14">
        <f>IF(CPS!K11&gt;0,CPS!K11,"")</f>
        <v>16</v>
      </c>
      <c r="K14">
        <f>IF(CPS!L11&gt;0,CPS!L11,"")</f>
        <v>15.9</v>
      </c>
      <c r="L14">
        <f>IF(CPS!M11&gt;0,CPS!M11,"")</f>
        <v>15.7</v>
      </c>
      <c r="M14">
        <f>IF(CPS!N11&gt;0,CPS!N11,"")</f>
        <v>15.7</v>
      </c>
      <c r="N14">
        <f>IF(CPS!O11&gt;0,CPS!O11,"")</f>
        <v>14.2</v>
      </c>
      <c r="O14">
        <f>IF(CPS!P11&gt;0,CPS!P11,"")</f>
        <v>14.2</v>
      </c>
      <c r="P14">
        <f>IF(CPS!Q11&gt;0,CPS!Q11,"")</f>
        <v>14.2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17.2</v>
      </c>
      <c r="C43">
        <f>IF(CPS!D33&gt;0,CPS!D33,"")</f>
        <v>17.2</v>
      </c>
      <c r="D43">
        <f>IF(CPS!E33&gt;0,CPS!E33,"")</f>
        <v>17.2</v>
      </c>
      <c r="E43">
        <f>IF(CPS!F33&gt;0,CPS!F33,"")</f>
        <v>17.2</v>
      </c>
      <c r="F43">
        <f>IF(CPS!G33&gt;0,CPS!G33,"")</f>
        <v>17.2</v>
      </c>
    </row>
    <row r="44" spans="1:16" x14ac:dyDescent="0.2">
      <c r="A44" t="str">
        <f>IF(CPS!B34&gt;0,CPS!B34,"")</f>
        <v>Plan</v>
      </c>
      <c r="B44">
        <f>IF(CPS!C34&gt;0,CPS!C34,"")</f>
        <v>16.81666667</v>
      </c>
      <c r="C44">
        <f>IF(CPS!D34&gt;0,CPS!D34,"")</f>
        <v>17.43333333</v>
      </c>
      <c r="D44">
        <f>IF(CPS!E34&gt;0,CPS!E34,"")</f>
        <v>16.06666667</v>
      </c>
      <c r="E44">
        <f>IF(CPS!F34&gt;0,CPS!F34,"")</f>
        <v>15.766666669999999</v>
      </c>
      <c r="F44">
        <f>IF(CPS!G34&gt;0,CPS!G34,"")</f>
        <v>14.2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56" workbookViewId="0">
      <selection activeCell="C62" sqref="C62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0.91439999999999999</v>
      </c>
      <c r="I6" s="19">
        <v>0.93520000000000003</v>
      </c>
      <c r="J6" s="19">
        <v>0.93130000000000002</v>
      </c>
      <c r="K6" s="19">
        <v>0.94169999999999998</v>
      </c>
      <c r="L6" s="19">
        <v>0.88439999999999996</v>
      </c>
      <c r="M6" s="19">
        <v>0.86250000000000004</v>
      </c>
      <c r="N6" s="19">
        <v>0.86250000000000004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27</v>
      </c>
      <c r="K11" s="8">
        <v>27</v>
      </c>
      <c r="L11" s="8">
        <v>26</v>
      </c>
      <c r="M11" s="8">
        <v>25</v>
      </c>
      <c r="N11" s="8">
        <v>25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15</v>
      </c>
      <c r="J15" s="8">
        <v>15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47</v>
      </c>
      <c r="E33" s="21">
        <v>47</v>
      </c>
      <c r="F33" s="21">
        <v>47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42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5.4899999999999997E-2</v>
      </c>
      <c r="E35" s="28">
        <v>6.4000000000000001E-2</v>
      </c>
      <c r="F35" s="28">
        <v>0.13020000000000001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0.94510000000000005</v>
      </c>
      <c r="E36" s="19">
        <v>0.93600000000000005</v>
      </c>
      <c r="F36" s="19">
        <v>0.86980000000000002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6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27</v>
      </c>
      <c r="F41" s="21">
        <v>25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15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43.89</v>
      </c>
      <c r="I63" s="38">
        <v>44.89</v>
      </c>
      <c r="J63" s="38">
        <v>44.7</v>
      </c>
      <c r="K63" s="38">
        <v>45.2</v>
      </c>
      <c r="L63" s="38">
        <v>42.45</v>
      </c>
      <c r="M63" s="38">
        <v>41.4</v>
      </c>
      <c r="N63" s="38">
        <v>41.4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36.89</v>
      </c>
      <c r="I73" s="8">
        <v>37.89</v>
      </c>
      <c r="J73" s="8">
        <v>37.700000000000003</v>
      </c>
      <c r="K73" s="8">
        <v>38.200000000000003</v>
      </c>
      <c r="L73" s="8">
        <v>35.450000000000003</v>
      </c>
      <c r="M73" s="8">
        <v>34.4</v>
      </c>
      <c r="N73" s="8">
        <v>34.4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19.34</v>
      </c>
      <c r="I75" s="41">
        <v>20.89</v>
      </c>
      <c r="J75" s="41">
        <v>20.7</v>
      </c>
      <c r="K75" s="41">
        <v>20.7</v>
      </c>
      <c r="L75" s="41">
        <v>19.55</v>
      </c>
      <c r="M75" s="41">
        <v>18.5</v>
      </c>
      <c r="N75" s="41">
        <v>18.5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</v>
      </c>
      <c r="J77" s="41">
        <v>14</v>
      </c>
      <c r="K77" s="41">
        <v>14.5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27</v>
      </c>
      <c r="J5">
        <f>IF(PSE!K11&gt;0,PSE!K11,"")</f>
        <v>27</v>
      </c>
      <c r="K5">
        <f>IF(PSE!L11&gt;0,PSE!L11,"")</f>
        <v>26</v>
      </c>
      <c r="L5">
        <f>IF(PSE!M11&gt;0,PSE!M11,"")</f>
        <v>25</v>
      </c>
      <c r="M5">
        <f>IF(PSE!N11&gt;0,PSE!N11,"")</f>
        <v>25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15</v>
      </c>
      <c r="I6">
        <f>IF(PSE!J15&gt;0,PSE!J15,"")</f>
        <v>15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27</v>
      </c>
      <c r="J14">
        <f>IF(PSE!K11&gt;0,PSE!K11,"")</f>
        <v>27</v>
      </c>
      <c r="K14">
        <f>IF(PSE!L11&gt;0,PSE!L11,"")</f>
        <v>26</v>
      </c>
      <c r="L14">
        <f>IF(PSE!M11&gt;0,PSE!M11,"")</f>
        <v>25</v>
      </c>
      <c r="M14">
        <f>IF(PSE!N11&gt;0,PSE!N11,"")</f>
        <v>25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15</v>
      </c>
      <c r="I24">
        <f>PSE!J15</f>
        <v>15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47</v>
      </c>
      <c r="D43">
        <f>IF(PSE!E33&gt;0,PSE!E33,"")</f>
        <v>47</v>
      </c>
      <c r="E43">
        <f>IF(PSE!F33&gt;0,PSE!F33,"")</f>
        <v>47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42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27</v>
      </c>
      <c r="E45">
        <f>IF(PSE!F41&gt;0,PSE!F41,"")</f>
        <v>25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15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36.89</v>
      </c>
      <c r="H63">
        <f>PSE!I73</f>
        <v>37.89</v>
      </c>
      <c r="I63">
        <f>PSE!J73</f>
        <v>37.700000000000003</v>
      </c>
      <c r="J63">
        <f>PSE!K73</f>
        <v>38.200000000000003</v>
      </c>
      <c r="K63">
        <f>PSE!L73</f>
        <v>35.450000000000003</v>
      </c>
      <c r="L63">
        <f>PSE!M73</f>
        <v>34.4</v>
      </c>
      <c r="M63">
        <f>PSE!N73</f>
        <v>34.4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4.1099999999999994</v>
      </c>
      <c r="H64" s="67">
        <f t="shared" si="2"/>
        <v>3.1099999999999994</v>
      </c>
      <c r="I64" s="67">
        <f t="shared" si="2"/>
        <v>3.2999999999999972</v>
      </c>
      <c r="J64" s="67">
        <f t="shared" si="2"/>
        <v>2.7999999999999972</v>
      </c>
      <c r="K64" s="67">
        <f t="shared" si="2"/>
        <v>5.5499999999999972</v>
      </c>
      <c r="L64" s="67">
        <f t="shared" si="2"/>
        <v>6.6000000000000014</v>
      </c>
      <c r="M64" s="67">
        <f t="shared" si="2"/>
        <v>6.6000000000000014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93.577235772357724</v>
      </c>
      <c r="D66" s="59">
        <f>(AVERAGE(H63:J63)/AVERAGE(H62:J62))*100</f>
        <v>92.512195121951223</v>
      </c>
      <c r="E66" s="59">
        <f>(AVERAGE(K63:M63)/AVERAGE(K62:M62))*100</f>
        <v>84.756097560975604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91.44</v>
      </c>
      <c r="H152">
        <f>PSE!I6*100</f>
        <v>93.52000000000001</v>
      </c>
      <c r="I152">
        <f>PSE!J6*100</f>
        <v>93.13</v>
      </c>
      <c r="J152">
        <f>PSE!K6*100</f>
        <v>94.17</v>
      </c>
      <c r="K152">
        <f>PSE!L6*100</f>
        <v>88.44</v>
      </c>
      <c r="L152">
        <f>PSE!M6*100</f>
        <v>86.25</v>
      </c>
      <c r="M152">
        <f>PSE!N6*100</f>
        <v>86.25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94.51</v>
      </c>
      <c r="D156">
        <f>PSE!E36*100</f>
        <v>93.600000000000009</v>
      </c>
      <c r="E156">
        <f>PSE!F36*100</f>
        <v>86.98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6</v>
      </c>
      <c r="F157">
        <f>PSE!G37</f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71" workbookViewId="0">
      <selection activeCell="C62" sqref="C62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47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43</v>
      </c>
      <c r="G4" s="8">
        <v>46</v>
      </c>
      <c r="H4" s="14">
        <v>46</v>
      </c>
      <c r="I4" s="14">
        <v>48</v>
      </c>
      <c r="J4" s="14">
        <v>46</v>
      </c>
      <c r="K4" s="8">
        <v>45</v>
      </c>
      <c r="L4" s="8">
        <v>43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0.93679999999999997</v>
      </c>
      <c r="D6" s="19">
        <v>1.0169999999999999</v>
      </c>
      <c r="E6" s="19">
        <v>1.0371999999999999</v>
      </c>
      <c r="F6" s="19">
        <v>0.94389999999999996</v>
      </c>
      <c r="G6" s="19">
        <v>0.9798</v>
      </c>
      <c r="H6" s="19">
        <v>1.0068999999999999</v>
      </c>
      <c r="I6" s="19">
        <v>1.0361</v>
      </c>
      <c r="J6" s="19">
        <v>1.0063</v>
      </c>
      <c r="K6" s="19">
        <v>0.98809999999999998</v>
      </c>
      <c r="L6" s="19">
        <v>0.92490000000000006</v>
      </c>
      <c r="M6" s="19">
        <v>0.91290000000000004</v>
      </c>
      <c r="N6" s="19">
        <v>0.90310000000000001</v>
      </c>
      <c r="O6" s="19">
        <v>0.7046</v>
      </c>
      <c r="P6" s="19">
        <v>0.69810000000000005</v>
      </c>
      <c r="Q6" s="19">
        <v>0.69810000000000005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3</v>
      </c>
      <c r="G7" s="20">
        <v>1</v>
      </c>
      <c r="H7" s="20">
        <v>0</v>
      </c>
      <c r="I7" s="20">
        <v>-2</v>
      </c>
      <c r="J7" s="20">
        <v>0</v>
      </c>
      <c r="K7" s="20">
        <v>1</v>
      </c>
      <c r="L7" s="20">
        <v>3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36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32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26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1.8E-3</v>
      </c>
      <c r="D35" s="28">
        <v>2.3099999999999999E-2</v>
      </c>
      <c r="E35" s="28">
        <v>-1.0200000000000001E-2</v>
      </c>
      <c r="F35" s="28">
        <v>8.6400000000000005E-2</v>
      </c>
      <c r="G35" s="28">
        <v>0.29980000000000001</v>
      </c>
    </row>
    <row r="36" spans="1:7" x14ac:dyDescent="0.2">
      <c r="A36" s="8"/>
      <c r="B36" s="18" t="s">
        <v>23</v>
      </c>
      <c r="C36" s="29">
        <v>0.99819999999999998</v>
      </c>
      <c r="D36" s="19">
        <v>0.97689999999999999</v>
      </c>
      <c r="E36" s="19">
        <v>1.0102</v>
      </c>
      <c r="F36" s="19">
        <v>0.91359999999999997</v>
      </c>
      <c r="G36" s="19">
        <v>0.70020000000000004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47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40.282499999999999</v>
      </c>
      <c r="D63" s="48">
        <v>45.765000000000001</v>
      </c>
      <c r="E63" s="48">
        <v>47.71</v>
      </c>
      <c r="F63" s="48">
        <v>43.42</v>
      </c>
      <c r="G63" s="48">
        <v>46.052500000000002</v>
      </c>
      <c r="H63" s="48">
        <v>46.317500000000003</v>
      </c>
      <c r="I63" s="48">
        <v>47.658749999999998</v>
      </c>
      <c r="J63" s="48">
        <v>46.291249999999998</v>
      </c>
      <c r="K63" s="48">
        <v>45.453749999999999</v>
      </c>
      <c r="L63" s="48">
        <v>42.547499999999999</v>
      </c>
      <c r="M63" s="48">
        <v>41.9925</v>
      </c>
      <c r="N63" s="48">
        <v>41.542499999999997</v>
      </c>
      <c r="O63" s="48">
        <v>32.411250000000003</v>
      </c>
      <c r="P63" s="48">
        <v>32.111249999999998</v>
      </c>
      <c r="Q63" s="48">
        <v>32.111249999999998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4.125</v>
      </c>
      <c r="H67" s="8">
        <v>4.125</v>
      </c>
      <c r="I67" s="8">
        <v>4.03125</v>
      </c>
      <c r="J67" s="8">
        <v>3.34375</v>
      </c>
      <c r="K67" s="8">
        <v>3.03125</v>
      </c>
      <c r="L67" s="8">
        <v>2.8125</v>
      </c>
      <c r="M67" s="8">
        <v>2.6875</v>
      </c>
      <c r="N67" s="8">
        <v>2.4375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3.89</v>
      </c>
      <c r="G75" s="8">
        <v>3.4750000000000001</v>
      </c>
      <c r="H75" s="8">
        <v>3.4249999999999998</v>
      </c>
      <c r="I75" s="8">
        <v>3.3250000000000002</v>
      </c>
      <c r="J75" s="8">
        <v>3.58</v>
      </c>
      <c r="K75" s="8">
        <v>3.13</v>
      </c>
      <c r="L75" s="8">
        <v>3.13</v>
      </c>
      <c r="M75" s="8">
        <v>3.13</v>
      </c>
      <c r="N75" s="8">
        <v>3.0550000000000002</v>
      </c>
      <c r="O75" s="8">
        <v>2.79</v>
      </c>
      <c r="P75" s="8">
        <v>2.79</v>
      </c>
      <c r="Q75" s="8">
        <v>2.79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3.2349999999999999</v>
      </c>
      <c r="D77" s="8">
        <v>3.0249999999999999</v>
      </c>
      <c r="E77" s="8">
        <v>4.12</v>
      </c>
      <c r="F77" s="8">
        <v>2.5550000000000002</v>
      </c>
      <c r="G77" s="8">
        <v>2.585</v>
      </c>
      <c r="H77" s="8">
        <v>2.3650000000000002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3.25</v>
      </c>
      <c r="D79" s="8">
        <v>3.25</v>
      </c>
      <c r="E79" s="8">
        <v>3.2</v>
      </c>
      <c r="F79" s="8">
        <v>2.85</v>
      </c>
      <c r="G79" s="8">
        <v>3.1</v>
      </c>
      <c r="H79" s="8">
        <v>2.85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4.0999999999999996</v>
      </c>
      <c r="H81" s="8">
        <v>4</v>
      </c>
      <c r="I81" s="8">
        <v>4.125</v>
      </c>
      <c r="J81" s="8">
        <v>4.07</v>
      </c>
      <c r="K81" s="8">
        <v>3.8450000000000002</v>
      </c>
      <c r="L81" s="8">
        <v>3.645</v>
      </c>
      <c r="M81" s="8">
        <v>3.4449999999999998</v>
      </c>
      <c r="N81" s="8">
        <v>2.67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6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5.0999999999999996</v>
      </c>
      <c r="G83" s="8">
        <v>5.95</v>
      </c>
      <c r="H83" s="8">
        <v>5.45</v>
      </c>
      <c r="I83" s="8">
        <v>5.17</v>
      </c>
      <c r="J83" s="8">
        <v>4.72</v>
      </c>
      <c r="K83" s="8">
        <v>4.5199999999999996</v>
      </c>
      <c r="L83" s="8">
        <v>4.5199999999999996</v>
      </c>
      <c r="M83" s="8">
        <v>4.5199999999999996</v>
      </c>
      <c r="N83" s="8">
        <v>4.5199999999999996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47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43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43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36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4.125</v>
      </c>
      <c r="G53">
        <f>SD!H67</f>
        <v>4.125</v>
      </c>
      <c r="H53">
        <f>SD!I67</f>
        <v>4.03125</v>
      </c>
      <c r="I53">
        <f>SD!J67</f>
        <v>3.34375</v>
      </c>
      <c r="J53">
        <f>SD!K67</f>
        <v>3.03125</v>
      </c>
      <c r="K53">
        <f>SD!L67</f>
        <v>2.8125</v>
      </c>
      <c r="L53">
        <f>SD!M67</f>
        <v>2.6875</v>
      </c>
      <c r="M53">
        <f>SD!N67</f>
        <v>2.4375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-0.125</v>
      </c>
      <c r="G54" s="67">
        <f t="shared" si="0"/>
        <v>-0.125</v>
      </c>
      <c r="H54" s="67">
        <f t="shared" si="0"/>
        <v>-3.125E-2</v>
      </c>
      <c r="I54" s="67">
        <f t="shared" si="0"/>
        <v>0.65625</v>
      </c>
      <c r="J54" s="67">
        <f t="shared" si="0"/>
        <v>0.96875</v>
      </c>
      <c r="K54" s="67">
        <f t="shared" si="0"/>
        <v>1.1875</v>
      </c>
      <c r="L54" s="67">
        <f t="shared" si="0"/>
        <v>1.3125</v>
      </c>
      <c r="M54" s="67">
        <f t="shared" si="0"/>
        <v>1.5625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96.25</v>
      </c>
      <c r="D56" s="59">
        <f>(AVERAGE(H53:J53)/AVERAGE(H52:J52))*100</f>
        <v>86.71875</v>
      </c>
      <c r="E56" s="59">
        <f>(AVERAGE(K53:M53)/AVERAGE(K52:M52))*100</f>
        <v>66.145833333333343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3.89</v>
      </c>
      <c r="F73">
        <f>SD!G75</f>
        <v>3.4750000000000001</v>
      </c>
      <c r="G73">
        <f>SD!H75</f>
        <v>3.4249999999999998</v>
      </c>
      <c r="H73">
        <f>SD!I75</f>
        <v>3.3250000000000002</v>
      </c>
      <c r="I73">
        <f>SD!J75</f>
        <v>3.58</v>
      </c>
      <c r="J73">
        <f>SD!K75</f>
        <v>3.13</v>
      </c>
      <c r="K73">
        <f>SD!L75</f>
        <v>3.13</v>
      </c>
      <c r="L73">
        <f>SD!M75</f>
        <v>3.13</v>
      </c>
      <c r="M73">
        <f>SD!N75</f>
        <v>3.0550000000000002</v>
      </c>
      <c r="N73">
        <f>SD!O75</f>
        <v>2.79</v>
      </c>
      <c r="O73">
        <f>SD!P75</f>
        <v>2.79</v>
      </c>
      <c r="P73">
        <f>SD!Q75</f>
        <v>2.79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0.10999999999999988</v>
      </c>
      <c r="F74" s="67">
        <f t="shared" si="4"/>
        <v>0.52499999999999991</v>
      </c>
      <c r="G74" s="67">
        <f t="shared" si="4"/>
        <v>0.57500000000000018</v>
      </c>
      <c r="H74" s="67">
        <f t="shared" si="4"/>
        <v>0.67499999999999982</v>
      </c>
      <c r="I74" s="67">
        <f t="shared" si="4"/>
        <v>0.41999999999999993</v>
      </c>
      <c r="J74" s="67">
        <f t="shared" si="4"/>
        <v>0.87000000000000011</v>
      </c>
      <c r="K74" s="67">
        <f t="shared" si="4"/>
        <v>0.87000000000000011</v>
      </c>
      <c r="L74" s="67">
        <f t="shared" si="4"/>
        <v>0.87000000000000011</v>
      </c>
      <c r="M74" s="67">
        <f t="shared" si="4"/>
        <v>0.94499999999999984</v>
      </c>
      <c r="N74" s="67">
        <f t="shared" si="4"/>
        <v>1.21</v>
      </c>
      <c r="O74" s="67">
        <f t="shared" si="4"/>
        <v>1.21</v>
      </c>
      <c r="P74" s="67">
        <f t="shared" si="4"/>
        <v>1.21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89.916666666666657</v>
      </c>
      <c r="D76" s="59">
        <f>(AVERAGE(H73:J73)/AVERAGE(H72:J72))*100</f>
        <v>83.625</v>
      </c>
      <c r="E76" s="59">
        <f>(AVERAGE(K73:M73)/AVERAGE(K72:M72))*100</f>
        <v>77.625</v>
      </c>
      <c r="F76" s="59">
        <f>(AVERAGE(N73:P73)/AVERAGE(N72:P72))*100</f>
        <v>69.750000000000014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3.2349999999999999</v>
      </c>
      <c r="C83">
        <f>SD!D77</f>
        <v>3.0249999999999999</v>
      </c>
      <c r="D83">
        <f>SD!E77</f>
        <v>4.12</v>
      </c>
      <c r="E83">
        <f>SD!F77</f>
        <v>2.5550000000000002</v>
      </c>
      <c r="F83">
        <f>SD!G77</f>
        <v>2.585</v>
      </c>
      <c r="G83">
        <f>SD!H77</f>
        <v>2.3650000000000002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-1.2349999999999999</v>
      </c>
      <c r="C84" s="67">
        <f t="shared" ref="C84:P84" si="6">C82-C83</f>
        <v>-1.0249999999999999</v>
      </c>
      <c r="D84" s="67">
        <f t="shared" si="6"/>
        <v>-2.12</v>
      </c>
      <c r="E84" s="67">
        <f t="shared" si="6"/>
        <v>-0.55500000000000016</v>
      </c>
      <c r="F84" s="67">
        <f t="shared" si="6"/>
        <v>-0.58499999999999996</v>
      </c>
      <c r="G84" s="67">
        <f t="shared" si="6"/>
        <v>-0.36500000000000021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172.99999999999997</v>
      </c>
      <c r="C86" s="59">
        <f>(AVERAGE(E83:G83)/AVERAGE(E82:G82))*100</f>
        <v>125.08333333333334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3.25</v>
      </c>
      <c r="C93">
        <f>SD!D79</f>
        <v>3.25</v>
      </c>
      <c r="D93">
        <f>SD!E79</f>
        <v>3.2</v>
      </c>
      <c r="E93">
        <f>SD!F79</f>
        <v>2.85</v>
      </c>
      <c r="F93">
        <f>SD!G79</f>
        <v>3.1</v>
      </c>
      <c r="G93">
        <f>SD!H79</f>
        <v>2.85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-0.25</v>
      </c>
      <c r="C94" s="67">
        <f t="shared" ref="C94:P94" si="8">C92-C93</f>
        <v>-0.25</v>
      </c>
      <c r="D94" s="67">
        <f t="shared" si="8"/>
        <v>-0.20000000000000018</v>
      </c>
      <c r="E94" s="67">
        <f t="shared" si="8"/>
        <v>0.14999999999999991</v>
      </c>
      <c r="F94" s="67">
        <f t="shared" si="8"/>
        <v>-0.10000000000000009</v>
      </c>
      <c r="G94" s="67">
        <f t="shared" si="8"/>
        <v>0.14999999999999991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107.77777777777777</v>
      </c>
      <c r="C96" s="59">
        <f>(AVERAGE(E93:G93)/AVERAGE(E92:G92))*100</f>
        <v>97.777777777777786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4.0999999999999996</v>
      </c>
      <c r="G103">
        <f>SD!H81</f>
        <v>4</v>
      </c>
      <c r="H103">
        <f>SD!I81</f>
        <v>4.125</v>
      </c>
      <c r="I103">
        <f>SD!J81</f>
        <v>4.07</v>
      </c>
      <c r="J103">
        <f>SD!K81</f>
        <v>3.8450000000000002</v>
      </c>
      <c r="K103">
        <f>SD!L81</f>
        <v>3.645</v>
      </c>
      <c r="L103">
        <f>SD!M81</f>
        <v>3.4449999999999998</v>
      </c>
      <c r="M103">
        <f>SD!N81</f>
        <v>2.67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-9.9999999999999645E-2</v>
      </c>
      <c r="G104" s="67">
        <f t="shared" si="10"/>
        <v>0</v>
      </c>
      <c r="H104" s="67">
        <f t="shared" si="10"/>
        <v>-0.125</v>
      </c>
      <c r="I104" s="67">
        <f t="shared" si="10"/>
        <v>-7.0000000000000284E-2</v>
      </c>
      <c r="J104" s="67">
        <f t="shared" si="10"/>
        <v>0.1549999999999998</v>
      </c>
      <c r="K104" s="67">
        <f t="shared" si="10"/>
        <v>0.35499999999999998</v>
      </c>
      <c r="L104" s="67">
        <f t="shared" si="10"/>
        <v>0.55500000000000016</v>
      </c>
      <c r="M104" s="67">
        <f t="shared" si="10"/>
        <v>1.33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99.583333333333329</v>
      </c>
      <c r="D106" s="59">
        <f>(AVERAGE(H103:J103)/AVERAGE(H102:J102))*100</f>
        <v>100.33333333333334</v>
      </c>
      <c r="E106" s="59">
        <f>(AVERAGE(K103:M103)/AVERAGE(K102:M102))*100</f>
        <v>81.333333333333329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6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5.0999999999999996</v>
      </c>
      <c r="F113">
        <f>SD!G83</f>
        <v>5.95</v>
      </c>
      <c r="G113">
        <f>SD!H83</f>
        <v>5.45</v>
      </c>
      <c r="H113">
        <f>SD!I83</f>
        <v>5.17</v>
      </c>
      <c r="I113">
        <f>SD!J83</f>
        <v>4.72</v>
      </c>
      <c r="J113">
        <f>SD!K83</f>
        <v>4.5199999999999996</v>
      </c>
      <c r="K113">
        <f>SD!L83</f>
        <v>4.5199999999999996</v>
      </c>
      <c r="L113">
        <f>SD!M83</f>
        <v>4.5199999999999996</v>
      </c>
      <c r="M113">
        <f>SD!N83</f>
        <v>4.5199999999999996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-9.9999999999999645E-2</v>
      </c>
      <c r="F114" s="67">
        <f t="shared" si="12"/>
        <v>4.9999999999999822E-2</v>
      </c>
      <c r="G114" s="67">
        <f t="shared" si="12"/>
        <v>-0.45000000000000018</v>
      </c>
      <c r="H114" s="67">
        <f t="shared" si="12"/>
        <v>-0.16999999999999993</v>
      </c>
      <c r="I114" s="67">
        <f t="shared" si="12"/>
        <v>0.28000000000000025</v>
      </c>
      <c r="J114" s="67">
        <f t="shared" si="12"/>
        <v>0.48000000000000043</v>
      </c>
      <c r="K114" s="67">
        <f t="shared" si="12"/>
        <v>0.48000000000000043</v>
      </c>
      <c r="L114" s="67">
        <f t="shared" si="12"/>
        <v>0.48000000000000043</v>
      </c>
      <c r="M114" s="67">
        <f t="shared" si="12"/>
        <v>0.48000000000000043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103.125</v>
      </c>
      <c r="D116" s="59">
        <f>(AVERAGE(H113:J113)/AVERAGE(H112:J112))*100</f>
        <v>96.066666666666677</v>
      </c>
      <c r="E116" s="59">
        <f>(AVERAGE(K113:M113)/AVERAGE(K112:M112))*100</f>
        <v>90.399999999999991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93.679999999999993</v>
      </c>
      <c r="C152">
        <f>SD!D6*100</f>
        <v>101.69999999999999</v>
      </c>
      <c r="D152">
        <f>SD!E6*100</f>
        <v>103.71999999999998</v>
      </c>
      <c r="E152">
        <f>SD!F6*100</f>
        <v>94.39</v>
      </c>
      <c r="F152">
        <f>SD!G6*100</f>
        <v>97.98</v>
      </c>
      <c r="G152">
        <f>SD!H6*100</f>
        <v>100.69</v>
      </c>
      <c r="H152">
        <f>SD!I6*100</f>
        <v>103.61</v>
      </c>
      <c r="I152">
        <f>SD!J6*100</f>
        <v>100.63</v>
      </c>
      <c r="J152">
        <f>SD!K6*100</f>
        <v>98.81</v>
      </c>
      <c r="K152">
        <f>SD!L6*100</f>
        <v>92.490000000000009</v>
      </c>
      <c r="L152">
        <f>SD!M6*100</f>
        <v>91.29</v>
      </c>
      <c r="M152">
        <f>SD!N6*100</f>
        <v>90.31</v>
      </c>
      <c r="N152">
        <f>SD!O6*100</f>
        <v>70.459999999999994</v>
      </c>
      <c r="O152">
        <f>SD!P6*100</f>
        <v>69.81</v>
      </c>
      <c r="P152">
        <f>SD!Q6*100</f>
        <v>69.81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3</v>
      </c>
      <c r="F153">
        <f>SD!G7</f>
        <v>1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3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99.82</v>
      </c>
      <c r="C156">
        <f>SD!D36*100</f>
        <v>97.69</v>
      </c>
      <c r="D156">
        <f>SD!E36*100</f>
        <v>101.02</v>
      </c>
      <c r="E156">
        <f>SD!F36*100</f>
        <v>91.36</v>
      </c>
      <c r="F156">
        <f>SD!G36*100</f>
        <v>70.02000000000001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62" sqref="C62:Q7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21</v>
      </c>
      <c r="H2" s="8">
        <v>21</v>
      </c>
      <c r="I2" s="8">
        <v>20</v>
      </c>
      <c r="J2" s="8">
        <v>20</v>
      </c>
      <c r="K2" s="8">
        <v>20</v>
      </c>
      <c r="L2" s="8">
        <v>20</v>
      </c>
      <c r="M2" s="8">
        <v>20</v>
      </c>
      <c r="N2" s="8">
        <v>20</v>
      </c>
      <c r="O2" s="8">
        <v>20</v>
      </c>
      <c r="P2" s="8">
        <v>20</v>
      </c>
      <c r="Q2" s="8">
        <v>20</v>
      </c>
    </row>
    <row r="3" spans="1:17" x14ac:dyDescent="0.2">
      <c r="A3" s="12" t="s">
        <v>34</v>
      </c>
      <c r="B3" s="9" t="s">
        <v>17</v>
      </c>
      <c r="C3" s="8">
        <v>21</v>
      </c>
      <c r="D3" s="8">
        <v>21</v>
      </c>
      <c r="E3" s="8">
        <v>21</v>
      </c>
      <c r="F3" s="8">
        <v>21</v>
      </c>
      <c r="G3" s="8">
        <v>21</v>
      </c>
      <c r="H3" s="8">
        <v>21</v>
      </c>
      <c r="I3" s="8">
        <v>21</v>
      </c>
      <c r="J3" s="8">
        <v>21</v>
      </c>
      <c r="K3" s="8">
        <v>21</v>
      </c>
      <c r="L3" s="8">
        <v>21</v>
      </c>
      <c r="M3" s="8">
        <v>21</v>
      </c>
      <c r="N3" s="8">
        <v>21</v>
      </c>
      <c r="O3" s="8">
        <v>21</v>
      </c>
      <c r="P3" s="8">
        <v>21</v>
      </c>
      <c r="Q3" s="8">
        <v>21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0.87590000000000001</v>
      </c>
      <c r="H6" s="19">
        <v>0.85540000000000005</v>
      </c>
      <c r="I6" s="19">
        <v>0.79110000000000003</v>
      </c>
      <c r="J6" s="19">
        <v>0.74860000000000004</v>
      </c>
      <c r="K6" s="19">
        <v>0.71860000000000002</v>
      </c>
      <c r="L6" s="19">
        <v>0.67930000000000001</v>
      </c>
      <c r="M6" s="19">
        <v>0.68179999999999996</v>
      </c>
      <c r="N6" s="19">
        <v>0.66679999999999995</v>
      </c>
      <c r="O6" s="19">
        <v>0.41930000000000001</v>
      </c>
      <c r="P6" s="19">
        <v>0.41930000000000001</v>
      </c>
      <c r="Q6" s="19">
        <v>0.41930000000000001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3</v>
      </c>
      <c r="H7" s="20">
        <v>3</v>
      </c>
      <c r="I7" s="20">
        <v>4</v>
      </c>
      <c r="J7" s="20">
        <v>5</v>
      </c>
      <c r="K7" s="20">
        <v>6</v>
      </c>
      <c r="L7" s="20">
        <v>6</v>
      </c>
      <c r="M7" s="20">
        <v>6</v>
      </c>
      <c r="N7" s="20">
        <v>7</v>
      </c>
      <c r="O7" s="20">
        <v>12</v>
      </c>
      <c r="P7" s="20">
        <v>12</v>
      </c>
      <c r="Q7" s="20">
        <v>12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21</v>
      </c>
      <c r="H9" s="8">
        <v>21</v>
      </c>
      <c r="I9" s="8">
        <v>20</v>
      </c>
      <c r="J9" s="8">
        <v>20</v>
      </c>
      <c r="K9" s="8">
        <v>20</v>
      </c>
      <c r="L9" s="8">
        <v>20</v>
      </c>
      <c r="M9" s="8">
        <v>20</v>
      </c>
      <c r="N9" s="8">
        <v>20</v>
      </c>
      <c r="O9" s="8">
        <v>20</v>
      </c>
      <c r="P9" s="8">
        <v>20</v>
      </c>
      <c r="Q9" s="8">
        <v>20</v>
      </c>
    </row>
    <row r="10" spans="1:17" x14ac:dyDescent="0.2">
      <c r="A10" s="9" t="s">
        <v>17</v>
      </c>
      <c r="B10" s="12" t="s">
        <v>19</v>
      </c>
      <c r="C10" s="8">
        <v>21</v>
      </c>
      <c r="D10" s="8">
        <v>21</v>
      </c>
      <c r="E10" s="8">
        <v>21</v>
      </c>
      <c r="F10" s="8">
        <v>20</v>
      </c>
      <c r="G10" s="8">
        <v>20</v>
      </c>
      <c r="H10" s="8">
        <v>20</v>
      </c>
      <c r="I10" s="8">
        <v>20</v>
      </c>
      <c r="J10" s="8">
        <v>20</v>
      </c>
      <c r="K10" s="8">
        <v>20</v>
      </c>
      <c r="L10" s="8">
        <v>20</v>
      </c>
      <c r="M10" s="8">
        <v>20</v>
      </c>
      <c r="N10" s="8">
        <v>20</v>
      </c>
      <c r="O10" s="8">
        <v>20</v>
      </c>
      <c r="P10" s="8">
        <v>20</v>
      </c>
      <c r="Q10" s="8">
        <v>20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21</v>
      </c>
      <c r="E32" s="21">
        <v>20</v>
      </c>
      <c r="F32" s="21">
        <v>20</v>
      </c>
      <c r="G32" s="21">
        <v>20</v>
      </c>
    </row>
    <row r="33" spans="1:7" x14ac:dyDescent="0.2">
      <c r="A33" s="12" t="s">
        <v>34</v>
      </c>
      <c r="B33" s="9" t="s">
        <v>17</v>
      </c>
      <c r="C33" s="26">
        <v>21</v>
      </c>
      <c r="D33" s="21">
        <v>21</v>
      </c>
      <c r="E33" s="21">
        <v>21</v>
      </c>
      <c r="F33" s="21">
        <v>21</v>
      </c>
      <c r="G33" s="21">
        <v>21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0.1283</v>
      </c>
      <c r="E35" s="28">
        <v>0.2472</v>
      </c>
      <c r="F35" s="28">
        <v>0.3241</v>
      </c>
      <c r="G35" s="28">
        <v>0.58079999999999998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0.87170000000000003</v>
      </c>
      <c r="E36" s="19">
        <v>0.75280000000000002</v>
      </c>
      <c r="F36" s="19">
        <v>0.67589999999999995</v>
      </c>
      <c r="G36" s="19">
        <v>0.41930000000000001</v>
      </c>
    </row>
    <row r="37" spans="1:7" x14ac:dyDescent="0.2">
      <c r="A37" s="17"/>
      <c r="B37" s="18" t="s">
        <v>24</v>
      </c>
      <c r="C37" s="30">
        <v>6</v>
      </c>
      <c r="D37" s="20">
        <v>3</v>
      </c>
      <c r="E37" s="20">
        <v>5</v>
      </c>
      <c r="F37" s="20">
        <v>6</v>
      </c>
      <c r="G37" s="20">
        <v>8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21</v>
      </c>
      <c r="E39" s="21">
        <v>20</v>
      </c>
      <c r="F39" s="21">
        <v>20</v>
      </c>
      <c r="G39" s="21">
        <v>20</v>
      </c>
    </row>
    <row r="40" spans="1:7" x14ac:dyDescent="0.2">
      <c r="A40" s="9" t="s">
        <v>17</v>
      </c>
      <c r="B40" s="12" t="s">
        <v>19</v>
      </c>
      <c r="C40" s="26">
        <v>21</v>
      </c>
      <c r="D40" s="21">
        <v>20</v>
      </c>
      <c r="E40" s="21">
        <v>20</v>
      </c>
      <c r="F40" s="21">
        <v>20</v>
      </c>
      <c r="G40" s="21">
        <v>20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21</v>
      </c>
      <c r="H62" s="12">
        <v>21</v>
      </c>
      <c r="I62" s="12">
        <v>20</v>
      </c>
      <c r="J62" s="12">
        <v>20</v>
      </c>
      <c r="K62" s="12">
        <v>20</v>
      </c>
      <c r="L62" s="12">
        <v>20</v>
      </c>
      <c r="M62" s="12">
        <v>20</v>
      </c>
      <c r="N62" s="12">
        <v>20</v>
      </c>
      <c r="O62" s="12">
        <v>20</v>
      </c>
      <c r="P62" s="12">
        <v>20</v>
      </c>
      <c r="Q62" s="12">
        <v>20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4</v>
      </c>
      <c r="H70" s="35">
        <v>4</v>
      </c>
      <c r="I70" s="35">
        <v>4</v>
      </c>
      <c r="J70" s="35">
        <v>4</v>
      </c>
      <c r="K70" s="35">
        <v>4</v>
      </c>
      <c r="L70" s="35">
        <v>4</v>
      </c>
      <c r="M70" s="35">
        <v>4</v>
      </c>
      <c r="N70" s="35">
        <v>4</v>
      </c>
      <c r="O70" s="35">
        <v>4</v>
      </c>
      <c r="P70" s="35">
        <v>4</v>
      </c>
      <c r="Q70" s="35">
        <v>4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21</v>
      </c>
      <c r="G2">
        <f>IF(AIC!H2&gt;0,AIC!H2,"")</f>
        <v>21</v>
      </c>
      <c r="H2">
        <f>IF(AIC!I2&gt;0,AIC!I2,"")</f>
        <v>20</v>
      </c>
      <c r="I2">
        <f>IF(AIC!J2&gt;0,AIC!J2,"")</f>
        <v>20</v>
      </c>
      <c r="J2">
        <f>IF(AIC!K2&gt;0,AIC!K2,"")</f>
        <v>20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21</v>
      </c>
      <c r="C3">
        <f>IF(AIC!D3&gt;0,AIC!D3,"")</f>
        <v>21</v>
      </c>
      <c r="D3">
        <f>IF(AIC!E3&gt;0,AIC!E3,"")</f>
        <v>21</v>
      </c>
      <c r="E3">
        <f>IF(AIC!F3&gt;0,AIC!F3,"")</f>
        <v>21</v>
      </c>
      <c r="F3">
        <f>IF(AIC!G3&gt;0,AIC!G3,"")</f>
        <v>21</v>
      </c>
      <c r="G3">
        <f>IF(AIC!H3&gt;0,AIC!H3,"")</f>
        <v>21</v>
      </c>
      <c r="H3">
        <f>IF(AIC!I3&gt;0,AIC!I3,"")</f>
        <v>21</v>
      </c>
      <c r="I3">
        <f>IF(AIC!J3&gt;0,AIC!J3,"")</f>
        <v>21</v>
      </c>
      <c r="J3">
        <f>IF(AIC!K3&gt;0,AIC!K3,"")</f>
        <v>21</v>
      </c>
      <c r="K3">
        <f>IF(AIC!L3&gt;0,AIC!L3,"")</f>
        <v>21</v>
      </c>
      <c r="L3">
        <f>IF(AIC!M3&gt;0,AIC!M3,"")</f>
        <v>21</v>
      </c>
      <c r="M3">
        <f>IF(AIC!N3&gt;0,AIC!N3,"")</f>
        <v>21</v>
      </c>
      <c r="N3">
        <f>IF(AIC!O3&gt;0,AIC!O3,"")</f>
        <v>21</v>
      </c>
      <c r="O3">
        <f>IF(AIC!P3&gt;0,AIC!P3,"")</f>
        <v>21</v>
      </c>
      <c r="P3">
        <f>IF(AIC!Q3&gt;0,AIC!Q3,"")</f>
        <v>21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21</v>
      </c>
      <c r="G12">
        <f>IF(AIC!H9&gt;0,AIC!H9,"")</f>
        <v>21</v>
      </c>
      <c r="H12">
        <f>IF(AIC!I9&gt;0,AIC!I9,"")</f>
        <v>20</v>
      </c>
      <c r="I12">
        <f>IF(AIC!J9&gt;0,AIC!J9,"")</f>
        <v>20</v>
      </c>
      <c r="J12">
        <f>IF(AIC!K9&gt;0,AIC!K9,"")</f>
        <v>20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21</v>
      </c>
      <c r="C13">
        <f>IF(AIC!D10&gt;0,AIC!D10,"")</f>
        <v>21</v>
      </c>
      <c r="D13">
        <f>IF(AIC!E10&gt;0,AIC!E10,"")</f>
        <v>21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20</v>
      </c>
      <c r="O13">
        <f>IF(AIC!P10&gt;0,AIC!P10,"")</f>
        <v>20</v>
      </c>
      <c r="P13">
        <f>IF(AIC!Q10&gt;0,AIC!Q10,"")</f>
        <v>20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21</v>
      </c>
      <c r="D42">
        <f>IF(AIC!E32&gt;0,AIC!E32,"")</f>
        <v>20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21</v>
      </c>
      <c r="C43">
        <f>IF(AIC!D33&gt;0,AIC!D33,"")</f>
        <v>21</v>
      </c>
      <c r="D43">
        <f>IF(AIC!E33&gt;0,AIC!E33,"")</f>
        <v>21</v>
      </c>
      <c r="E43">
        <f>IF(AIC!F33&gt;0,AIC!F33,"")</f>
        <v>21</v>
      </c>
      <c r="F43">
        <f>IF(AIC!G33&gt;0,AIC!G33,"")</f>
        <v>21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0.89500000000000002</v>
      </c>
      <c r="G84" s="67">
        <f t="shared" si="6"/>
        <v>0.875</v>
      </c>
      <c r="H84" s="67">
        <f t="shared" si="6"/>
        <v>0.875</v>
      </c>
      <c r="I84" s="67">
        <f t="shared" si="6"/>
        <v>0.875</v>
      </c>
      <c r="J84" s="67">
        <f t="shared" si="6"/>
        <v>1.4249999999999998</v>
      </c>
      <c r="K84" s="67">
        <f t="shared" si="6"/>
        <v>1.125</v>
      </c>
      <c r="L84" s="67">
        <f t="shared" si="6"/>
        <v>1.0750000000000002</v>
      </c>
      <c r="M84" s="67">
        <f t="shared" si="6"/>
        <v>1.375</v>
      </c>
      <c r="N84" s="67">
        <f t="shared" si="6"/>
        <v>3.6</v>
      </c>
      <c r="O84" s="67">
        <f t="shared" si="6"/>
        <v>3.6</v>
      </c>
      <c r="P84" s="67">
        <f t="shared" si="6"/>
        <v>3.6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81.916666666666671</v>
      </c>
      <c r="D86" s="59">
        <f>(AVERAGE(H83:J83)/AVERAGE(H82:J82))*100</f>
        <v>73.541666666666657</v>
      </c>
      <c r="E86" s="59">
        <f>(AVERAGE(K83:M83)/AVERAGE(K82:M82))*100</f>
        <v>70.208333333333343</v>
      </c>
      <c r="F86" s="59">
        <f>(AVERAGE(N83:P83)/AVERAGE(N82:P82))*100</f>
        <v>10.000000000000002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87.59</v>
      </c>
      <c r="G152">
        <f>AIC!H6*100</f>
        <v>85.54</v>
      </c>
      <c r="H152">
        <f>AIC!I6*100</f>
        <v>79.11</v>
      </c>
      <c r="I152">
        <f>AIC!J6*100</f>
        <v>74.86</v>
      </c>
      <c r="J152">
        <f>AIC!K6*100</f>
        <v>71.86</v>
      </c>
      <c r="K152">
        <f>AIC!L6*100</f>
        <v>67.930000000000007</v>
      </c>
      <c r="L152">
        <f>AIC!M6*100</f>
        <v>68.179999999999993</v>
      </c>
      <c r="M152">
        <f>AIC!N6*100</f>
        <v>66.679999999999993</v>
      </c>
      <c r="N152">
        <f>AIC!O6*100</f>
        <v>41.93</v>
      </c>
      <c r="O152">
        <f>AIC!P6*100</f>
        <v>41.93</v>
      </c>
      <c r="P152">
        <f>AIC!Q6*100</f>
        <v>41.93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3</v>
      </c>
      <c r="G153">
        <f>AIC!H7</f>
        <v>3</v>
      </c>
      <c r="H153">
        <f>AIC!I7</f>
        <v>4</v>
      </c>
      <c r="I153">
        <f>AIC!J7</f>
        <v>5</v>
      </c>
      <c r="J153">
        <f>AIC!K7</f>
        <v>6</v>
      </c>
      <c r="K153">
        <f>AIC!L7</f>
        <v>6</v>
      </c>
      <c r="L153">
        <f>AIC!M7</f>
        <v>6</v>
      </c>
      <c r="M153">
        <f>AIC!N7</f>
        <v>7</v>
      </c>
      <c r="N153">
        <f>AIC!O7</f>
        <v>12</v>
      </c>
      <c r="O153">
        <f>AIC!P7</f>
        <v>12</v>
      </c>
      <c r="P153">
        <f>AIC!Q7</f>
        <v>12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87.17</v>
      </c>
      <c r="D156">
        <f>AIC!E36*100</f>
        <v>75.28</v>
      </c>
      <c r="E156">
        <f>AIC!F36*100</f>
        <v>67.589999999999989</v>
      </c>
      <c r="F156">
        <f>AIC!G36*100</f>
        <v>41.93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3</v>
      </c>
      <c r="D157">
        <f>AIC!E37</f>
        <v>5</v>
      </c>
      <c r="E157">
        <f>AIC!F37</f>
        <v>6</v>
      </c>
      <c r="F157">
        <f>AIC!G37</f>
        <v>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60" workbookViewId="0">
      <selection activeCell="Q87" sqref="Q8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50" activePane="bottomLeft" state="frozen"/>
      <selection pane="bottomLeft" activeCell="B66" sqref="B66:P66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142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123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143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144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124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135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125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131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132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127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133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134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137</v>
      </c>
      <c r="B62" s="8">
        <v>64.02</v>
      </c>
      <c r="C62" s="8">
        <v>70.39</v>
      </c>
      <c r="D62" s="8">
        <v>74.349999999999994</v>
      </c>
      <c r="E62" s="8">
        <v>72.650000000000006</v>
      </c>
      <c r="F62" s="8">
        <v>78.16</v>
      </c>
      <c r="G62" s="8">
        <v>74.239999999999995</v>
      </c>
      <c r="H62" s="8">
        <v>77.010000000000005</v>
      </c>
      <c r="I62" s="8">
        <v>75.19</v>
      </c>
      <c r="J62" s="8">
        <v>74.180000000000007</v>
      </c>
      <c r="K62" s="8">
        <v>68.94</v>
      </c>
      <c r="L62" s="8">
        <v>67.36</v>
      </c>
      <c r="M62" s="8">
        <v>67.180000000000007</v>
      </c>
      <c r="N62" s="8">
        <v>48.3</v>
      </c>
      <c r="O62" s="8">
        <v>48.12</v>
      </c>
      <c r="P62" s="8">
        <v>48.12</v>
      </c>
    </row>
    <row r="63" spans="1:16" x14ac:dyDescent="0.2">
      <c r="A63" s="8" t="s">
        <v>138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139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140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 t="s">
        <v>141</v>
      </c>
      <c r="B66" s="8">
        <v>0</v>
      </c>
      <c r="C66" s="8">
        <v>0.15</v>
      </c>
      <c r="D66" s="8">
        <v>0.15</v>
      </c>
      <c r="E66" s="8">
        <v>0.38</v>
      </c>
      <c r="F66" s="8">
        <v>0.5</v>
      </c>
      <c r="G66" s="8">
        <v>0.6</v>
      </c>
      <c r="H66" s="8">
        <v>0.73</v>
      </c>
      <c r="I66" s="8">
        <v>0.5</v>
      </c>
      <c r="J66" s="8">
        <v>0.5</v>
      </c>
      <c r="K66" s="8">
        <v>0.63</v>
      </c>
      <c r="L66" s="8">
        <v>0.5</v>
      </c>
      <c r="M66" s="8">
        <v>0.63</v>
      </c>
      <c r="N66" s="8">
        <v>0.5</v>
      </c>
      <c r="O66" s="8">
        <v>0.5</v>
      </c>
      <c r="P66" s="8">
        <v>0.5</v>
      </c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H25" sqref="H25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136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126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4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17" t="str">
        <f>Project!N61</f>
        <v>JAN'27</v>
      </c>
      <c r="O41" s="17" t="str">
        <f>Project!O61</f>
        <v>FEB'27</v>
      </c>
      <c r="P41" s="17" t="str">
        <f>Project!P61</f>
        <v>MAR'27</v>
      </c>
    </row>
    <row r="42" spans="1:16" x14ac:dyDescent="0.2">
      <c r="A42" s="8" t="str">
        <f>Project!A62</f>
        <v>1.1 PS</v>
      </c>
      <c r="B42" s="8">
        <f>Project!B62</f>
        <v>64.02</v>
      </c>
      <c r="C42" s="8">
        <f>Project!C62</f>
        <v>70.39</v>
      </c>
      <c r="D42" s="8">
        <f>Project!D62</f>
        <v>74.349999999999994</v>
      </c>
      <c r="E42" s="8">
        <f>Project!E62</f>
        <v>72.650000000000006</v>
      </c>
      <c r="F42" s="8">
        <f>Project!F62</f>
        <v>78.16</v>
      </c>
      <c r="G42" s="8">
        <f>Project!G62</f>
        <v>74.239999999999995</v>
      </c>
      <c r="H42" s="8">
        <f>Project!H62</f>
        <v>77.010000000000005</v>
      </c>
      <c r="I42" s="8">
        <f>Project!I62</f>
        <v>75.19</v>
      </c>
      <c r="J42" s="8">
        <f>Project!J62</f>
        <v>74.180000000000007</v>
      </c>
      <c r="K42" s="8">
        <f>Project!K62</f>
        <v>68.94</v>
      </c>
      <c r="L42" s="8">
        <f>Project!L62</f>
        <v>67.36</v>
      </c>
      <c r="M42" s="8">
        <f>Project!M62</f>
        <v>67.180000000000007</v>
      </c>
      <c r="N42" s="8">
        <f>Project!N62</f>
        <v>48.3</v>
      </c>
      <c r="O42" s="8">
        <f>Project!O62</f>
        <v>48.12</v>
      </c>
      <c r="P42" s="8">
        <f>Project!P62</f>
        <v>48.12</v>
      </c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>
        <f>Project!N63</f>
        <v>18.559999999999999</v>
      </c>
      <c r="O43" s="8">
        <f>Project!O63</f>
        <v>18.43</v>
      </c>
      <c r="P43" s="8">
        <f>Project!P63</f>
        <v>18.43</v>
      </c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>
        <f>Project!N64</f>
        <v>4.66</v>
      </c>
      <c r="O44" s="8">
        <f>Project!O64</f>
        <v>4.66</v>
      </c>
      <c r="P44" s="8">
        <f>Project!P64</f>
        <v>4.66</v>
      </c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  <c r="N45">
        <f>Project!N65</f>
        <v>0.11</v>
      </c>
      <c r="O45">
        <f>Project!O65</f>
        <v>0.11</v>
      </c>
      <c r="P45">
        <f>Project!P65</f>
        <v>0.11</v>
      </c>
    </row>
    <row r="46" spans="1:16" x14ac:dyDescent="0.2">
      <c r="A46" t="str">
        <f>Project!A66</f>
        <v>7 DO Tools</v>
      </c>
      <c r="B46">
        <f>Project!B66</f>
        <v>0</v>
      </c>
      <c r="C46">
        <f>Project!C66</f>
        <v>0.15</v>
      </c>
      <c r="D46">
        <f>Project!D66</f>
        <v>0.15</v>
      </c>
      <c r="E46">
        <f>Project!E66</f>
        <v>0.38</v>
      </c>
      <c r="F46">
        <f>Project!F66</f>
        <v>0.5</v>
      </c>
      <c r="G46">
        <f>Project!G66</f>
        <v>0.6</v>
      </c>
      <c r="H46">
        <f>Project!H66</f>
        <v>0.73</v>
      </c>
      <c r="I46">
        <f>Project!I66</f>
        <v>0.5</v>
      </c>
      <c r="J46">
        <f>Project!J66</f>
        <v>0.5</v>
      </c>
      <c r="K46">
        <f>Project!K66</f>
        <v>0.63</v>
      </c>
      <c r="L46">
        <f>Project!L66</f>
        <v>0.5</v>
      </c>
      <c r="M46">
        <f>Project!M66</f>
        <v>0.63</v>
      </c>
      <c r="N46">
        <f>Project!N66</f>
        <v>0.5</v>
      </c>
      <c r="O46">
        <f>Project!O66</f>
        <v>0.5</v>
      </c>
      <c r="P46">
        <f>Project!P66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2026-06-09T04:36:26Z</dcterms:modified>
</cp:coreProperties>
</file>