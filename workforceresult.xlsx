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8B3B4170-FDE9-BC49-83AF-DA3215772A36}" xr6:coauthVersionLast="47" xr6:coauthVersionMax="47" xr10:uidLastSave="{00000000-0000-0000-0000-000000000000}"/>
  <bookViews>
    <workbookView xWindow="4080" yWindow="4220" windowWidth="40720" windowHeight="15880" activeTab="6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4" l="1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27" i="14"/>
  <c r="B27" i="14"/>
  <c r="B28" i="14"/>
  <c r="C27" i="14"/>
  <c r="C28" i="14"/>
  <c r="D27" i="14"/>
  <c r="D28" i="14"/>
  <c r="E27" i="14"/>
  <c r="E28" i="14"/>
  <c r="F28" i="14"/>
  <c r="A86" i="12"/>
  <c r="F85" i="12"/>
  <c r="E85" i="12"/>
  <c r="D85" i="12"/>
  <c r="C85" i="12"/>
  <c r="B85" i="12"/>
  <c r="A76" i="12"/>
  <c r="F75" i="12"/>
  <c r="E75" i="12"/>
  <c r="D75" i="12"/>
  <c r="C75" i="12"/>
  <c r="B75" i="12"/>
  <c r="A66" i="12"/>
  <c r="F65" i="12"/>
  <c r="E65" i="12"/>
  <c r="D65" i="12"/>
  <c r="C65" i="12"/>
  <c r="B65" i="12"/>
  <c r="A56" i="12"/>
  <c r="F55" i="12"/>
  <c r="E55" i="12"/>
  <c r="D55" i="12"/>
  <c r="C55" i="12"/>
  <c r="B55" i="12"/>
  <c r="A96" i="10"/>
  <c r="F95" i="10"/>
  <c r="E95" i="10"/>
  <c r="D95" i="10"/>
  <c r="C95" i="10"/>
  <c r="B95" i="10"/>
  <c r="A86" i="10"/>
  <c r="F85" i="10"/>
  <c r="E85" i="10"/>
  <c r="D85" i="10"/>
  <c r="C85" i="10"/>
  <c r="B85" i="10"/>
  <c r="A76" i="10"/>
  <c r="F75" i="10"/>
  <c r="E75" i="10"/>
  <c r="D75" i="10"/>
  <c r="C75" i="10"/>
  <c r="B75" i="10"/>
  <c r="A66" i="10"/>
  <c r="F65" i="10"/>
  <c r="E65" i="10"/>
  <c r="D65" i="10"/>
  <c r="C65" i="10"/>
  <c r="B65" i="10"/>
  <c r="A56" i="10"/>
  <c r="F55" i="10"/>
  <c r="E55" i="10"/>
  <c r="D55" i="10"/>
  <c r="C55" i="10"/>
  <c r="B55" i="10"/>
  <c r="A136" i="8"/>
  <c r="F135" i="8"/>
  <c r="E135" i="8"/>
  <c r="D135" i="8"/>
  <c r="C135" i="8"/>
  <c r="B135" i="8"/>
  <c r="A126" i="8"/>
  <c r="F125" i="8"/>
  <c r="E125" i="8"/>
  <c r="D125" i="8"/>
  <c r="C125" i="8"/>
  <c r="B125" i="8"/>
  <c r="A116" i="8"/>
  <c r="F115" i="8"/>
  <c r="E115" i="8"/>
  <c r="D115" i="8"/>
  <c r="C115" i="8"/>
  <c r="B115" i="8"/>
  <c r="A106" i="8"/>
  <c r="F105" i="8"/>
  <c r="E105" i="8"/>
  <c r="D105" i="8"/>
  <c r="C105" i="8"/>
  <c r="B105" i="8"/>
  <c r="A96" i="8"/>
  <c r="F95" i="8"/>
  <c r="E95" i="8"/>
  <c r="D95" i="8"/>
  <c r="C95" i="8"/>
  <c r="B95" i="8"/>
  <c r="A86" i="8"/>
  <c r="F85" i="8"/>
  <c r="E85" i="8"/>
  <c r="D85" i="8"/>
  <c r="C85" i="8"/>
  <c r="B85" i="8"/>
  <c r="A76" i="8"/>
  <c r="F75" i="8"/>
  <c r="E75" i="8"/>
  <c r="D75" i="8"/>
  <c r="C75" i="8"/>
  <c r="B75" i="8"/>
  <c r="A66" i="8"/>
  <c r="F65" i="8"/>
  <c r="E65" i="8"/>
  <c r="D65" i="8"/>
  <c r="C65" i="8"/>
  <c r="B65" i="8"/>
  <c r="A56" i="8"/>
  <c r="F55" i="8"/>
  <c r="E55" i="8"/>
  <c r="D55" i="8"/>
  <c r="C55" i="8"/>
  <c r="B55" i="8"/>
  <c r="A66" i="6"/>
  <c r="F65" i="6"/>
  <c r="E65" i="6"/>
  <c r="D65" i="6"/>
  <c r="C65" i="6"/>
  <c r="B65" i="6"/>
  <c r="A56" i="6"/>
  <c r="F55" i="6"/>
  <c r="E55" i="6"/>
  <c r="D55" i="6"/>
  <c r="C55" i="6"/>
  <c r="B55" i="6"/>
  <c r="A66" i="4"/>
  <c r="F65" i="4"/>
  <c r="E65" i="4"/>
  <c r="D65" i="4"/>
  <c r="C65" i="4"/>
  <c r="B65" i="4"/>
  <c r="C55" i="4"/>
  <c r="D55" i="4"/>
  <c r="E55" i="4"/>
  <c r="F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B84" i="12" s="1"/>
  <c r="C82" i="12"/>
  <c r="C84" i="12" s="1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I84" i="12" s="1"/>
  <c r="J82" i="12"/>
  <c r="J84" i="12" s="1"/>
  <c r="K82" i="12"/>
  <c r="K84" i="12" s="1"/>
  <c r="L82" i="12"/>
  <c r="L84" i="12" s="1"/>
  <c r="M82" i="12"/>
  <c r="M84" i="12" s="1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D86" i="12" s="1"/>
  <c r="I83" i="12"/>
  <c r="J83" i="12"/>
  <c r="K83" i="12"/>
  <c r="E86" i="12" s="1"/>
  <c r="L83" i="12"/>
  <c r="M83" i="12"/>
  <c r="N83" i="12"/>
  <c r="F86" i="12" s="1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G74" i="12" s="1"/>
  <c r="H72" i="12"/>
  <c r="H74" i="12" s="1"/>
  <c r="I72" i="12"/>
  <c r="I74" i="12" s="1"/>
  <c r="J72" i="12"/>
  <c r="J74" i="12" s="1"/>
  <c r="K72" i="12"/>
  <c r="K74" i="12" s="1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B76" i="12" s="1"/>
  <c r="C73" i="12"/>
  <c r="D73" i="12"/>
  <c r="E73" i="12"/>
  <c r="C76" i="12" s="1"/>
  <c r="F73" i="12"/>
  <c r="G73" i="12"/>
  <c r="H73" i="12"/>
  <c r="D76" i="12" s="1"/>
  <c r="I73" i="12"/>
  <c r="J73" i="12"/>
  <c r="K73" i="12"/>
  <c r="E76" i="12" s="1"/>
  <c r="L73" i="12"/>
  <c r="M73" i="12"/>
  <c r="N73" i="12"/>
  <c r="F76" i="12" s="1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F66" i="12" s="1"/>
  <c r="M63" i="12"/>
  <c r="L63" i="12"/>
  <c r="E66" i="12" s="1"/>
  <c r="K63" i="12"/>
  <c r="J63" i="12"/>
  <c r="I63" i="12"/>
  <c r="H63" i="12"/>
  <c r="D66" i="12" s="1"/>
  <c r="G63" i="12"/>
  <c r="F63" i="12"/>
  <c r="E63" i="12"/>
  <c r="C66" i="12" s="1"/>
  <c r="D63" i="12"/>
  <c r="C63" i="12"/>
  <c r="B63" i="12"/>
  <c r="B66" i="12" s="1"/>
  <c r="A63" i="12"/>
  <c r="P62" i="12"/>
  <c r="P64" i="12" s="1"/>
  <c r="O62" i="12"/>
  <c r="O64" i="12" s="1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G64" i="12" s="1"/>
  <c r="F62" i="12"/>
  <c r="F64" i="12" s="1"/>
  <c r="E62" i="12"/>
  <c r="E64" i="12" s="1"/>
  <c r="D62" i="12"/>
  <c r="D64" i="12" s="1"/>
  <c r="C62" i="12"/>
  <c r="C64" i="12" s="1"/>
  <c r="B62" i="12"/>
  <c r="B64" i="12" s="1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F56" i="12" s="1"/>
  <c r="M53" i="12"/>
  <c r="L53" i="12"/>
  <c r="K53" i="12"/>
  <c r="E56" i="12" s="1"/>
  <c r="J53" i="12"/>
  <c r="I53" i="12"/>
  <c r="H53" i="12"/>
  <c r="D56" i="12" s="1"/>
  <c r="G53" i="12"/>
  <c r="F53" i="12"/>
  <c r="E53" i="12"/>
  <c r="C56" i="12" s="1"/>
  <c r="D53" i="12"/>
  <c r="C53" i="12"/>
  <c r="B53" i="12"/>
  <c r="B56" i="12" s="1"/>
  <c r="A53" i="12"/>
  <c r="P52" i="12"/>
  <c r="P54" i="12" s="1"/>
  <c r="O52" i="12"/>
  <c r="O54" i="12" s="1"/>
  <c r="N52" i="12"/>
  <c r="N54" i="12" s="1"/>
  <c r="M52" i="12"/>
  <c r="M54" i="12" s="1"/>
  <c r="L52" i="12"/>
  <c r="L54" i="12" s="1"/>
  <c r="K52" i="12"/>
  <c r="K54" i="12" s="1"/>
  <c r="J52" i="12"/>
  <c r="J54" i="12" s="1"/>
  <c r="I52" i="12"/>
  <c r="I54" i="12" s="1"/>
  <c r="H52" i="12"/>
  <c r="H54" i="12" s="1"/>
  <c r="G52" i="12"/>
  <c r="G54" i="12" s="1"/>
  <c r="F52" i="12"/>
  <c r="F54" i="12" s="1"/>
  <c r="E52" i="12"/>
  <c r="E54" i="12" s="1"/>
  <c r="D52" i="12"/>
  <c r="D54" i="12" s="1"/>
  <c r="C52" i="12"/>
  <c r="C54" i="12" s="1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I94" i="10" s="1"/>
  <c r="J92" i="10"/>
  <c r="K92" i="10"/>
  <c r="K94" i="10" s="1"/>
  <c r="L92" i="10"/>
  <c r="L94" i="10" s="1"/>
  <c r="M92" i="10"/>
  <c r="N92" i="10"/>
  <c r="O92" i="10"/>
  <c r="O94" i="10" s="1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C84" i="10" s="1"/>
  <c r="D82" i="10"/>
  <c r="E82" i="10"/>
  <c r="F82" i="10"/>
  <c r="G82" i="10"/>
  <c r="G84" i="10" s="1"/>
  <c r="H82" i="10"/>
  <c r="I82" i="10"/>
  <c r="I84" i="10" s="1"/>
  <c r="J82" i="10"/>
  <c r="J84" i="10" s="1"/>
  <c r="K82" i="10"/>
  <c r="L82" i="10"/>
  <c r="M82" i="10"/>
  <c r="M84" i="10" s="1"/>
  <c r="N82" i="10"/>
  <c r="O82" i="10"/>
  <c r="P82" i="10"/>
  <c r="B83" i="10"/>
  <c r="B86" i="10" s="1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E74" i="10" s="1"/>
  <c r="F72" i="10"/>
  <c r="G72" i="10"/>
  <c r="G74" i="10" s="1"/>
  <c r="H72" i="10"/>
  <c r="H74" i="10" s="1"/>
  <c r="I72" i="10"/>
  <c r="J72" i="10"/>
  <c r="K72" i="10"/>
  <c r="K74" i="10" s="1"/>
  <c r="L72" i="10"/>
  <c r="M72" i="10"/>
  <c r="N72" i="10"/>
  <c r="O72" i="10"/>
  <c r="O74" i="10" s="1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C64" i="10" s="1"/>
  <c r="D62" i="10"/>
  <c r="E62" i="10"/>
  <c r="E64" i="10" s="1"/>
  <c r="F62" i="10"/>
  <c r="F64" i="10" s="1"/>
  <c r="G62" i="10"/>
  <c r="H62" i="10"/>
  <c r="I62" i="10"/>
  <c r="J62" i="10"/>
  <c r="K62" i="10"/>
  <c r="L62" i="10"/>
  <c r="M62" i="10"/>
  <c r="M64" i="10" s="1"/>
  <c r="N62" i="10"/>
  <c r="O62" i="10"/>
  <c r="O64" i="10" s="1"/>
  <c r="P62" i="10"/>
  <c r="P64" i="10" s="1"/>
  <c r="B63" i="10"/>
  <c r="C63" i="10"/>
  <c r="D63" i="10"/>
  <c r="E63" i="10"/>
  <c r="F63" i="10"/>
  <c r="G63" i="10"/>
  <c r="H63" i="10"/>
  <c r="D66" i="10" s="1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C54" i="10" s="1"/>
  <c r="D52" i="10"/>
  <c r="D54" i="10" s="1"/>
  <c r="E52" i="10"/>
  <c r="F52" i="10"/>
  <c r="G52" i="10"/>
  <c r="H52" i="10"/>
  <c r="I52" i="10"/>
  <c r="J52" i="10"/>
  <c r="K52" i="10"/>
  <c r="K54" i="10" s="1"/>
  <c r="L52" i="10"/>
  <c r="L54" i="10" s="1"/>
  <c r="M52" i="10"/>
  <c r="M54" i="10" s="1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C64" i="8" s="1"/>
  <c r="D62" i="8"/>
  <c r="E62" i="8"/>
  <c r="F62" i="8"/>
  <c r="G62" i="8"/>
  <c r="H62" i="8"/>
  <c r="I62" i="8"/>
  <c r="I64" i="8" s="1"/>
  <c r="J62" i="8"/>
  <c r="J64" i="8" s="1"/>
  <c r="K62" i="8"/>
  <c r="L62" i="8"/>
  <c r="L64" i="8" s="1"/>
  <c r="M62" i="8"/>
  <c r="M64" i="8" s="1"/>
  <c r="N62" i="8"/>
  <c r="O62" i="8"/>
  <c r="P62" i="8"/>
  <c r="B63" i="8"/>
  <c r="C63" i="8"/>
  <c r="D63" i="8"/>
  <c r="E63" i="8"/>
  <c r="C66" i="8" s="1"/>
  <c r="F63" i="8"/>
  <c r="G63" i="8"/>
  <c r="H63" i="8"/>
  <c r="I63" i="8"/>
  <c r="J63" i="8"/>
  <c r="K63" i="8"/>
  <c r="E66" i="8" s="1"/>
  <c r="L63" i="8"/>
  <c r="M63" i="8"/>
  <c r="N63" i="8"/>
  <c r="F66" i="8" s="1"/>
  <c r="O63" i="8"/>
  <c r="P63" i="8"/>
  <c r="A63" i="8"/>
  <c r="B72" i="8"/>
  <c r="B74" i="8" s="1"/>
  <c r="C72" i="8"/>
  <c r="D72" i="8"/>
  <c r="E72" i="8"/>
  <c r="E74" i="8" s="1"/>
  <c r="F72" i="8"/>
  <c r="G72" i="8"/>
  <c r="H72" i="8"/>
  <c r="H74" i="8" s="1"/>
  <c r="I72" i="8"/>
  <c r="I74" i="8" s="1"/>
  <c r="J72" i="8"/>
  <c r="K72" i="8"/>
  <c r="K74" i="8" s="1"/>
  <c r="L72" i="8"/>
  <c r="M72" i="8"/>
  <c r="N72" i="8"/>
  <c r="O72" i="8"/>
  <c r="O74" i="8" s="1"/>
  <c r="P72" i="8"/>
  <c r="B73" i="8"/>
  <c r="B76" i="8" s="1"/>
  <c r="C73" i="8"/>
  <c r="D73" i="8"/>
  <c r="E73" i="8"/>
  <c r="F73" i="8"/>
  <c r="G73" i="8"/>
  <c r="H73" i="8"/>
  <c r="I73" i="8"/>
  <c r="J73" i="8"/>
  <c r="K73" i="8"/>
  <c r="L73" i="8"/>
  <c r="M73" i="8"/>
  <c r="N73" i="8"/>
  <c r="F76" i="8" s="1"/>
  <c r="O73" i="8"/>
  <c r="P73" i="8"/>
  <c r="A73" i="8"/>
  <c r="B82" i="8"/>
  <c r="C82" i="8"/>
  <c r="D82" i="8"/>
  <c r="D84" i="8" s="1"/>
  <c r="E82" i="8"/>
  <c r="F82" i="8"/>
  <c r="F84" i="8" s="1"/>
  <c r="G82" i="8"/>
  <c r="G84" i="8" s="1"/>
  <c r="H82" i="8"/>
  <c r="H84" i="8" s="1"/>
  <c r="I82" i="8"/>
  <c r="J82" i="8"/>
  <c r="J84" i="8" s="1"/>
  <c r="K82" i="8"/>
  <c r="L82" i="8"/>
  <c r="M82" i="8"/>
  <c r="N82" i="8"/>
  <c r="N84" i="8" s="1"/>
  <c r="O82" i="8"/>
  <c r="P82" i="8"/>
  <c r="P84" i="8" s="1"/>
  <c r="B83" i="8"/>
  <c r="B86" i="8" s="1"/>
  <c r="C83" i="8"/>
  <c r="D83" i="8"/>
  <c r="E83" i="8"/>
  <c r="F83" i="8"/>
  <c r="G83" i="8"/>
  <c r="H83" i="8"/>
  <c r="I83" i="8"/>
  <c r="J83" i="8"/>
  <c r="K83" i="8"/>
  <c r="E86" i="8" s="1"/>
  <c r="L83" i="8"/>
  <c r="M83" i="8"/>
  <c r="N83" i="8"/>
  <c r="O83" i="8"/>
  <c r="P83" i="8"/>
  <c r="A83" i="8"/>
  <c r="B92" i="8"/>
  <c r="C92" i="8"/>
  <c r="D92" i="8"/>
  <c r="E92" i="8"/>
  <c r="E94" i="8" s="1"/>
  <c r="F92" i="8"/>
  <c r="F94" i="8" s="1"/>
  <c r="G92" i="8"/>
  <c r="G94" i="8" s="1"/>
  <c r="H92" i="8"/>
  <c r="I92" i="8"/>
  <c r="I94" i="8" s="1"/>
  <c r="J92" i="8"/>
  <c r="K92" i="8"/>
  <c r="L92" i="8"/>
  <c r="M92" i="8"/>
  <c r="N92" i="8"/>
  <c r="O92" i="8"/>
  <c r="O94" i="8" s="1"/>
  <c r="P92" i="8"/>
  <c r="P94" i="8" s="1"/>
  <c r="B93" i="8"/>
  <c r="B96" i="8" s="1"/>
  <c r="C93" i="8"/>
  <c r="D93" i="8"/>
  <c r="E93" i="8"/>
  <c r="F93" i="8"/>
  <c r="G93" i="8"/>
  <c r="H93" i="8"/>
  <c r="I93" i="8"/>
  <c r="J93" i="8"/>
  <c r="K93" i="8"/>
  <c r="E96" i="8" s="1"/>
  <c r="L93" i="8"/>
  <c r="M93" i="8"/>
  <c r="N93" i="8"/>
  <c r="O93" i="8"/>
  <c r="P93" i="8"/>
  <c r="A93" i="8"/>
  <c r="B102" i="8"/>
  <c r="C102" i="8"/>
  <c r="D102" i="8"/>
  <c r="D104" i="8" s="1"/>
  <c r="E102" i="8"/>
  <c r="E104" i="8" s="1"/>
  <c r="F102" i="8"/>
  <c r="F104" i="8" s="1"/>
  <c r="G102" i="8"/>
  <c r="H102" i="8"/>
  <c r="H104" i="8" s="1"/>
  <c r="I102" i="8"/>
  <c r="J102" i="8"/>
  <c r="K102" i="8"/>
  <c r="L102" i="8"/>
  <c r="M102" i="8"/>
  <c r="N102" i="8"/>
  <c r="N104" i="8" s="1"/>
  <c r="O102" i="8"/>
  <c r="O104" i="8" s="1"/>
  <c r="P102" i="8"/>
  <c r="P104" i="8" s="1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C114" i="8" s="1"/>
  <c r="D112" i="8"/>
  <c r="D114" i="8" s="1"/>
  <c r="E112" i="8"/>
  <c r="E114" i="8" s="1"/>
  <c r="F112" i="8"/>
  <c r="G112" i="8"/>
  <c r="G114" i="8" s="1"/>
  <c r="H112" i="8"/>
  <c r="I112" i="8"/>
  <c r="J112" i="8"/>
  <c r="K112" i="8"/>
  <c r="L112" i="8"/>
  <c r="M112" i="8"/>
  <c r="M114" i="8" s="1"/>
  <c r="N112" i="8"/>
  <c r="N114" i="8" s="1"/>
  <c r="O112" i="8"/>
  <c r="O114" i="8" s="1"/>
  <c r="P112" i="8"/>
  <c r="B113" i="8"/>
  <c r="C113" i="8"/>
  <c r="D113" i="8"/>
  <c r="E113" i="8"/>
  <c r="F113" i="8"/>
  <c r="G113" i="8"/>
  <c r="H113" i="8"/>
  <c r="D116" i="8" s="1"/>
  <c r="I113" i="8"/>
  <c r="J113" i="8"/>
  <c r="K113" i="8"/>
  <c r="L113" i="8"/>
  <c r="M113" i="8"/>
  <c r="N113" i="8"/>
  <c r="O113" i="8"/>
  <c r="P113" i="8"/>
  <c r="A113" i="8"/>
  <c r="B122" i="8"/>
  <c r="B124" i="8" s="1"/>
  <c r="C122" i="8"/>
  <c r="C124" i="8" s="1"/>
  <c r="D122" i="8"/>
  <c r="D124" i="8" s="1"/>
  <c r="E122" i="8"/>
  <c r="E124" i="8" s="1"/>
  <c r="F122" i="8"/>
  <c r="F124" i="8" s="1"/>
  <c r="G122" i="8"/>
  <c r="H122" i="8"/>
  <c r="I122" i="8"/>
  <c r="J122" i="8"/>
  <c r="K122" i="8"/>
  <c r="L122" i="8"/>
  <c r="L124" i="8" s="1"/>
  <c r="M122" i="8"/>
  <c r="M124" i="8" s="1"/>
  <c r="N122" i="8"/>
  <c r="N124" i="8" s="1"/>
  <c r="O122" i="8"/>
  <c r="O124" i="8" s="1"/>
  <c r="P122" i="8"/>
  <c r="P124" i="8" s="1"/>
  <c r="B123" i="8"/>
  <c r="C123" i="8"/>
  <c r="D123" i="8"/>
  <c r="E123" i="8"/>
  <c r="F123" i="8"/>
  <c r="G123" i="8"/>
  <c r="H123" i="8"/>
  <c r="D126" i="8" s="1"/>
  <c r="I123" i="8"/>
  <c r="J123" i="8"/>
  <c r="K123" i="8"/>
  <c r="L123" i="8"/>
  <c r="M123" i="8"/>
  <c r="N123" i="8"/>
  <c r="O123" i="8"/>
  <c r="P123" i="8"/>
  <c r="A123" i="8"/>
  <c r="B132" i="8"/>
  <c r="B134" i="8" s="1"/>
  <c r="C132" i="8"/>
  <c r="C134" i="8" s="1"/>
  <c r="D132" i="8"/>
  <c r="E132" i="8"/>
  <c r="E134" i="8" s="1"/>
  <c r="F132" i="8"/>
  <c r="G132" i="8"/>
  <c r="H132" i="8"/>
  <c r="I132" i="8"/>
  <c r="J132" i="8"/>
  <c r="K132" i="8"/>
  <c r="K134" i="8" s="1"/>
  <c r="L132" i="8"/>
  <c r="L134" i="8" s="1"/>
  <c r="M132" i="8"/>
  <c r="M134" i="8" s="1"/>
  <c r="N132" i="8"/>
  <c r="O132" i="8"/>
  <c r="O134" i="8" s="1"/>
  <c r="P132" i="8"/>
  <c r="B133" i="8"/>
  <c r="C133" i="8"/>
  <c r="D133" i="8"/>
  <c r="E133" i="8"/>
  <c r="F133" i="8"/>
  <c r="G133" i="8"/>
  <c r="H133" i="8"/>
  <c r="D136" i="8" s="1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C54" i="8" s="1"/>
  <c r="D52" i="8"/>
  <c r="D54" i="8" s="1"/>
  <c r="E52" i="8"/>
  <c r="E54" i="8" s="1"/>
  <c r="F52" i="8"/>
  <c r="F54" i="8" s="1"/>
  <c r="G52" i="8"/>
  <c r="G54" i="8" s="1"/>
  <c r="H52" i="8"/>
  <c r="I52" i="8"/>
  <c r="J52" i="8"/>
  <c r="K52" i="8"/>
  <c r="K54" i="8" s="1"/>
  <c r="L52" i="8"/>
  <c r="M52" i="8"/>
  <c r="M54" i="8" s="1"/>
  <c r="N52" i="8"/>
  <c r="N54" i="8" s="1"/>
  <c r="O52" i="8"/>
  <c r="O54" i="8" s="1"/>
  <c r="P52" i="8"/>
  <c r="P54" i="8" s="1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N64" i="6" s="1"/>
  <c r="O62" i="6"/>
  <c r="P62" i="6"/>
  <c r="A62" i="6"/>
  <c r="A61" i="6"/>
  <c r="B52" i="6"/>
  <c r="C52" i="6"/>
  <c r="D52" i="6"/>
  <c r="E52" i="6"/>
  <c r="F52" i="6"/>
  <c r="F54" i="6" s="1"/>
  <c r="G52" i="6"/>
  <c r="G54" i="6" s="1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C64" i="4" s="1"/>
  <c r="D62" i="4"/>
  <c r="D64" i="4" s="1"/>
  <c r="E62" i="4"/>
  <c r="F62" i="4"/>
  <c r="G62" i="4"/>
  <c r="H62" i="4"/>
  <c r="I62" i="4"/>
  <c r="J62" i="4"/>
  <c r="J64" i="4" s="1"/>
  <c r="K62" i="4"/>
  <c r="K64" i="4" s="1"/>
  <c r="L62" i="4"/>
  <c r="M62" i="4"/>
  <c r="M64" i="4" s="1"/>
  <c r="N62" i="4"/>
  <c r="N64" i="4" s="1"/>
  <c r="O62" i="4"/>
  <c r="P62" i="4"/>
  <c r="B63" i="4"/>
  <c r="C63" i="4"/>
  <c r="D63" i="4"/>
  <c r="E63" i="4"/>
  <c r="F63" i="4"/>
  <c r="G63" i="4"/>
  <c r="H63" i="4"/>
  <c r="I63" i="4"/>
  <c r="I64" i="4" s="1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H54" i="4" s="1"/>
  <c r="I52" i="4"/>
  <c r="J52" i="4"/>
  <c r="J54" i="4" s="1"/>
  <c r="K52" i="4"/>
  <c r="K54" i="4" s="1"/>
  <c r="L52" i="4"/>
  <c r="M52" i="4"/>
  <c r="N52" i="4"/>
  <c r="O52" i="4"/>
  <c r="P52" i="4"/>
  <c r="B53" i="4"/>
  <c r="C53" i="4"/>
  <c r="C54" i="4" s="1"/>
  <c r="D53" i="4"/>
  <c r="E53" i="4"/>
  <c r="F53" i="4"/>
  <c r="G53" i="4"/>
  <c r="H53" i="4"/>
  <c r="I53" i="4"/>
  <c r="J53" i="4"/>
  <c r="K53" i="4"/>
  <c r="L53" i="4"/>
  <c r="M53" i="4"/>
  <c r="M54" i="4" s="1"/>
  <c r="N53" i="4"/>
  <c r="O53" i="4"/>
  <c r="O54" i="4" s="1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F136" i="8" l="1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<sst xmlns="http://schemas.openxmlformats.org/spreadsheetml/2006/main" count="815" uniqueCount="145">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</sst>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  <xf numFmtId="0" fontId="23" fillId="0" borderId="0" xfId="0" applyFont="1"/>
    <xf numFmtId="2" fontId="23" fillId="0" borderId="0" xfId="0" applyNumberFormat="1" applyFont="1"/>
    <xf numFmtId="0" fontId="24" fillId="0" borderId="0" xfId="0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8" workbookViewId="0">
      <selection activeCell="C32" sqref="C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152</v>
      </c>
      <c r="H2" s="8">
        <v>151</v>
      </c>
      <c r="I2" s="8">
        <v>150</v>
      </c>
      <c r="J2" s="8">
        <v>150</v>
      </c>
      <c r="K2" s="8">
        <v>150</v>
      </c>
      <c r="L2" s="8">
        <v>150</v>
      </c>
      <c r="M2" s="8">
        <v>150</v>
      </c>
      <c r="N2" s="8">
        <v>150</v>
      </c>
      <c r="O2" s="8">
        <v>150</v>
      </c>
      <c r="P2" s="8">
        <v>150</v>
      </c>
      <c r="Q2" s="8">
        <v>150</v>
      </c>
    </row>
    <row r="3" spans="1:17" x14ac:dyDescent="0.2">
      <c r="A3" s="12" t="s">
        <v>22</v>
      </c>
      <c r="B3" s="9" t="s">
        <v>17</v>
      </c>
      <c r="C3" s="8">
        <v>150</v>
      </c>
      <c r="D3" s="8">
        <v>150</v>
      </c>
      <c r="E3" s="8">
        <v>150</v>
      </c>
      <c r="F3" s="8">
        <v>150</v>
      </c>
      <c r="G3" s="8">
        <v>150</v>
      </c>
      <c r="H3" s="8">
        <v>150</v>
      </c>
      <c r="I3" s="8">
        <v>150</v>
      </c>
      <c r="J3" s="8">
        <v>150</v>
      </c>
      <c r="K3" s="8">
        <v>150</v>
      </c>
      <c r="L3" s="8">
        <v>150</v>
      </c>
      <c r="M3" s="8">
        <v>150</v>
      </c>
      <c r="N3" s="8">
        <v>150</v>
      </c>
      <c r="O3" s="8">
        <v>150</v>
      </c>
      <c r="P3" s="8">
        <v>150</v>
      </c>
      <c r="Q3" s="8">
        <v>150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0.96630000000000005</v>
      </c>
      <c r="H6" s="19">
        <v>0.95189999999999997</v>
      </c>
      <c r="I6" s="19">
        <v>0.95269999999999999</v>
      </c>
      <c r="J6" s="19">
        <v>0.93130000000000002</v>
      </c>
      <c r="K6" s="19">
        <v>0.92559999999999998</v>
      </c>
      <c r="L6" s="19">
        <v>0.87780000000000002</v>
      </c>
      <c r="M6" s="19">
        <v>0.86829999999999996</v>
      </c>
      <c r="N6" s="19">
        <v>0.86360000000000003</v>
      </c>
      <c r="O6" s="19">
        <v>0.6976</v>
      </c>
      <c r="P6" s="19">
        <v>0.6956</v>
      </c>
      <c r="Q6" s="19">
        <v>0.6956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5</v>
      </c>
      <c r="H7" s="20">
        <v>7</v>
      </c>
      <c r="I7" s="20">
        <v>7</v>
      </c>
      <c r="J7" s="20">
        <v>10</v>
      </c>
      <c r="K7" s="20">
        <v>11</v>
      </c>
      <c r="L7" s="20">
        <v>18</v>
      </c>
      <c r="M7" s="20">
        <v>20</v>
      </c>
      <c r="N7" s="20">
        <v>20</v>
      </c>
      <c r="O7" s="20">
        <v>45</v>
      </c>
      <c r="P7" s="20">
        <v>46</v>
      </c>
      <c r="Q7" s="20">
        <v>46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119</v>
      </c>
      <c r="H9" s="8">
        <v>118</v>
      </c>
      <c r="I9" s="8">
        <v>117</v>
      </c>
      <c r="J9" s="8">
        <v>117</v>
      </c>
      <c r="K9" s="8">
        <v>117</v>
      </c>
      <c r="L9" s="8">
        <v>117</v>
      </c>
      <c r="M9" s="8">
        <v>117</v>
      </c>
      <c r="N9" s="8">
        <v>117</v>
      </c>
      <c r="O9" s="8">
        <v>117</v>
      </c>
      <c r="P9" s="8">
        <v>117</v>
      </c>
      <c r="Q9" s="8">
        <v>117</v>
      </c>
    </row>
    <row r="10" spans="1:17" x14ac:dyDescent="0.2">
      <c r="A10" s="9" t="s">
        <v>17</v>
      </c>
      <c r="B10" s="12" t="s">
        <v>19</v>
      </c>
      <c r="C10" s="8">
        <v>118</v>
      </c>
      <c r="D10" s="8">
        <v>118</v>
      </c>
      <c r="E10" s="8">
        <v>118</v>
      </c>
      <c r="F10" s="8">
        <v>117</v>
      </c>
      <c r="G10" s="8">
        <v>117</v>
      </c>
      <c r="H10" s="8">
        <v>117</v>
      </c>
      <c r="I10" s="8">
        <v>117</v>
      </c>
      <c r="J10" s="8">
        <v>117</v>
      </c>
      <c r="K10" s="8">
        <v>117</v>
      </c>
      <c r="L10" s="8">
        <v>117</v>
      </c>
      <c r="M10" s="8">
        <v>117</v>
      </c>
      <c r="N10" s="8">
        <v>117</v>
      </c>
      <c r="O10" s="8">
        <v>117</v>
      </c>
      <c r="P10" s="8">
        <v>117</v>
      </c>
      <c r="Q10" s="8">
        <v>117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128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129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151</v>
      </c>
      <c r="E32" s="21">
        <v>150</v>
      </c>
      <c r="F32" s="21">
        <v>150</v>
      </c>
      <c r="G32" s="21">
        <v>150</v>
      </c>
      <c r="H32" s="21"/>
    </row>
    <row r="33" spans="1:8" x14ac:dyDescent="0.2">
      <c r="A33" s="12" t="s">
        <v>22</v>
      </c>
      <c r="B33" s="9" t="s">
        <v>17</v>
      </c>
      <c r="C33" s="26">
        <v>150</v>
      </c>
      <c r="D33" s="21">
        <v>150</v>
      </c>
      <c r="E33" s="21">
        <v>150</v>
      </c>
      <c r="F33" s="21">
        <v>150</v>
      </c>
      <c r="G33" s="21">
        <v>150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4.4600000000000001E-2</v>
      </c>
      <c r="E35" s="28">
        <v>6.3500000000000001E-2</v>
      </c>
      <c r="F35" s="28">
        <v>0.13009999999999999</v>
      </c>
      <c r="G35" s="28">
        <v>0.30380000000000001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0.95540000000000003</v>
      </c>
      <c r="E36" s="19">
        <v>0.9365</v>
      </c>
      <c r="F36" s="19">
        <v>0.86990000000000001</v>
      </c>
      <c r="G36" s="19">
        <v>0.69620000000000004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7</v>
      </c>
      <c r="E37" s="20">
        <v>10</v>
      </c>
      <c r="F37" s="20">
        <v>20</v>
      </c>
      <c r="G37" s="20">
        <v>29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118</v>
      </c>
      <c r="E39" s="21">
        <v>117</v>
      </c>
      <c r="F39" s="21">
        <v>117</v>
      </c>
      <c r="G39" s="21">
        <v>117</v>
      </c>
      <c r="H39" s="21"/>
    </row>
    <row r="40" spans="1:8" x14ac:dyDescent="0.2">
      <c r="A40" s="9" t="s">
        <v>17</v>
      </c>
      <c r="B40" s="12" t="s">
        <v>19</v>
      </c>
      <c r="C40" s="26">
        <v>118</v>
      </c>
      <c r="D40" s="21">
        <v>117</v>
      </c>
      <c r="E40" s="21">
        <v>117</v>
      </c>
      <c r="F40" s="21">
        <v>117</v>
      </c>
      <c r="G40" s="21">
        <v>117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152</v>
      </c>
      <c r="G2">
        <f>IF(ALL!H2&gt;0,ALL!H2,"")</f>
        <v>151</v>
      </c>
      <c r="H2">
        <f>IF(ALL!I2&gt;0,ALL!I2,"")</f>
        <v>150</v>
      </c>
      <c r="I2">
        <f>IF(ALL!J2&gt;0,ALL!J2,"")</f>
        <v>150</v>
      </c>
      <c r="J2">
        <f>IF(ALL!K2&gt;0,ALL!K2,"")</f>
        <v>150</v>
      </c>
      <c r="K2">
        <f>IF(ALL!L2&gt;0,ALL!L2,"")</f>
        <v>150</v>
      </c>
      <c r="L2">
        <f>IF(ALL!M2&gt;0,ALL!M2,"")</f>
        <v>150</v>
      </c>
      <c r="M2">
        <f>IF(ALL!N2&gt;0,ALL!N2,"")</f>
        <v>150</v>
      </c>
      <c r="N2">
        <f>IF(ALL!O2&gt;0,ALL!O2,"")</f>
        <v>150</v>
      </c>
      <c r="O2">
        <f>IF(ALL!P2&gt;0,ALL!P2,"")</f>
        <v>150</v>
      </c>
      <c r="P2">
        <f>IF(ALL!Q2&gt;0,ALL!Q2,"")</f>
        <v>150</v>
      </c>
    </row>
    <row r="3" spans="1:16" x14ac:dyDescent="0.2">
      <c r="A3" t="str">
        <f>IF(ALL!B3&gt;0,ALL!B3,"")</f>
        <v>Staff AVG</v>
      </c>
      <c r="B3">
        <f>IF(ALL!C3&gt;0,ALL!C3,"")</f>
        <v>150</v>
      </c>
      <c r="C3">
        <f>IF(ALL!D3&gt;0,ALL!D3,"")</f>
        <v>150</v>
      </c>
      <c r="D3">
        <f>IF(ALL!E3&gt;0,ALL!E3,"")</f>
        <v>150</v>
      </c>
      <c r="E3">
        <f>IF(ALL!F3&gt;0,ALL!F3,"")</f>
        <v>150</v>
      </c>
      <c r="F3">
        <f>IF(ALL!G3&gt;0,ALL!G3,"")</f>
        <v>150</v>
      </c>
      <c r="G3">
        <f>IF(ALL!H3&gt;0,ALL!H3,"")</f>
        <v>150</v>
      </c>
      <c r="H3">
        <f>IF(ALL!I3&gt;0,ALL!I3,"")</f>
        <v>150</v>
      </c>
      <c r="I3">
        <f>IF(ALL!J3&gt;0,ALL!J3,"")</f>
        <v>150</v>
      </c>
      <c r="J3">
        <f>IF(ALL!K3&gt;0,ALL!K3,"")</f>
        <v>150</v>
      </c>
      <c r="K3">
        <f>IF(ALL!L3&gt;0,ALL!L3,"")</f>
        <v>150</v>
      </c>
      <c r="L3">
        <f>IF(ALL!M3&gt;0,ALL!M3,"")</f>
        <v>150</v>
      </c>
      <c r="M3">
        <f>IF(ALL!N3&gt;0,ALL!N3,"")</f>
        <v>150</v>
      </c>
      <c r="N3">
        <f>IF(ALL!O3&gt;0,ALL!O3,"")</f>
        <v>150</v>
      </c>
      <c r="O3">
        <f>IF(ALL!P3&gt;0,ALL!P3,"")</f>
        <v>150</v>
      </c>
      <c r="P3">
        <f>IF(ALL!Q3&gt;0,ALL!Q3,"")</f>
        <v>150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119</v>
      </c>
      <c r="G12">
        <f>IF(ALL!H9&gt;0,ALL!H9,"")</f>
        <v>118</v>
      </c>
      <c r="H12">
        <f>IF(ALL!I9&gt;0,ALL!I9,"")</f>
        <v>117</v>
      </c>
      <c r="I12">
        <f>IF(ALL!J9&gt;0,ALL!J9,"")</f>
        <v>117</v>
      </c>
      <c r="J12">
        <f>IF(ALL!K9&gt;0,ALL!K9,"")</f>
        <v>117</v>
      </c>
      <c r="K12">
        <f>IF(ALL!L9&gt;0,ALL!L9,"")</f>
        <v>117</v>
      </c>
      <c r="L12">
        <f>IF(ALL!M9&gt;0,ALL!M9,"")</f>
        <v>117</v>
      </c>
      <c r="M12">
        <f>IF(ALL!N9&gt;0,ALL!N9,"")</f>
        <v>117</v>
      </c>
      <c r="N12">
        <f>IF(ALL!O9&gt;0,ALL!O9,"")</f>
        <v>117</v>
      </c>
      <c r="O12">
        <f>IF(ALL!P9&gt;0,ALL!P9,"")</f>
        <v>117</v>
      </c>
      <c r="P12">
        <f>IF(ALL!Q9&gt;0,ALL!Q9,"")</f>
        <v>117</v>
      </c>
    </row>
    <row r="13" spans="1:16" x14ac:dyDescent="0.2">
      <c r="A13" t="str">
        <f>IF(ALL!A10&gt;0,ALL!A10,"")</f>
        <v>Staff AVG</v>
      </c>
      <c r="B13">
        <f>IF(ALL!C10&gt;0,ALL!C10,"")</f>
        <v>118</v>
      </c>
      <c r="C13">
        <f>IF(ALL!D10&gt;0,ALL!D10,"")</f>
        <v>118</v>
      </c>
      <c r="D13">
        <f>IF(ALL!E10&gt;0,ALL!E10,"")</f>
        <v>118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151</v>
      </c>
      <c r="D42">
        <f>IF(ALL!E32&gt;0,ALL!E32,"")</f>
        <v>150</v>
      </c>
      <c r="E42">
        <f>IF(ALL!F32&gt;0,ALL!F32,"")</f>
        <v>150</v>
      </c>
      <c r="F42">
        <f>IF(ALL!G32&gt;0,ALL!G32,"")</f>
        <v>150</v>
      </c>
    </row>
    <row r="43" spans="1:16" x14ac:dyDescent="0.2">
      <c r="A43" t="str">
        <f>IF(ALL!B33&gt;0,ALL!B33,"")</f>
        <v>Staff AVG</v>
      </c>
      <c r="B43">
        <f>IF(ALL!C33&gt;0,ALL!C33,"")</f>
        <v>150</v>
      </c>
      <c r="C43">
        <f>IF(ALL!D33&gt;0,ALL!D33,"")</f>
        <v>150</v>
      </c>
      <c r="D43">
        <f>IF(ALL!E33&gt;0,ALL!E33,"")</f>
        <v>150</v>
      </c>
      <c r="E43">
        <f>IF(ALL!F33&gt;0,ALL!F33,"")</f>
        <v>150</v>
      </c>
      <c r="F43">
        <f>IF(ALL!G33&gt;0,ALL!G33,"")</f>
        <v>150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96.63000000000001</v>
      </c>
      <c r="G152">
        <f>ALL!H6*100</f>
        <v>95.19</v>
      </c>
      <c r="H152">
        <f>ALL!I6*100</f>
        <v>95.27</v>
      </c>
      <c r="I152">
        <f>ALL!J6*100</f>
        <v>93.13</v>
      </c>
      <c r="J152">
        <f>ALL!K6*100</f>
        <v>92.56</v>
      </c>
      <c r="K152">
        <f>ALL!L6*100</f>
        <v>87.78</v>
      </c>
      <c r="L152">
        <f>ALL!M6*100</f>
        <v>86.83</v>
      </c>
      <c r="M152">
        <f>ALL!N6*100</f>
        <v>86.36</v>
      </c>
      <c r="N152">
        <f>ALL!O6*100</f>
        <v>69.760000000000005</v>
      </c>
      <c r="O152">
        <f>ALL!P6*100</f>
        <v>69.56</v>
      </c>
      <c r="P152">
        <f>ALL!Q6*100</f>
        <v>69.56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5</v>
      </c>
      <c r="G153">
        <f>ALL!H7</f>
        <v>7</v>
      </c>
      <c r="H153">
        <f>ALL!I7</f>
        <v>7</v>
      </c>
      <c r="I153">
        <f>ALL!J7</f>
        <v>10</v>
      </c>
      <c r="J153">
        <f>ALL!K7</f>
        <v>11</v>
      </c>
      <c r="K153">
        <f>ALL!L7</f>
        <v>18</v>
      </c>
      <c r="L153">
        <f>ALL!M7</f>
        <v>20</v>
      </c>
      <c r="M153">
        <f>ALL!N7</f>
        <v>20</v>
      </c>
      <c r="N153">
        <f>ALL!O7</f>
        <v>45</v>
      </c>
      <c r="O153">
        <f>ALL!P7</f>
        <v>46</v>
      </c>
      <c r="P153">
        <f>ALL!Q7</f>
        <v>46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95.54</v>
      </c>
      <c r="D156">
        <f>ALL!E36*100</f>
        <v>93.65</v>
      </c>
      <c r="E156">
        <f>ALL!F36*100</f>
        <v>86.99</v>
      </c>
      <c r="F156">
        <f>ALL!G36*100</f>
        <v>69.62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7</v>
      </c>
      <c r="D157">
        <f>ALL!E37</f>
        <v>10</v>
      </c>
      <c r="E157">
        <f>ALL!F37</f>
        <v>20</v>
      </c>
      <c r="F157">
        <f>ALL!G37</f>
        <v>29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152</v>
      </c>
      <c r="G162">
        <f t="shared" si="0"/>
        <v>151</v>
      </c>
      <c r="H162">
        <f t="shared" si="0"/>
        <v>150</v>
      </c>
      <c r="I162">
        <f t="shared" si="0"/>
        <v>150</v>
      </c>
      <c r="J162">
        <f t="shared" si="0"/>
        <v>150</v>
      </c>
      <c r="K162">
        <f t="shared" si="0"/>
        <v>150</v>
      </c>
      <c r="L162">
        <f t="shared" si="0"/>
        <v>150</v>
      </c>
      <c r="M162">
        <f t="shared" si="0"/>
        <v>150</v>
      </c>
      <c r="N162">
        <f t="shared" si="0"/>
        <v>150</v>
      </c>
      <c r="O162">
        <f t="shared" si="0"/>
        <v>150</v>
      </c>
      <c r="P162">
        <f t="shared" si="0"/>
        <v>150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127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130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1" activePane="bottomLeft" state="frozen"/>
      <selection pane="bottomLeft" activeCell="C62" sqref="C62:Q6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17.2</v>
      </c>
      <c r="D3" s="8">
        <v>17.2</v>
      </c>
      <c r="E3" s="8">
        <v>17.2</v>
      </c>
      <c r="F3" s="8">
        <v>17.2</v>
      </c>
      <c r="G3" s="8">
        <v>17.2</v>
      </c>
      <c r="H3" s="8">
        <v>17.2</v>
      </c>
      <c r="I3" s="8">
        <v>17.2</v>
      </c>
      <c r="J3" s="8">
        <v>17.2</v>
      </c>
      <c r="K3" s="8">
        <v>17.2</v>
      </c>
      <c r="L3" s="8">
        <v>17.2</v>
      </c>
      <c r="M3" s="8">
        <v>17.2</v>
      </c>
      <c r="N3" s="8">
        <v>17.2</v>
      </c>
      <c r="O3" s="8">
        <v>17.2</v>
      </c>
      <c r="P3" s="8">
        <v>17.2</v>
      </c>
      <c r="Q3" s="8">
        <v>17.2</v>
      </c>
    </row>
    <row r="4" spans="1:17" x14ac:dyDescent="0.2">
      <c r="A4" s="13" t="s">
        <v>31</v>
      </c>
      <c r="B4" s="10" t="s">
        <v>18</v>
      </c>
      <c r="C4" s="8">
        <v>16.850000000000001</v>
      </c>
      <c r="D4" s="8">
        <v>16.95</v>
      </c>
      <c r="E4" s="8">
        <v>16.649999999999999</v>
      </c>
      <c r="F4" s="14">
        <v>17.399999999999999</v>
      </c>
      <c r="G4" s="14">
        <v>17.5</v>
      </c>
      <c r="H4" s="14">
        <v>17.399999999999999</v>
      </c>
      <c r="I4" s="8">
        <v>16.2</v>
      </c>
      <c r="J4" s="8">
        <v>16</v>
      </c>
      <c r="K4" s="8">
        <v>16</v>
      </c>
      <c r="L4" s="8">
        <v>15.9</v>
      </c>
      <c r="M4" s="8">
        <v>15.7</v>
      </c>
      <c r="N4" s="8">
        <v>15.7</v>
      </c>
      <c r="O4" s="8">
        <v>14.2</v>
      </c>
      <c r="P4" s="8">
        <v>14.2</v>
      </c>
      <c r="Q4" s="8">
        <v>14.2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17.25</v>
      </c>
      <c r="D10" s="8">
        <v>17.25</v>
      </c>
      <c r="E10" s="8">
        <v>17.25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16.850000000000001</v>
      </c>
      <c r="D11" s="8">
        <v>16.95</v>
      </c>
      <c r="E11" s="8">
        <v>16.649999999999999</v>
      </c>
      <c r="F11" s="14">
        <v>17.399999999999999</v>
      </c>
      <c r="G11" s="14">
        <v>17.5</v>
      </c>
      <c r="H11" s="14">
        <v>17.399999999999999</v>
      </c>
      <c r="I11" s="8">
        <v>16.2</v>
      </c>
      <c r="J11" s="8">
        <v>16</v>
      </c>
      <c r="K11" s="8">
        <v>16</v>
      </c>
      <c r="L11" s="8">
        <v>15.9</v>
      </c>
      <c r="M11" s="8">
        <v>15.7</v>
      </c>
      <c r="N11" s="8">
        <v>15.7</v>
      </c>
      <c r="O11" s="8">
        <v>14.2</v>
      </c>
      <c r="P11" s="8">
        <v>14.2</v>
      </c>
      <c r="Q11" s="8">
        <v>14.2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>
        <v>18</v>
      </c>
      <c r="D32">
        <v>17</v>
      </c>
      <c r="E32">
        <v>17</v>
      </c>
      <c r="F32">
        <v>17</v>
      </c>
      <c r="G32">
        <v>17</v>
      </c>
    </row>
    <row r="33" spans="1:7" x14ac:dyDescent="0.2">
      <c r="A33" s="12" t="s">
        <v>31</v>
      </c>
      <c r="B33" s="9" t="s">
        <v>17</v>
      </c>
      <c r="C33">
        <v>17.2</v>
      </c>
      <c r="D33">
        <v>17.2</v>
      </c>
      <c r="E33">
        <v>17.2</v>
      </c>
      <c r="F33">
        <v>17.2</v>
      </c>
      <c r="G33">
        <v>17.2</v>
      </c>
    </row>
    <row r="34" spans="1:7" x14ac:dyDescent="0.2">
      <c r="A34" s="13" t="s">
        <v>31</v>
      </c>
      <c r="B34" s="10" t="s">
        <v>18</v>
      </c>
      <c r="C34">
        <v>16.816669999999998</v>
      </c>
      <c r="D34">
        <v>17.433330000000002</v>
      </c>
      <c r="E34">
        <v>16.066669999999998</v>
      </c>
      <c r="F34">
        <v>15.76667</v>
      </c>
      <c r="G34">
        <v>14.2</v>
      </c>
    </row>
    <row r="35" spans="1:7" x14ac:dyDescent="0.2">
      <c r="A35" s="17"/>
      <c r="B35" s="8"/>
      <c r="C35" s="83">
        <v>6.5699999999999995E-2</v>
      </c>
      <c r="D35" s="83">
        <v>-2.5499999999999998E-2</v>
      </c>
      <c r="E35" s="83">
        <v>5.4899999999999997E-2</v>
      </c>
      <c r="F35" s="83">
        <v>7.2499999999999995E-2</v>
      </c>
      <c r="G35" s="83">
        <v>0.16470000000000001</v>
      </c>
    </row>
    <row r="36" spans="1:7" x14ac:dyDescent="0.2">
      <c r="A36" s="8"/>
      <c r="B36" s="18" t="s">
        <v>23</v>
      </c>
      <c r="C36" s="83">
        <v>0.93430000000000002</v>
      </c>
      <c r="D36" s="83">
        <v>1.0255000000000001</v>
      </c>
      <c r="E36" s="83">
        <v>0.94510000000000005</v>
      </c>
      <c r="F36" s="83">
        <v>0.92749999999999999</v>
      </c>
      <c r="G36" s="83">
        <v>0.83530000000000004</v>
      </c>
    </row>
    <row r="37" spans="1:7" x14ac:dyDescent="0.2">
      <c r="A37" s="17"/>
      <c r="B37" s="18" t="s">
        <v>24</v>
      </c>
      <c r="C37">
        <v>1</v>
      </c>
      <c r="D37">
        <v>0</v>
      </c>
      <c r="E37">
        <v>1</v>
      </c>
      <c r="F37">
        <v>1</v>
      </c>
      <c r="G37">
        <v>2</v>
      </c>
    </row>
    <row r="38" spans="1:7" x14ac:dyDescent="0.2">
      <c r="A38" s="17"/>
      <c r="B38" s="8"/>
    </row>
    <row r="39" spans="1:7" x14ac:dyDescent="0.2">
      <c r="A39" s="15" t="s">
        <v>16</v>
      </c>
      <c r="B39" s="11" t="s">
        <v>19</v>
      </c>
      <c r="C39">
        <v>18</v>
      </c>
      <c r="D39">
        <v>17</v>
      </c>
      <c r="E39">
        <v>17</v>
      </c>
      <c r="F39">
        <v>17</v>
      </c>
      <c r="G39">
        <v>17</v>
      </c>
    </row>
    <row r="40" spans="1:7" x14ac:dyDescent="0.2">
      <c r="A40" s="9" t="s">
        <v>17</v>
      </c>
      <c r="B40" s="12" t="s">
        <v>19</v>
      </c>
      <c r="C40">
        <v>17</v>
      </c>
      <c r="D40">
        <v>17</v>
      </c>
      <c r="E40">
        <v>17</v>
      </c>
      <c r="F40">
        <v>17</v>
      </c>
      <c r="G40">
        <v>17</v>
      </c>
    </row>
    <row r="41" spans="1:7" x14ac:dyDescent="0.2">
      <c r="A41" s="16" t="s">
        <v>18</v>
      </c>
      <c r="B41" s="13" t="s">
        <v>19</v>
      </c>
      <c r="C41">
        <v>17</v>
      </c>
      <c r="D41">
        <v>17</v>
      </c>
      <c r="E41">
        <v>16</v>
      </c>
      <c r="F41">
        <v>16</v>
      </c>
      <c r="G41">
        <v>14</v>
      </c>
    </row>
    <row r="42" spans="1:7" x14ac:dyDescent="0.2">
      <c r="A42" s="8"/>
      <c r="B42" s="17"/>
    </row>
    <row r="43" spans="1:7" x14ac:dyDescent="0.2">
      <c r="A43" s="15" t="s">
        <v>30</v>
      </c>
      <c r="B43" s="11" t="s">
        <v>20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s="9" t="s">
        <v>17</v>
      </c>
      <c r="B44" s="12" t="s">
        <v>20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s="16">
        <v>0</v>
      </c>
      <c r="B45" s="13" t="s">
        <v>20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s="8"/>
      <c r="B46" s="17"/>
    </row>
    <row r="47" spans="1:7" x14ac:dyDescent="0.2">
      <c r="A47" s="15" t="s">
        <v>30</v>
      </c>
      <c r="B47" s="11" t="s">
        <v>21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">
      <c r="A48" s="9" t="s">
        <v>17</v>
      </c>
      <c r="B48" s="12" t="s">
        <v>21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17" x14ac:dyDescent="0.2">
      <c r="A49" s="16">
        <v>0</v>
      </c>
      <c r="B49" s="13" t="s">
        <v>21</v>
      </c>
      <c r="C49">
        <v>0</v>
      </c>
      <c r="D49">
        <v>0</v>
      </c>
      <c r="E49">
        <v>0</v>
      </c>
      <c r="F49">
        <v>0</v>
      </c>
      <c r="G49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17.2</v>
      </c>
      <c r="C3">
        <f>IF(CPS!D3&gt;0,CPS!D3,"")</f>
        <v>17.2</v>
      </c>
      <c r="D3">
        <f>IF(CPS!E3&gt;0,CPS!E3,"")</f>
        <v>17.2</v>
      </c>
      <c r="E3">
        <f>IF(CPS!F3&gt;0,CPS!F3,"")</f>
        <v>17.2</v>
      </c>
      <c r="F3">
        <f>IF(CPS!G3&gt;0,CPS!G3,"")</f>
        <v>17.2</v>
      </c>
      <c r="G3">
        <f>IF(CPS!H3&gt;0,CPS!H3,"")</f>
        <v>17.2</v>
      </c>
      <c r="H3">
        <f>IF(CPS!I3&gt;0,CPS!I3,"")</f>
        <v>17.2</v>
      </c>
      <c r="I3">
        <f>IF(CPS!J3&gt;0,CPS!J3,"")</f>
        <v>17.2</v>
      </c>
      <c r="J3">
        <f>IF(CPS!K3&gt;0,CPS!K3,"")</f>
        <v>17.2</v>
      </c>
      <c r="K3">
        <f>IF(CPS!L3&gt;0,CPS!L3,"")</f>
        <v>17.2</v>
      </c>
      <c r="L3">
        <f>IF(CPS!M3&gt;0,CPS!M3,"")</f>
        <v>17.2</v>
      </c>
      <c r="M3">
        <f>IF(CPS!N3&gt;0,CPS!N3,"")</f>
        <v>17.2</v>
      </c>
      <c r="N3">
        <f>IF(CPS!O3&gt;0,CPS!O3,"")</f>
        <v>17.2</v>
      </c>
      <c r="O3">
        <f>IF(CPS!P3&gt;0,CPS!P3,"")</f>
        <v>17.2</v>
      </c>
      <c r="P3">
        <f>IF(CPS!Q3&gt;0,CPS!Q3,"")</f>
        <v>17.2</v>
      </c>
    </row>
    <row r="4" spans="1:16" x14ac:dyDescent="0.2">
      <c r="A4" t="str">
        <f>IF(CPS!B4&gt;0,CPS!B4,"")</f>
        <v>Plan</v>
      </c>
      <c r="B4">
        <f>IF(CPS!C4&gt;0,CPS!C4,"")</f>
        <v>16.850000000000001</v>
      </c>
      <c r="C4">
        <f>IF(CPS!D4&gt;0,CPS!D4,"")</f>
        <v>16.95</v>
      </c>
      <c r="D4">
        <f>IF(CPS!E4&gt;0,CPS!E4,"")</f>
        <v>16.649999999999999</v>
      </c>
      <c r="E4">
        <f>IF(CPS!F4&gt;0,CPS!F4,"")</f>
        <v>17.399999999999999</v>
      </c>
      <c r="F4">
        <f>IF(CPS!G4&gt;0,CPS!G4,"")</f>
        <v>17.5</v>
      </c>
      <c r="G4">
        <f>IF(CPS!H4&gt;0,CPS!H4,"")</f>
        <v>17.399999999999999</v>
      </c>
      <c r="H4">
        <f>IF(CPS!I4&gt;0,CPS!I4,"")</f>
        <v>16.2</v>
      </c>
      <c r="I4">
        <f>IF(CPS!J4&gt;0,CPS!J4,"")</f>
        <v>16</v>
      </c>
      <c r="J4">
        <f>IF(CPS!K4&gt;0,CPS!K4,"")</f>
        <v>16</v>
      </c>
      <c r="K4">
        <f>IF(CPS!L4&gt;0,CPS!L4,"")</f>
        <v>15.9</v>
      </c>
      <c r="L4">
        <f>IF(CPS!M4&gt;0,CPS!M4,"")</f>
        <v>15.7</v>
      </c>
      <c r="M4">
        <f>IF(CPS!N4&gt;0,CPS!N4,"")</f>
        <v>15.7</v>
      </c>
      <c r="N4">
        <f>IF(CPS!O4&gt;0,CPS!O4,"")</f>
        <v>14.2</v>
      </c>
      <c r="O4">
        <f>IF(CPS!P4&gt;0,CPS!P4,"")</f>
        <v>14.2</v>
      </c>
      <c r="P4">
        <f>IF(CPS!Q4&gt;0,CPS!Q4,"")</f>
        <v>14.2</v>
      </c>
    </row>
    <row r="5" spans="1:16" x14ac:dyDescent="0.2">
      <c r="A5" t="str">
        <f>IF(CPS!B11&gt;0,CPS!B11,"")</f>
        <v>PAYROLL</v>
      </c>
      <c r="B5">
        <f>IF(CPS!C11&gt;0,CPS!C11,"")</f>
        <v>16.850000000000001</v>
      </c>
      <c r="C5">
        <f>IF(CPS!D11&gt;0,CPS!D11,"")</f>
        <v>16.95</v>
      </c>
      <c r="D5">
        <f>IF(CPS!E11&gt;0,CPS!E11,"")</f>
        <v>16.649999999999999</v>
      </c>
      <c r="E5">
        <f>IF(CPS!F11&gt;0,CPS!F11,"")</f>
        <v>17.399999999999999</v>
      </c>
      <c r="F5">
        <f>IF(CPS!G11&gt;0,CPS!G11,"")</f>
        <v>17.5</v>
      </c>
      <c r="G5">
        <f>IF(CPS!H11&gt;0,CPS!H11,"")</f>
        <v>17.399999999999999</v>
      </c>
      <c r="H5">
        <f>IF(CPS!I11&gt;0,CPS!I11,"")</f>
        <v>16.2</v>
      </c>
      <c r="I5">
        <f>IF(CPS!J11&gt;0,CPS!J11,"")</f>
        <v>16</v>
      </c>
      <c r="J5">
        <f>IF(CPS!K11&gt;0,CPS!K11,"")</f>
        <v>16</v>
      </c>
      <c r="K5">
        <f>IF(CPS!L11&gt;0,CPS!L11,"")</f>
        <v>15.9</v>
      </c>
      <c r="L5">
        <f>IF(CPS!M11&gt;0,CPS!M11,"")</f>
        <v>15.7</v>
      </c>
      <c r="M5">
        <f>IF(CPS!N11&gt;0,CPS!N11,"")</f>
        <v>15.7</v>
      </c>
      <c r="N5">
        <f>IF(CPS!O11&gt;0,CPS!O11,"")</f>
        <v>14.2</v>
      </c>
      <c r="O5">
        <f>IF(CPS!P11&gt;0,CPS!P11,"")</f>
        <v>14.2</v>
      </c>
      <c r="P5">
        <f>IF(CPS!Q11&gt;0,CPS!Q11,"")</f>
        <v>14.2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17.25</v>
      </c>
      <c r="C13">
        <f>IF(CPS!D10&gt;0,CPS!D10,"")</f>
        <v>17.25</v>
      </c>
      <c r="D13">
        <f>IF(CPS!E10&gt;0,CPS!E10,"")</f>
        <v>17.25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16.850000000000001</v>
      </c>
      <c r="C14">
        <f>IF(CPS!D11&gt;0,CPS!D11,"")</f>
        <v>16.95</v>
      </c>
      <c r="D14">
        <f>IF(CPS!E11&gt;0,CPS!E11,"")</f>
        <v>16.649999999999999</v>
      </c>
      <c r="E14">
        <f>IF(CPS!F11&gt;0,CPS!F11,"")</f>
        <v>17.399999999999999</v>
      </c>
      <c r="F14">
        <f>IF(CPS!G11&gt;0,CPS!G11,"")</f>
        <v>17.5</v>
      </c>
      <c r="G14">
        <f>IF(CPS!H11&gt;0,CPS!H11,"")</f>
        <v>17.399999999999999</v>
      </c>
      <c r="H14">
        <f>IF(CPS!I11&gt;0,CPS!I11,"")</f>
        <v>16.2</v>
      </c>
      <c r="I14">
        <f>IF(CPS!J11&gt;0,CPS!J11,"")</f>
        <v>16</v>
      </c>
      <c r="J14">
        <f>IF(CPS!K11&gt;0,CPS!K11,"")</f>
        <v>16</v>
      </c>
      <c r="K14">
        <f>IF(CPS!L11&gt;0,CPS!L11,"")</f>
        <v>15.9</v>
      </c>
      <c r="L14">
        <f>IF(CPS!M11&gt;0,CPS!M11,"")</f>
        <v>15.7</v>
      </c>
      <c r="M14">
        <f>IF(CPS!N11&gt;0,CPS!N11,"")</f>
        <v>15.7</v>
      </c>
      <c r="N14">
        <f>IF(CPS!O11&gt;0,CPS!O11,"")</f>
        <v>14.2</v>
      </c>
      <c r="O14">
        <f>IF(CPS!P11&gt;0,CPS!P11,"")</f>
        <v>14.2</v>
      </c>
      <c r="P14">
        <f>IF(CPS!Q11&gt;0,CPS!Q11,"")</f>
        <v>14.2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17.2</v>
      </c>
      <c r="C43">
        <f>IF(CPS!D33&gt;0,CPS!D33,"")</f>
        <v>17.2</v>
      </c>
      <c r="D43">
        <f>IF(CPS!E33&gt;0,CPS!E33,"")</f>
        <v>17.2</v>
      </c>
      <c r="E43">
        <f>IF(CPS!F33&gt;0,CPS!F33,"")</f>
        <v>17.2</v>
      </c>
      <c r="F43">
        <f>IF(CPS!G33&gt;0,CPS!G33,"")</f>
        <v>17.2</v>
      </c>
    </row>
    <row r="44" spans="1:16" x14ac:dyDescent="0.2">
      <c r="A44" t="str">
        <f>IF(CPS!B34&gt;0,CPS!B34,"")</f>
        <v>Plan</v>
      </c>
      <c r="B44">
        <f>IF(CPS!C34&gt;0,CPS!C34,"")</f>
        <v>16.816669999999998</v>
      </c>
      <c r="C44">
        <f>IF(CPS!D34&gt;0,CPS!D34,"")</f>
        <v>17.433330000000002</v>
      </c>
      <c r="D44">
        <f>IF(CPS!E34&gt;0,CPS!E34,"")</f>
        <v>16.066669999999998</v>
      </c>
      <c r="E44">
        <f>IF(CPS!F34&gt;0,CPS!F34,"")</f>
        <v>15.76667</v>
      </c>
      <c r="F44">
        <f>IF(CPS!G34&gt;0,CPS!G34,"")</f>
        <v>14.2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C62" sqref="C62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47</v>
      </c>
      <c r="E33" s="21">
        <v>47</v>
      </c>
      <c r="F33" s="21">
        <v>47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47</v>
      </c>
      <c r="D43">
        <f>IF(PSE!E33&gt;0,PSE!E33,"")</f>
        <v>47</v>
      </c>
      <c r="E43">
        <f>IF(PSE!F33&gt;0,PSE!F33,"")</f>
        <v>47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abSelected="1" topLeftCell="A73" workbookViewId="0">
      <selection activeCell="C62" sqref="C62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47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8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0.98309999999999997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1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36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1.8599999999999998E-2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0.98140000000000005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47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40.457500000000003</v>
      </c>
      <c r="D63" s="48">
        <v>45.84</v>
      </c>
      <c r="E63" s="48">
        <v>47.835000000000001</v>
      </c>
      <c r="F63" s="48">
        <v>43.734999999999999</v>
      </c>
      <c r="G63" s="48">
        <v>46.204999999999998</v>
      </c>
      <c r="H63" s="48">
        <v>46.47</v>
      </c>
      <c r="I63" s="48">
        <v>47.778750000000002</v>
      </c>
      <c r="J63" s="48">
        <v>46.163249999999998</v>
      </c>
      <c r="K63" s="48">
        <v>45.405749999999998</v>
      </c>
      <c r="L63" s="48">
        <v>42.499499999999998</v>
      </c>
      <c r="M63" s="48">
        <v>41.902500000000003</v>
      </c>
      <c r="N63" s="48">
        <v>41.502499999999998</v>
      </c>
      <c r="O63" s="48">
        <v>32.401249999999997</v>
      </c>
      <c r="P63" s="48">
        <v>32.10125</v>
      </c>
      <c r="Q63" s="48">
        <v>32.10125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6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47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36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6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9.9999999999997868E-3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104.74999999999999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98.31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1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98.14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55" workbookViewId="0">
      <selection activeCell="C62" sqref="C62:Q7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21</v>
      </c>
      <c r="H2" s="8">
        <v>21</v>
      </c>
      <c r="I2" s="8">
        <v>20</v>
      </c>
      <c r="J2" s="8">
        <v>20</v>
      </c>
      <c r="K2" s="8">
        <v>20</v>
      </c>
      <c r="L2" s="8">
        <v>20</v>
      </c>
      <c r="M2" s="8">
        <v>20</v>
      </c>
      <c r="N2" s="8">
        <v>20</v>
      </c>
      <c r="O2" s="8">
        <v>20</v>
      </c>
      <c r="P2" s="8">
        <v>20</v>
      </c>
      <c r="Q2" s="8">
        <v>20</v>
      </c>
    </row>
    <row r="3" spans="1:17" x14ac:dyDescent="0.2">
      <c r="A3" s="12" t="s">
        <v>34</v>
      </c>
      <c r="B3" s="9" t="s">
        <v>17</v>
      </c>
      <c r="C3" s="8">
        <v>21</v>
      </c>
      <c r="D3" s="8">
        <v>21</v>
      </c>
      <c r="E3" s="8">
        <v>21</v>
      </c>
      <c r="F3" s="8">
        <v>21</v>
      </c>
      <c r="G3" s="8">
        <v>21</v>
      </c>
      <c r="H3" s="8">
        <v>21</v>
      </c>
      <c r="I3" s="8">
        <v>21</v>
      </c>
      <c r="J3" s="8">
        <v>21</v>
      </c>
      <c r="K3" s="8">
        <v>21</v>
      </c>
      <c r="L3" s="8">
        <v>21</v>
      </c>
      <c r="M3" s="8">
        <v>21</v>
      </c>
      <c r="N3" s="8">
        <v>21</v>
      </c>
      <c r="O3" s="8">
        <v>21</v>
      </c>
      <c r="P3" s="8">
        <v>21</v>
      </c>
      <c r="Q3" s="8">
        <v>21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0.87590000000000001</v>
      </c>
      <c r="H6" s="19">
        <v>0.85540000000000005</v>
      </c>
      <c r="I6" s="19">
        <v>0.79110000000000003</v>
      </c>
      <c r="J6" s="19">
        <v>0.74860000000000004</v>
      </c>
      <c r="K6" s="19">
        <v>0.71860000000000002</v>
      </c>
      <c r="L6" s="19">
        <v>0.67930000000000001</v>
      </c>
      <c r="M6" s="19">
        <v>0.68179999999999996</v>
      </c>
      <c r="N6" s="19">
        <v>0.66679999999999995</v>
      </c>
      <c r="O6" s="19">
        <v>0.41930000000000001</v>
      </c>
      <c r="P6" s="19">
        <v>0.41930000000000001</v>
      </c>
      <c r="Q6" s="19">
        <v>0.41930000000000001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3</v>
      </c>
      <c r="H7" s="20">
        <v>3</v>
      </c>
      <c r="I7" s="20">
        <v>4</v>
      </c>
      <c r="J7" s="20">
        <v>5</v>
      </c>
      <c r="K7" s="20">
        <v>6</v>
      </c>
      <c r="L7" s="20">
        <v>6</v>
      </c>
      <c r="M7" s="20">
        <v>6</v>
      </c>
      <c r="N7" s="20">
        <v>7</v>
      </c>
      <c r="O7" s="20">
        <v>12</v>
      </c>
      <c r="P7" s="20">
        <v>12</v>
      </c>
      <c r="Q7" s="20">
        <v>12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21</v>
      </c>
      <c r="H9" s="8">
        <v>21</v>
      </c>
      <c r="I9" s="8">
        <v>20</v>
      </c>
      <c r="J9" s="8">
        <v>20</v>
      </c>
      <c r="K9" s="8">
        <v>20</v>
      </c>
      <c r="L9" s="8">
        <v>20</v>
      </c>
      <c r="M9" s="8">
        <v>20</v>
      </c>
      <c r="N9" s="8">
        <v>20</v>
      </c>
      <c r="O9" s="8">
        <v>20</v>
      </c>
      <c r="P9" s="8">
        <v>20</v>
      </c>
      <c r="Q9" s="8">
        <v>20</v>
      </c>
    </row>
    <row r="10" spans="1:17" x14ac:dyDescent="0.2">
      <c r="A10" s="9" t="s">
        <v>17</v>
      </c>
      <c r="B10" s="12" t="s">
        <v>19</v>
      </c>
      <c r="C10" s="8">
        <v>21</v>
      </c>
      <c r="D10" s="8">
        <v>21</v>
      </c>
      <c r="E10" s="8">
        <v>21</v>
      </c>
      <c r="F10" s="8">
        <v>20</v>
      </c>
      <c r="G10" s="8">
        <v>20</v>
      </c>
      <c r="H10" s="8">
        <v>20</v>
      </c>
      <c r="I10" s="8">
        <v>20</v>
      </c>
      <c r="J10" s="8">
        <v>20</v>
      </c>
      <c r="K10" s="8">
        <v>20</v>
      </c>
      <c r="L10" s="8">
        <v>20</v>
      </c>
      <c r="M10" s="8">
        <v>20</v>
      </c>
      <c r="N10" s="8">
        <v>20</v>
      </c>
      <c r="O10" s="8">
        <v>20</v>
      </c>
      <c r="P10" s="8">
        <v>20</v>
      </c>
      <c r="Q10" s="8">
        <v>20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21</v>
      </c>
      <c r="E32" s="21">
        <v>20</v>
      </c>
      <c r="F32" s="21">
        <v>20</v>
      </c>
      <c r="G32" s="21">
        <v>20</v>
      </c>
    </row>
    <row r="33" spans="1:7" x14ac:dyDescent="0.2">
      <c r="A33" s="12" t="s">
        <v>34</v>
      </c>
      <c r="B33" s="9" t="s">
        <v>17</v>
      </c>
      <c r="C33" s="26">
        <v>21</v>
      </c>
      <c r="D33" s="21">
        <v>21</v>
      </c>
      <c r="E33" s="21">
        <v>21</v>
      </c>
      <c r="F33" s="21">
        <v>21</v>
      </c>
      <c r="G33" s="21">
        <v>21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0.1283</v>
      </c>
      <c r="E35" s="28">
        <v>0.2472</v>
      </c>
      <c r="F35" s="28">
        <v>0.3241</v>
      </c>
      <c r="G35" s="28">
        <v>0.58079999999999998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0.87170000000000003</v>
      </c>
      <c r="E36" s="19">
        <v>0.75280000000000002</v>
      </c>
      <c r="F36" s="19">
        <v>0.67589999999999995</v>
      </c>
      <c r="G36" s="19">
        <v>0.41930000000000001</v>
      </c>
    </row>
    <row r="37" spans="1:7" x14ac:dyDescent="0.2">
      <c r="A37" s="17"/>
      <c r="B37" s="18" t="s">
        <v>24</v>
      </c>
      <c r="C37" s="30">
        <v>6</v>
      </c>
      <c r="D37" s="20">
        <v>3</v>
      </c>
      <c r="E37" s="20">
        <v>5</v>
      </c>
      <c r="F37" s="20">
        <v>6</v>
      </c>
      <c r="G37" s="20">
        <v>8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21</v>
      </c>
      <c r="E39" s="21">
        <v>20</v>
      </c>
      <c r="F39" s="21">
        <v>20</v>
      </c>
      <c r="G39" s="21">
        <v>20</v>
      </c>
    </row>
    <row r="40" spans="1:7" x14ac:dyDescent="0.2">
      <c r="A40" s="9" t="s">
        <v>17</v>
      </c>
      <c r="B40" s="12" t="s">
        <v>19</v>
      </c>
      <c r="C40" s="26">
        <v>21</v>
      </c>
      <c r="D40" s="21">
        <v>20</v>
      </c>
      <c r="E40" s="21">
        <v>20</v>
      </c>
      <c r="F40" s="21">
        <v>20</v>
      </c>
      <c r="G40" s="21">
        <v>20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21</v>
      </c>
      <c r="H62" s="12">
        <v>21</v>
      </c>
      <c r="I62" s="12">
        <v>20</v>
      </c>
      <c r="J62" s="12">
        <v>20</v>
      </c>
      <c r="K62" s="12">
        <v>20</v>
      </c>
      <c r="L62" s="12">
        <v>20</v>
      </c>
      <c r="M62" s="12">
        <v>20</v>
      </c>
      <c r="N62" s="12">
        <v>20</v>
      </c>
      <c r="O62" s="12">
        <v>20</v>
      </c>
      <c r="P62" s="12">
        <v>20</v>
      </c>
      <c r="Q62" s="12">
        <v>20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4</v>
      </c>
      <c r="H70" s="35">
        <v>4</v>
      </c>
      <c r="I70" s="35">
        <v>4</v>
      </c>
      <c r="J70" s="35">
        <v>4</v>
      </c>
      <c r="K70" s="35">
        <v>4</v>
      </c>
      <c r="L70" s="35">
        <v>4</v>
      </c>
      <c r="M70" s="35">
        <v>4</v>
      </c>
      <c r="N70" s="35">
        <v>4</v>
      </c>
      <c r="O70" s="35">
        <v>4</v>
      </c>
      <c r="P70" s="35">
        <v>4</v>
      </c>
      <c r="Q70" s="35">
        <v>4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21</v>
      </c>
      <c r="G2">
        <f>IF(AIC!H2&gt;0,AIC!H2,"")</f>
        <v>21</v>
      </c>
      <c r="H2">
        <f>IF(AIC!I2&gt;0,AIC!I2,"")</f>
        <v>20</v>
      </c>
      <c r="I2">
        <f>IF(AIC!J2&gt;0,AIC!J2,"")</f>
        <v>20</v>
      </c>
      <c r="J2">
        <f>IF(AIC!K2&gt;0,AIC!K2,"")</f>
        <v>20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21</v>
      </c>
      <c r="C3">
        <f>IF(AIC!D3&gt;0,AIC!D3,"")</f>
        <v>21</v>
      </c>
      <c r="D3">
        <f>IF(AIC!E3&gt;0,AIC!E3,"")</f>
        <v>21</v>
      </c>
      <c r="E3">
        <f>IF(AIC!F3&gt;0,AIC!F3,"")</f>
        <v>21</v>
      </c>
      <c r="F3">
        <f>IF(AIC!G3&gt;0,AIC!G3,"")</f>
        <v>21</v>
      </c>
      <c r="G3">
        <f>IF(AIC!H3&gt;0,AIC!H3,"")</f>
        <v>21</v>
      </c>
      <c r="H3">
        <f>IF(AIC!I3&gt;0,AIC!I3,"")</f>
        <v>21</v>
      </c>
      <c r="I3">
        <f>IF(AIC!J3&gt;0,AIC!J3,"")</f>
        <v>21</v>
      </c>
      <c r="J3">
        <f>IF(AIC!K3&gt;0,AIC!K3,"")</f>
        <v>21</v>
      </c>
      <c r="K3">
        <f>IF(AIC!L3&gt;0,AIC!L3,"")</f>
        <v>21</v>
      </c>
      <c r="L3">
        <f>IF(AIC!M3&gt;0,AIC!M3,"")</f>
        <v>21</v>
      </c>
      <c r="M3">
        <f>IF(AIC!N3&gt;0,AIC!N3,"")</f>
        <v>21</v>
      </c>
      <c r="N3">
        <f>IF(AIC!O3&gt;0,AIC!O3,"")</f>
        <v>21</v>
      </c>
      <c r="O3">
        <f>IF(AIC!P3&gt;0,AIC!P3,"")</f>
        <v>21</v>
      </c>
      <c r="P3">
        <f>IF(AIC!Q3&gt;0,AIC!Q3,"")</f>
        <v>21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21</v>
      </c>
      <c r="G12">
        <f>IF(AIC!H9&gt;0,AIC!H9,"")</f>
        <v>21</v>
      </c>
      <c r="H12">
        <f>IF(AIC!I9&gt;0,AIC!I9,"")</f>
        <v>20</v>
      </c>
      <c r="I12">
        <f>IF(AIC!J9&gt;0,AIC!J9,"")</f>
        <v>20</v>
      </c>
      <c r="J12">
        <f>IF(AIC!K9&gt;0,AIC!K9,"")</f>
        <v>20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21</v>
      </c>
      <c r="C13">
        <f>IF(AIC!D10&gt;0,AIC!D10,"")</f>
        <v>21</v>
      </c>
      <c r="D13">
        <f>IF(AIC!E10&gt;0,AIC!E10,"")</f>
        <v>21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20</v>
      </c>
      <c r="O13">
        <f>IF(AIC!P10&gt;0,AIC!P10,"")</f>
        <v>20</v>
      </c>
      <c r="P13">
        <f>IF(AIC!Q10&gt;0,AIC!Q10,"")</f>
        <v>20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21</v>
      </c>
      <c r="D42">
        <f>IF(AIC!E32&gt;0,AIC!E32,"")</f>
        <v>20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21</v>
      </c>
      <c r="C43">
        <f>IF(AIC!D33&gt;0,AIC!D33,"")</f>
        <v>21</v>
      </c>
      <c r="D43">
        <f>IF(AIC!E33&gt;0,AIC!E33,"")</f>
        <v>21</v>
      </c>
      <c r="E43">
        <f>IF(AIC!F33&gt;0,AIC!F33,"")</f>
        <v>21</v>
      </c>
      <c r="F43">
        <f>IF(AIC!G33&gt;0,AIC!G33,"")</f>
        <v>21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0.89500000000000002</v>
      </c>
      <c r="G84" s="67">
        <f t="shared" si="6"/>
        <v>0.875</v>
      </c>
      <c r="H84" s="67">
        <f t="shared" si="6"/>
        <v>0.875</v>
      </c>
      <c r="I84" s="67">
        <f t="shared" si="6"/>
        <v>0.875</v>
      </c>
      <c r="J84" s="67">
        <f t="shared" si="6"/>
        <v>1.4249999999999998</v>
      </c>
      <c r="K84" s="67">
        <f t="shared" si="6"/>
        <v>1.125</v>
      </c>
      <c r="L84" s="67">
        <f t="shared" si="6"/>
        <v>1.0750000000000002</v>
      </c>
      <c r="M84" s="67">
        <f t="shared" si="6"/>
        <v>1.375</v>
      </c>
      <c r="N84" s="67">
        <f t="shared" si="6"/>
        <v>3.6</v>
      </c>
      <c r="O84" s="67">
        <f t="shared" si="6"/>
        <v>3.6</v>
      </c>
      <c r="P84" s="67">
        <f t="shared" si="6"/>
        <v>3.6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81.916666666666671</v>
      </c>
      <c r="D86" s="59">
        <f>(AVERAGE(H83:J83)/AVERAGE(H82:J82))*100</f>
        <v>73.541666666666657</v>
      </c>
      <c r="E86" s="59">
        <f>(AVERAGE(K83:M83)/AVERAGE(K82:M82))*100</f>
        <v>70.208333333333343</v>
      </c>
      <c r="F86" s="59">
        <f>(AVERAGE(N83:P83)/AVERAGE(N82:P82))*100</f>
        <v>10.000000000000002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87.59</v>
      </c>
      <c r="G152">
        <f>AIC!H6*100</f>
        <v>85.54</v>
      </c>
      <c r="H152">
        <f>AIC!I6*100</f>
        <v>79.11</v>
      </c>
      <c r="I152">
        <f>AIC!J6*100</f>
        <v>74.86</v>
      </c>
      <c r="J152">
        <f>AIC!K6*100</f>
        <v>71.86</v>
      </c>
      <c r="K152">
        <f>AIC!L6*100</f>
        <v>67.930000000000007</v>
      </c>
      <c r="L152">
        <f>AIC!M6*100</f>
        <v>68.179999999999993</v>
      </c>
      <c r="M152">
        <f>AIC!N6*100</f>
        <v>66.679999999999993</v>
      </c>
      <c r="N152">
        <f>AIC!O6*100</f>
        <v>41.93</v>
      </c>
      <c r="O152">
        <f>AIC!P6*100</f>
        <v>41.93</v>
      </c>
      <c r="P152">
        <f>AIC!Q6*100</f>
        <v>41.93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3</v>
      </c>
      <c r="G153">
        <f>AIC!H7</f>
        <v>3</v>
      </c>
      <c r="H153">
        <f>AIC!I7</f>
        <v>4</v>
      </c>
      <c r="I153">
        <f>AIC!J7</f>
        <v>5</v>
      </c>
      <c r="J153">
        <f>AIC!K7</f>
        <v>6</v>
      </c>
      <c r="K153">
        <f>AIC!L7</f>
        <v>6</v>
      </c>
      <c r="L153">
        <f>AIC!M7</f>
        <v>6</v>
      </c>
      <c r="M153">
        <f>AIC!N7</f>
        <v>7</v>
      </c>
      <c r="N153">
        <f>AIC!O7</f>
        <v>12</v>
      </c>
      <c r="O153">
        <f>AIC!P7</f>
        <v>12</v>
      </c>
      <c r="P153">
        <f>AIC!Q7</f>
        <v>12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87.17</v>
      </c>
      <c r="D156">
        <f>AIC!E36*100</f>
        <v>75.28</v>
      </c>
      <c r="E156">
        <f>AIC!F36*100</f>
        <v>67.589999999999989</v>
      </c>
      <c r="F156">
        <f>AIC!G36*100</f>
        <v>41.93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3</v>
      </c>
      <c r="D157">
        <f>AIC!E37</f>
        <v>5</v>
      </c>
      <c r="E157">
        <f>AIC!F37</f>
        <v>6</v>
      </c>
      <c r="F157">
        <f>AIC!G37</f>
        <v>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60" workbookViewId="0">
      <selection activeCell="Q87" sqref="Q8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4" activePane="bottomLeft" state="frozen"/>
      <selection pane="bottomLeft" activeCell="A2" sqref="A2:A7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142</v>
      </c>
      <c r="B2" s="8">
        <v>1.1000000000000001</v>
      </c>
      <c r="C2" s="8">
        <v>1.2250000000000001</v>
      </c>
      <c r="D2" s="8">
        <v>1.2250000000000001</v>
      </c>
      <c r="E2" s="8">
        <v>0.8</v>
      </c>
      <c r="F2" s="8">
        <v>0.8</v>
      </c>
      <c r="G2" s="8">
        <v>0.8</v>
      </c>
      <c r="H2" s="8">
        <v>0.75</v>
      </c>
      <c r="I2" s="8">
        <v>0.75</v>
      </c>
      <c r="J2" s="8">
        <v>0.75</v>
      </c>
      <c r="K2" s="8">
        <v>0.58750000000000002</v>
      </c>
      <c r="L2" s="8">
        <v>0.58750000000000002</v>
      </c>
      <c r="M2" s="8">
        <v>0.58750000000000002</v>
      </c>
      <c r="N2" s="8">
        <v>0.1125</v>
      </c>
      <c r="O2" s="8">
        <v>0.1125</v>
      </c>
      <c r="P2" s="8">
        <v>0.1125</v>
      </c>
      <c r="Q2" s="8"/>
      <c r="R2" s="8"/>
      <c r="S2" s="56"/>
      <c r="T2" s="8"/>
      <c r="U2" s="8"/>
      <c r="V2" s="56"/>
    </row>
    <row r="3" spans="1:22" x14ac:dyDescent="0.2">
      <c r="A3" s="8" t="s">
        <v>123</v>
      </c>
      <c r="B3" s="8">
        <v>3.27</v>
      </c>
      <c r="C3" s="8">
        <v>2.52</v>
      </c>
      <c r="D3" s="8">
        <v>2.34</v>
      </c>
      <c r="E3" s="8">
        <v>1.83</v>
      </c>
      <c r="F3" s="8">
        <v>1.88</v>
      </c>
      <c r="G3" s="8">
        <v>1.5</v>
      </c>
      <c r="H3" s="8">
        <v>1.375</v>
      </c>
      <c r="I3" s="8">
        <v>1.375</v>
      </c>
      <c r="J3" s="8">
        <v>1.25</v>
      </c>
      <c r="K3" s="8">
        <v>1.25</v>
      </c>
      <c r="L3" s="8">
        <v>1.25</v>
      </c>
      <c r="M3" s="8">
        <v>1.25</v>
      </c>
      <c r="N3" s="8">
        <v>0.8</v>
      </c>
      <c r="O3" s="8">
        <v>0.8</v>
      </c>
      <c r="P3" s="8">
        <v>0.8</v>
      </c>
      <c r="Q3" s="8"/>
      <c r="R3" s="8"/>
      <c r="S3" s="56"/>
      <c r="T3" s="8"/>
      <c r="U3" s="8"/>
      <c r="V3" s="56"/>
    </row>
    <row r="4" spans="1:22" x14ac:dyDescent="0.2">
      <c r="A4" s="8" t="s">
        <v>143</v>
      </c>
      <c r="B4" s="8">
        <v>2.0249999999999999</v>
      </c>
      <c r="C4" s="8">
        <v>1.375</v>
      </c>
      <c r="D4" s="8">
        <v>1.75</v>
      </c>
      <c r="E4" s="8">
        <v>1.7</v>
      </c>
      <c r="F4" s="8">
        <v>1.675</v>
      </c>
      <c r="G4" s="8">
        <v>1.4750000000000001</v>
      </c>
      <c r="H4" s="8">
        <v>0.86</v>
      </c>
      <c r="I4" s="8">
        <v>0.71</v>
      </c>
      <c r="J4" s="8">
        <v>0.71</v>
      </c>
      <c r="K4" s="8">
        <v>0.51</v>
      </c>
      <c r="L4" s="8">
        <v>0.51</v>
      </c>
      <c r="M4" s="8">
        <v>0.51</v>
      </c>
      <c r="N4" s="8">
        <v>0.51</v>
      </c>
      <c r="O4" s="8">
        <v>0.51</v>
      </c>
      <c r="P4" s="8">
        <v>0.51</v>
      </c>
      <c r="Q4" s="8"/>
      <c r="R4" s="8"/>
      <c r="S4" s="56"/>
      <c r="T4" s="8"/>
      <c r="U4" s="8"/>
      <c r="V4" s="56"/>
    </row>
    <row r="5" spans="1:22" x14ac:dyDescent="0.2">
      <c r="A5" s="8" t="s">
        <v>144</v>
      </c>
      <c r="B5" s="8">
        <v>3.2650000000000001</v>
      </c>
      <c r="C5" s="8">
        <v>3.165</v>
      </c>
      <c r="D5" s="8">
        <v>3.0649999999999999</v>
      </c>
      <c r="E5" s="8">
        <v>3.125</v>
      </c>
      <c r="F5" s="8">
        <v>3.2749999999999999</v>
      </c>
      <c r="G5" s="8">
        <v>3.86</v>
      </c>
      <c r="H5" s="8">
        <v>3.085</v>
      </c>
      <c r="I5" s="8">
        <v>3.3849999999999998</v>
      </c>
      <c r="J5" s="8">
        <v>3.3849999999999998</v>
      </c>
      <c r="K5" s="8">
        <v>3.3224999999999998</v>
      </c>
      <c r="L5" s="8">
        <v>3.3224999999999998</v>
      </c>
      <c r="M5" s="8">
        <v>3.3224999999999998</v>
      </c>
      <c r="N5" s="8">
        <v>3.21</v>
      </c>
      <c r="O5" s="8">
        <v>3.21</v>
      </c>
      <c r="P5" s="8">
        <v>3.21</v>
      </c>
      <c r="Q5" s="8"/>
      <c r="R5" s="8"/>
      <c r="S5" s="56"/>
      <c r="T5" s="8"/>
      <c r="U5" s="8"/>
      <c r="V5" s="56"/>
    </row>
    <row r="6" spans="1:22" x14ac:dyDescent="0.2">
      <c r="A6" s="8" t="s">
        <v>124</v>
      </c>
      <c r="B6" s="8">
        <v>7.4</v>
      </c>
      <c r="C6" s="8">
        <v>8.1750000000000007</v>
      </c>
      <c r="D6" s="8">
        <v>7.22</v>
      </c>
      <c r="E6" s="8">
        <v>6.5949999999999998</v>
      </c>
      <c r="F6" s="8">
        <v>5.7</v>
      </c>
      <c r="G6" s="8">
        <v>5.375</v>
      </c>
      <c r="H6" s="8">
        <v>5.1312499999999996</v>
      </c>
      <c r="I6" s="8">
        <v>5.1062500000000002</v>
      </c>
      <c r="J6" s="8">
        <v>5.4562499999999998</v>
      </c>
      <c r="K6" s="8">
        <v>5.2562499999999996</v>
      </c>
      <c r="L6" s="8">
        <v>5.7062499999999998</v>
      </c>
      <c r="M6" s="8">
        <v>5.5062499999999996</v>
      </c>
      <c r="N6" s="8">
        <v>3.9249999999999998</v>
      </c>
      <c r="O6" s="8">
        <v>3.9249999999999998</v>
      </c>
      <c r="P6" s="8">
        <v>3.9249999999999998</v>
      </c>
      <c r="Q6" s="8"/>
      <c r="R6" s="8"/>
      <c r="S6" s="56"/>
      <c r="T6" s="8"/>
      <c r="U6" s="8"/>
      <c r="V6" s="56"/>
    </row>
    <row r="7" spans="1:22" x14ac:dyDescent="0.2">
      <c r="A7" s="8" t="s">
        <v>135</v>
      </c>
      <c r="B7" s="8">
        <v>6.4124999999999996</v>
      </c>
      <c r="C7" s="8">
        <v>5.9124999999999996</v>
      </c>
      <c r="D7" s="8">
        <v>6.6624999999999996</v>
      </c>
      <c r="E7" s="8">
        <v>7.7</v>
      </c>
      <c r="F7" s="8">
        <v>7.875</v>
      </c>
      <c r="G7" s="8">
        <v>7.875</v>
      </c>
      <c r="H7" s="8">
        <v>8.1374999999999993</v>
      </c>
      <c r="I7" s="8">
        <v>8.1374999999999993</v>
      </c>
      <c r="J7" s="8">
        <v>8.1374999999999993</v>
      </c>
      <c r="K7" s="8">
        <v>8.1374999999999993</v>
      </c>
      <c r="L7" s="8">
        <v>8.1374999999999993</v>
      </c>
      <c r="M7" s="8">
        <v>8.1374999999999993</v>
      </c>
      <c r="N7" s="8">
        <v>8.1374999999999993</v>
      </c>
      <c r="O7" s="8">
        <v>8.0124999999999993</v>
      </c>
      <c r="P7" s="8">
        <v>8.0124999999999993</v>
      </c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125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131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132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127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133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134</v>
      </c>
      <c r="B36" s="75">
        <v>47250</v>
      </c>
      <c r="C36" s="75">
        <v>445896</v>
      </c>
      <c r="D36" s="75">
        <v>549866</v>
      </c>
      <c r="E36" s="75">
        <v>1452777</v>
      </c>
    </row>
    <row r="40" spans="1:13" s="80" customFormat="1" x14ac:dyDescent="0.2">
      <c r="B40" s="80" t="str">
        <f>B30</f>
        <v>JAN</v>
      </c>
      <c r="C40" s="80" t="str">
        <f t="shared" ref="C40:M40" si="2">C30</f>
        <v>FEB</v>
      </c>
      <c r="D40" s="80" t="str">
        <f t="shared" si="2"/>
        <v>MAR</v>
      </c>
      <c r="E40" s="80" t="str">
        <f t="shared" si="2"/>
        <v>APR</v>
      </c>
      <c r="F40" s="80" t="str">
        <f t="shared" si="2"/>
        <v>MAY</v>
      </c>
      <c r="G40" s="80" t="str">
        <f t="shared" si="2"/>
        <v>JUN</v>
      </c>
      <c r="H40" s="80" t="str">
        <f t="shared" si="2"/>
        <v>JUL</v>
      </c>
      <c r="I40" s="80" t="str">
        <f t="shared" si="2"/>
        <v>AUG</v>
      </c>
      <c r="J40" s="80" t="str">
        <f t="shared" si="2"/>
        <v>SEP</v>
      </c>
      <c r="K40" s="80" t="str">
        <f t="shared" si="2"/>
        <v>OCT</v>
      </c>
      <c r="L40" s="80" t="str">
        <f t="shared" si="2"/>
        <v>NOV</v>
      </c>
      <c r="M40" s="80" t="str">
        <f t="shared" si="2"/>
        <v>DEC</v>
      </c>
    </row>
    <row r="41" spans="1:13" s="80" customFormat="1" x14ac:dyDescent="0.2">
      <c r="A41" s="80" t="str">
        <f>A31</f>
        <v>Plan</v>
      </c>
      <c r="B41" s="81">
        <f>B31/1000000</f>
        <v>2.7174330000000002</v>
      </c>
      <c r="C41" s="81">
        <f t="shared" ref="C41:M41" si="3">C31/1000000</f>
        <v>6.2094329999999998</v>
      </c>
      <c r="D41" s="81">
        <f t="shared" si="3"/>
        <v>13.563433</v>
      </c>
      <c r="E41" s="81">
        <f t="shared" si="3"/>
        <v>7.2334329999999998</v>
      </c>
      <c r="F41" s="81">
        <f t="shared" si="3"/>
        <v>7.4064329999999998</v>
      </c>
      <c r="G41" s="81">
        <f t="shared" si="3"/>
        <v>19.319433</v>
      </c>
      <c r="H41" s="81">
        <f t="shared" si="3"/>
        <v>13.479433</v>
      </c>
      <c r="I41" s="81">
        <f t="shared" si="3"/>
        <v>10.679433</v>
      </c>
      <c r="J41" s="81">
        <f t="shared" si="3"/>
        <v>18.089433</v>
      </c>
      <c r="K41" s="81">
        <f t="shared" si="3"/>
        <v>16.179433</v>
      </c>
      <c r="L41" s="81">
        <f t="shared" si="3"/>
        <v>14.539433000000001</v>
      </c>
      <c r="M41" s="81">
        <f t="shared" si="3"/>
        <v>19.853232999999999</v>
      </c>
    </row>
    <row r="42" spans="1:13" s="80" customFormat="1" x14ac:dyDescent="0.2">
      <c r="A42" s="80" t="str">
        <f>A34</f>
        <v>Actual</v>
      </c>
      <c r="B42" s="81">
        <f>B34/1000000</f>
        <v>1.0499080000000001</v>
      </c>
      <c r="C42" s="81">
        <f t="shared" ref="C42:E42" si="4">C34/1000000</f>
        <v>6.1559889999999999</v>
      </c>
      <c r="D42" s="81">
        <f t="shared" si="4"/>
        <v>9.0943710000000006</v>
      </c>
      <c r="E42" s="81">
        <f t="shared" si="4"/>
        <v>6.3080249999999998</v>
      </c>
      <c r="F42" s="81"/>
      <c r="G42" s="81"/>
      <c r="H42" s="81"/>
      <c r="I42" s="81"/>
      <c r="J42" s="81"/>
      <c r="K42" s="81"/>
      <c r="L42" s="81"/>
      <c r="M42" s="81"/>
    </row>
    <row r="43" spans="1:13" s="80" customFormat="1" x14ac:dyDescent="0.2">
      <c r="A43" s="80" t="str">
        <f>A32</f>
        <v>Plan-PS</v>
      </c>
      <c r="B43" s="81">
        <f>B32/1000000</f>
        <v>1.787433</v>
      </c>
      <c r="C43" s="81">
        <f t="shared" ref="C43:M43" si="5">C32/1000000</f>
        <v>4.779433</v>
      </c>
      <c r="D43" s="81">
        <f t="shared" si="5"/>
        <v>7.8334330000000003</v>
      </c>
      <c r="E43" s="81">
        <f t="shared" si="5"/>
        <v>5.2334329999999998</v>
      </c>
      <c r="F43" s="81">
        <f t="shared" si="5"/>
        <v>4.2064329999999996</v>
      </c>
      <c r="G43" s="81">
        <f t="shared" si="5"/>
        <v>14.379433000000001</v>
      </c>
      <c r="H43" s="81">
        <f t="shared" si="5"/>
        <v>9.2794329999999992</v>
      </c>
      <c r="I43" s="81">
        <f t="shared" si="5"/>
        <v>6.279433</v>
      </c>
      <c r="J43" s="81">
        <f t="shared" si="5"/>
        <v>10.379433000000001</v>
      </c>
      <c r="K43" s="81">
        <f t="shared" si="5"/>
        <v>11.279432999999999</v>
      </c>
      <c r="L43" s="81">
        <f t="shared" si="5"/>
        <v>4.3794329999999997</v>
      </c>
      <c r="M43" s="81">
        <f t="shared" si="5"/>
        <v>10.453233000000001</v>
      </c>
    </row>
    <row r="44" spans="1:13" s="80" customFormat="1" x14ac:dyDescent="0.2">
      <c r="A44" s="80" t="str">
        <f>A35</f>
        <v>Actual-PS</v>
      </c>
      <c r="B44" s="81">
        <f>B35/1000000</f>
        <v>1.002658</v>
      </c>
      <c r="C44" s="81">
        <f t="shared" ref="C44:E44" si="6">C35/1000000</f>
        <v>5.7100929999999996</v>
      </c>
      <c r="D44" s="81">
        <f t="shared" si="6"/>
        <v>8.5445049999999991</v>
      </c>
      <c r="E44" s="81">
        <f t="shared" si="6"/>
        <v>4.8552479999999996</v>
      </c>
      <c r="F44" s="81"/>
      <c r="G44" s="81"/>
      <c r="H44" s="81"/>
      <c r="I44" s="81"/>
      <c r="J44" s="81"/>
      <c r="K44" s="81"/>
      <c r="L44" s="81"/>
      <c r="M44" s="81"/>
    </row>
    <row r="45" spans="1:13" s="80" customFormat="1" x14ac:dyDescent="0.2">
      <c r="A45" s="80" t="str">
        <f>A33</f>
        <v>Plan-PD</v>
      </c>
      <c r="B45" s="81">
        <f>B33/1000000</f>
        <v>0.93</v>
      </c>
      <c r="C45" s="81">
        <f t="shared" ref="C45:M45" si="7">C33/1000000</f>
        <v>1.43</v>
      </c>
      <c r="D45" s="81">
        <f t="shared" si="7"/>
        <v>5.73</v>
      </c>
      <c r="E45" s="81">
        <f t="shared" si="7"/>
        <v>2</v>
      </c>
      <c r="F45" s="81">
        <f t="shared" si="7"/>
        <v>3.2</v>
      </c>
      <c r="G45" s="81">
        <f t="shared" si="7"/>
        <v>4.9400000000000004</v>
      </c>
      <c r="H45" s="81">
        <f t="shared" si="7"/>
        <v>4.2</v>
      </c>
      <c r="I45" s="81">
        <f t="shared" si="7"/>
        <v>4.4000000000000004</v>
      </c>
      <c r="J45" s="81">
        <f t="shared" si="7"/>
        <v>7.71</v>
      </c>
      <c r="K45" s="81">
        <f t="shared" si="7"/>
        <v>4.9000000000000004</v>
      </c>
      <c r="L45" s="81">
        <f t="shared" si="7"/>
        <v>10.16</v>
      </c>
      <c r="M45" s="81">
        <f t="shared" si="7"/>
        <v>9.4</v>
      </c>
    </row>
    <row r="46" spans="1:13" s="80" customFormat="1" x14ac:dyDescent="0.2">
      <c r="A46" s="80" t="str">
        <f>A36</f>
        <v>Actual-PD</v>
      </c>
      <c r="B46" s="81">
        <f>B36/1000000</f>
        <v>4.725E-2</v>
      </c>
      <c r="C46" s="81">
        <f t="shared" ref="C46:E46" si="8">C36/1000000</f>
        <v>0.44589600000000001</v>
      </c>
      <c r="D46" s="81">
        <f t="shared" si="8"/>
        <v>0.54986599999999997</v>
      </c>
      <c r="E46" s="81">
        <f t="shared" si="8"/>
        <v>1.452777</v>
      </c>
      <c r="F46" s="81"/>
      <c r="G46" s="81"/>
      <c r="H46" s="81"/>
      <c r="I46" s="81"/>
      <c r="J46" s="81"/>
      <c r="K46" s="81"/>
      <c r="L46" s="81"/>
      <c r="M46" s="81"/>
    </row>
    <row r="47" spans="1:13" s="80" customFormat="1" x14ac:dyDescent="0.2"/>
    <row r="48" spans="1:13" s="80" customFormat="1" x14ac:dyDescent="0.2"/>
    <row r="49" spans="1:16" s="80" customFormat="1" x14ac:dyDescent="0.2"/>
    <row r="50" spans="1:16" s="80" customFormat="1" x14ac:dyDescent="0.2"/>
    <row r="51" spans="1:16" s="80" customFormat="1" x14ac:dyDescent="0.2">
      <c r="B51" s="80" t="str">
        <f t="shared" ref="B51:M51" si="9">B40</f>
        <v>JAN</v>
      </c>
      <c r="C51" s="80" t="str">
        <f t="shared" si="9"/>
        <v>FEB</v>
      </c>
      <c r="D51" s="80" t="str">
        <f t="shared" si="9"/>
        <v>MAR</v>
      </c>
      <c r="E51" s="80" t="str">
        <f t="shared" si="9"/>
        <v>APR</v>
      </c>
      <c r="F51" s="80" t="str">
        <f t="shared" si="9"/>
        <v>MAY</v>
      </c>
      <c r="G51" s="80" t="str">
        <f t="shared" si="9"/>
        <v>JUN</v>
      </c>
      <c r="H51" s="80" t="str">
        <f t="shared" si="9"/>
        <v>JUL</v>
      </c>
      <c r="I51" s="80" t="str">
        <f t="shared" si="9"/>
        <v>AUG</v>
      </c>
      <c r="J51" s="80" t="str">
        <f t="shared" si="9"/>
        <v>SEP</v>
      </c>
      <c r="K51" s="80" t="str">
        <f t="shared" si="9"/>
        <v>OCT</v>
      </c>
      <c r="L51" s="80" t="str">
        <f t="shared" si="9"/>
        <v>NOV</v>
      </c>
      <c r="M51" s="80" t="str">
        <f t="shared" si="9"/>
        <v>DEC</v>
      </c>
    </row>
    <row r="52" spans="1:16" s="80" customFormat="1" x14ac:dyDescent="0.2">
      <c r="A52" s="80" t="str">
        <f>A41</f>
        <v>Plan</v>
      </c>
      <c r="B52" s="80">
        <v>2.72</v>
      </c>
      <c r="C52" s="80">
        <v>6.21</v>
      </c>
      <c r="D52" s="80">
        <v>13.56</v>
      </c>
      <c r="E52" s="80">
        <v>7.23</v>
      </c>
      <c r="F52" s="80">
        <v>7.41</v>
      </c>
      <c r="G52" s="80">
        <v>19.32</v>
      </c>
      <c r="H52" s="80">
        <v>13.48</v>
      </c>
      <c r="I52" s="80">
        <v>10.68</v>
      </c>
      <c r="J52" s="80">
        <v>18.09</v>
      </c>
      <c r="K52" s="80">
        <v>16.18</v>
      </c>
      <c r="L52" s="80">
        <v>14.54</v>
      </c>
      <c r="M52" s="80">
        <v>19.850000000000001</v>
      </c>
    </row>
    <row r="53" spans="1:16" s="80" customFormat="1" x14ac:dyDescent="0.2">
      <c r="A53" s="80" t="str">
        <f t="shared" ref="A53:A57" si="10">A42</f>
        <v>Actual</v>
      </c>
      <c r="B53" s="80">
        <v>1.05</v>
      </c>
      <c r="C53" s="80">
        <v>6.16</v>
      </c>
      <c r="D53" s="80">
        <v>9.09</v>
      </c>
      <c r="E53" s="80">
        <v>6.31</v>
      </c>
    </row>
    <row r="54" spans="1:16" s="80" customFormat="1" x14ac:dyDescent="0.2">
      <c r="A54" s="80" t="str">
        <f t="shared" si="10"/>
        <v>Plan-PS</v>
      </c>
      <c r="B54" s="80">
        <v>1.79</v>
      </c>
      <c r="C54" s="80">
        <v>4.78</v>
      </c>
      <c r="D54" s="80">
        <v>7.83</v>
      </c>
      <c r="E54" s="80">
        <v>5.23</v>
      </c>
      <c r="F54" s="80">
        <v>4.21</v>
      </c>
      <c r="G54" s="80">
        <v>14.38</v>
      </c>
      <c r="H54" s="80">
        <v>9.2799999999999994</v>
      </c>
      <c r="I54" s="80">
        <v>6.28</v>
      </c>
      <c r="J54" s="80">
        <v>10.38</v>
      </c>
      <c r="K54" s="80">
        <v>11.28</v>
      </c>
      <c r="L54" s="80">
        <v>4.38</v>
      </c>
      <c r="M54" s="80">
        <v>10.45</v>
      </c>
    </row>
    <row r="55" spans="1:16" s="80" customFormat="1" x14ac:dyDescent="0.2">
      <c r="A55" s="80" t="str">
        <f t="shared" si="10"/>
        <v>Actual-PS</v>
      </c>
      <c r="B55" s="80">
        <v>1</v>
      </c>
      <c r="C55" s="80">
        <v>5.71</v>
      </c>
      <c r="D55" s="80">
        <v>8.5399999999999991</v>
      </c>
      <c r="E55" s="80">
        <v>4.8600000000000003</v>
      </c>
    </row>
    <row r="56" spans="1:16" s="80" customFormat="1" x14ac:dyDescent="0.2">
      <c r="A56" s="80" t="str">
        <f t="shared" si="10"/>
        <v>Plan-PD</v>
      </c>
      <c r="B56" s="80">
        <v>0.93</v>
      </c>
      <c r="C56" s="80">
        <v>1.43</v>
      </c>
      <c r="D56" s="80">
        <v>5.73</v>
      </c>
      <c r="E56" s="80">
        <v>2</v>
      </c>
      <c r="F56" s="80">
        <v>3.2</v>
      </c>
      <c r="G56" s="80">
        <v>4.9400000000000004</v>
      </c>
      <c r="H56" s="80">
        <v>4.2</v>
      </c>
      <c r="I56" s="80">
        <v>4.4000000000000004</v>
      </c>
      <c r="J56" s="80">
        <v>7.71</v>
      </c>
      <c r="K56" s="80">
        <v>4.9000000000000004</v>
      </c>
      <c r="L56" s="80">
        <v>10.16</v>
      </c>
      <c r="M56" s="80">
        <v>9.4</v>
      </c>
    </row>
    <row r="57" spans="1:16" s="80" customFormat="1" x14ac:dyDescent="0.2">
      <c r="A57" s="80" t="str">
        <f t="shared" si="10"/>
        <v>Actual-PD</v>
      </c>
      <c r="B57" s="80">
        <v>0.05</v>
      </c>
      <c r="C57" s="80">
        <v>0.45</v>
      </c>
      <c r="D57" s="80">
        <v>0.55000000000000004</v>
      </c>
      <c r="E57" s="80">
        <v>1.45</v>
      </c>
      <c r="F57" s="81"/>
      <c r="L57" s="81"/>
    </row>
    <row r="61" spans="1:16" x14ac:dyDescent="0.2">
      <c r="A61" s="53" t="s">
        <v>122</v>
      </c>
      <c r="B61" s="55" t="s">
        <v>1</v>
      </c>
      <c r="C61" s="55" t="s">
        <v>2</v>
      </c>
      <c r="D61" s="55" t="s">
        <v>3</v>
      </c>
      <c r="E61" s="55" t="s">
        <v>4</v>
      </c>
      <c r="F61" s="55" t="s">
        <v>5</v>
      </c>
      <c r="G61" s="55" t="s">
        <v>6</v>
      </c>
      <c r="H61" s="55" t="s">
        <v>7</v>
      </c>
      <c r="I61" s="55" t="s">
        <v>8</v>
      </c>
      <c r="J61" s="55" t="s">
        <v>9</v>
      </c>
      <c r="K61" s="55" t="s">
        <v>10</v>
      </c>
      <c r="L61" s="55" t="s">
        <v>11</v>
      </c>
      <c r="M61" s="55" t="s">
        <v>12</v>
      </c>
      <c r="N61" s="55" t="s">
        <v>13</v>
      </c>
      <c r="O61" s="55" t="s">
        <v>14</v>
      </c>
      <c r="P61" s="55" t="s">
        <v>15</v>
      </c>
    </row>
    <row r="62" spans="1:16" x14ac:dyDescent="0.2">
      <c r="A62" s="8" t="s">
        <v>137</v>
      </c>
      <c r="B62" s="8">
        <v>64.239999999999995</v>
      </c>
      <c r="C62" s="8">
        <v>70.52</v>
      </c>
      <c r="D62" s="8">
        <v>74.53</v>
      </c>
      <c r="E62" s="8">
        <v>73.02</v>
      </c>
      <c r="F62" s="8">
        <v>78.36</v>
      </c>
      <c r="G62" s="8">
        <v>74.459999999999994</v>
      </c>
      <c r="H62" s="8">
        <v>77.349999999999994</v>
      </c>
      <c r="I62" s="8">
        <v>74.92</v>
      </c>
      <c r="J62" s="8">
        <v>73.989999999999995</v>
      </c>
      <c r="K62" s="8">
        <v>68.13</v>
      </c>
      <c r="L62" s="8">
        <v>66.87</v>
      </c>
      <c r="M62" s="8">
        <v>66.739999999999995</v>
      </c>
      <c r="N62" s="8">
        <v>48.29</v>
      </c>
      <c r="O62" s="8">
        <v>48.11</v>
      </c>
      <c r="P62" s="8">
        <v>48.11</v>
      </c>
    </row>
    <row r="63" spans="1:16" x14ac:dyDescent="0.2">
      <c r="A63" s="8" t="s">
        <v>138</v>
      </c>
      <c r="B63" s="8">
        <v>27.83</v>
      </c>
      <c r="C63" s="8">
        <v>26.6</v>
      </c>
      <c r="D63" s="8">
        <v>26.34</v>
      </c>
      <c r="E63" s="8">
        <v>25.01</v>
      </c>
      <c r="F63" s="8">
        <v>23.52</v>
      </c>
      <c r="G63" s="8">
        <v>24.04</v>
      </c>
      <c r="H63" s="8">
        <v>21.89</v>
      </c>
      <c r="I63" s="8">
        <v>22.11</v>
      </c>
      <c r="J63" s="8">
        <v>22.34</v>
      </c>
      <c r="K63" s="8">
        <v>21.37</v>
      </c>
      <c r="L63" s="8">
        <v>21.77</v>
      </c>
      <c r="M63" s="8">
        <v>21.37</v>
      </c>
      <c r="N63" s="8">
        <v>18.559999999999999</v>
      </c>
      <c r="O63" s="8">
        <v>18.43</v>
      </c>
      <c r="P63" s="8">
        <v>18.43</v>
      </c>
    </row>
    <row r="64" spans="1:16" x14ac:dyDescent="0.2">
      <c r="A64" s="8" t="s">
        <v>139</v>
      </c>
      <c r="B64" s="8">
        <v>7.89</v>
      </c>
      <c r="C64" s="8">
        <v>10.74</v>
      </c>
      <c r="D64" s="8">
        <v>9.69</v>
      </c>
      <c r="E64" s="8">
        <v>11.7</v>
      </c>
      <c r="F64" s="8">
        <v>11.65</v>
      </c>
      <c r="G64" s="8">
        <v>11.9</v>
      </c>
      <c r="H64" s="8">
        <v>10.27</v>
      </c>
      <c r="I64" s="8">
        <v>9.4700000000000006</v>
      </c>
      <c r="J64" s="8">
        <v>9.1199999999999992</v>
      </c>
      <c r="K64" s="8">
        <v>8.67</v>
      </c>
      <c r="L64" s="8">
        <v>8.2200000000000006</v>
      </c>
      <c r="M64" s="8">
        <v>7.92</v>
      </c>
      <c r="N64" s="8">
        <v>4.66</v>
      </c>
      <c r="O64" s="8">
        <v>4.66</v>
      </c>
      <c r="P64" s="8">
        <v>4.66</v>
      </c>
    </row>
    <row r="65" spans="1:16" x14ac:dyDescent="0.2">
      <c r="A65" s="8" t="s">
        <v>140</v>
      </c>
      <c r="B65" s="8">
        <v>0.1</v>
      </c>
      <c r="C65" s="8">
        <v>0.71</v>
      </c>
      <c r="D65" s="8">
        <v>0.75</v>
      </c>
      <c r="E65" s="8">
        <v>0.26</v>
      </c>
      <c r="F65" s="8">
        <v>0.21</v>
      </c>
      <c r="G65" s="8">
        <v>0.21</v>
      </c>
      <c r="H65" s="8">
        <v>0.31</v>
      </c>
      <c r="I65" s="8">
        <v>0.32</v>
      </c>
      <c r="J65" s="8">
        <v>0.32</v>
      </c>
      <c r="K65" s="8">
        <v>0.32</v>
      </c>
      <c r="L65" s="8">
        <v>0.32</v>
      </c>
      <c r="M65" s="8">
        <v>0.32</v>
      </c>
      <c r="N65" s="8">
        <v>0.11</v>
      </c>
      <c r="O65" s="8">
        <v>0.11</v>
      </c>
      <c r="P65" s="8">
        <v>0.11</v>
      </c>
    </row>
    <row r="66" spans="1:16" x14ac:dyDescent="0.2">
      <c r="A66" s="8" t="s">
        <v>141</v>
      </c>
      <c r="B66" s="8">
        <v>0</v>
      </c>
      <c r="C66" s="8">
        <v>0.15</v>
      </c>
      <c r="D66" s="8">
        <v>0.15</v>
      </c>
      <c r="E66" s="8">
        <v>0.38</v>
      </c>
      <c r="F66" s="8">
        <v>0.5</v>
      </c>
      <c r="G66" s="8">
        <v>0.6</v>
      </c>
      <c r="H66" s="8">
        <v>0.73</v>
      </c>
      <c r="I66" s="8">
        <v>0.5</v>
      </c>
      <c r="J66" s="8">
        <v>0.5</v>
      </c>
      <c r="K66" s="8">
        <v>0.63</v>
      </c>
      <c r="L66" s="8">
        <v>0.5</v>
      </c>
      <c r="M66" s="8">
        <v>0.63</v>
      </c>
      <c r="N66" s="8">
        <v>0.5</v>
      </c>
      <c r="O66" s="8">
        <v>0.5</v>
      </c>
      <c r="P66" s="8">
        <v>0.5</v>
      </c>
    </row>
    <row r="67" spans="1:16" x14ac:dyDescent="0.2">
      <c r="A67" s="8"/>
      <c r="B67" s="8"/>
      <c r="C67" s="8"/>
      <c r="D67" s="8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"/>
    </row>
    <row r="68" spans="1:16" x14ac:dyDescent="0.2">
      <c r="A68" s="8"/>
      <c r="B68" s="8"/>
      <c r="C68" s="8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"/>
    </row>
    <row r="69" spans="1:16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</row>
    <row r="70" spans="1:16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</row>
    <row r="71" spans="1:16" x14ac:dyDescent="0.2">
      <c r="A71" s="8"/>
      <c r="B71" s="8"/>
      <c r="C71" s="8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E14" sqref="E14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1.1000000000000001</v>
      </c>
      <c r="C2">
        <f>IF(Project!C2&gt;0,Project!C2,"")</f>
        <v>1.2250000000000001</v>
      </c>
      <c r="D2">
        <f>IF(Project!D2&gt;0,Project!D2,"")</f>
        <v>1.2250000000000001</v>
      </c>
      <c r="E2">
        <f>IF(Project!E2&gt;0,Project!E2,"")</f>
        <v>0.8</v>
      </c>
      <c r="F2">
        <f>IF(Project!F2&gt;0,Project!F2,"")</f>
        <v>0.8</v>
      </c>
      <c r="G2">
        <f>IF(Project!G2&gt;0,Project!G2,"")</f>
        <v>0.8</v>
      </c>
      <c r="H2">
        <f>IF(Project!H2&gt;0,Project!H2,"")</f>
        <v>0.75</v>
      </c>
      <c r="I2">
        <f>IF(Project!I2&gt;0,Project!I2,"")</f>
        <v>0.75</v>
      </c>
      <c r="J2">
        <f>IF(Project!J2&gt;0,Project!J2,"")</f>
        <v>0.75</v>
      </c>
      <c r="K2">
        <f>IF(Project!K2&gt;0,Project!K2,"")</f>
        <v>0.58750000000000002</v>
      </c>
      <c r="L2">
        <f>IF(Project!L2&gt;0,Project!L2,"")</f>
        <v>0.58750000000000002</v>
      </c>
      <c r="M2">
        <f>IF(Project!M2&gt;0,Project!M2,"")</f>
        <v>0.58750000000000002</v>
      </c>
      <c r="N2">
        <f>IF(Project!N2&gt;0,Project!N2,"")</f>
        <v>0.1125</v>
      </c>
      <c r="O2">
        <f>IF(Project!O2&gt;0,Project!O2,"")</f>
        <v>0.1125</v>
      </c>
      <c r="P2">
        <f>IF(Project!P2&gt;0,Project!P2,"")</f>
        <v>0.1125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3.27</v>
      </c>
      <c r="C3">
        <f>IF(Project!C3&gt;0,Project!C3,"")</f>
        <v>2.52</v>
      </c>
      <c r="D3">
        <f>IF(Project!D3&gt;0,Project!D3,"")</f>
        <v>2.34</v>
      </c>
      <c r="E3">
        <f>IF(Project!E3&gt;0,Project!E3,"")</f>
        <v>1.83</v>
      </c>
      <c r="F3">
        <f>IF(Project!F3&gt;0,Project!F3,"")</f>
        <v>1.88</v>
      </c>
      <c r="G3">
        <f>IF(Project!G3&gt;0,Project!G3,"")</f>
        <v>1.5</v>
      </c>
      <c r="H3">
        <f>IF(Project!H3&gt;0,Project!H3,"")</f>
        <v>1.375</v>
      </c>
      <c r="I3">
        <f>IF(Project!I3&gt;0,Project!I3,"")</f>
        <v>1.375</v>
      </c>
      <c r="J3">
        <f>IF(Project!J3&gt;0,Project!J3,"")</f>
        <v>1.25</v>
      </c>
      <c r="K3">
        <f>IF(Project!K3&gt;0,Project!K3,"")</f>
        <v>1.25</v>
      </c>
      <c r="L3">
        <f>IF(Project!L3&gt;0,Project!L3,"")</f>
        <v>1.25</v>
      </c>
      <c r="M3">
        <f>IF(Project!M3&gt;0,Project!M3,"")</f>
        <v>1.25</v>
      </c>
      <c r="N3">
        <f>IF(Project!N3&gt;0,Project!N3,"")</f>
        <v>0.8</v>
      </c>
      <c r="O3">
        <f>IF(Project!O3&gt;0,Project!O3,"")</f>
        <v>0.8</v>
      </c>
      <c r="P3">
        <f>IF(Project!P3&gt;0,Project!P3,"")</f>
        <v>0.8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2.0249999999999999</v>
      </c>
      <c r="C4">
        <f>IF(Project!C4&gt;0,Project!C4,"")</f>
        <v>1.375</v>
      </c>
      <c r="D4">
        <f>IF(Project!D4&gt;0,Project!D4,"")</f>
        <v>1.75</v>
      </c>
      <c r="E4">
        <f>IF(Project!E4&gt;0,Project!E4,"")</f>
        <v>1.7</v>
      </c>
      <c r="F4">
        <f>IF(Project!F4&gt;0,Project!F4,"")</f>
        <v>1.675</v>
      </c>
      <c r="G4">
        <f>IF(Project!G4&gt;0,Project!G4,"")</f>
        <v>1.4750000000000001</v>
      </c>
      <c r="H4">
        <f>IF(Project!H4&gt;0,Project!H4,"")</f>
        <v>0.86</v>
      </c>
      <c r="I4">
        <f>IF(Project!I4&gt;0,Project!I4,"")</f>
        <v>0.71</v>
      </c>
      <c r="J4">
        <f>IF(Project!J4&gt;0,Project!J4,"")</f>
        <v>0.71</v>
      </c>
      <c r="K4">
        <f>IF(Project!K4&gt;0,Project!K4,"")</f>
        <v>0.51</v>
      </c>
      <c r="L4">
        <f>IF(Project!L4&gt;0,Project!L4,"")</f>
        <v>0.51</v>
      </c>
      <c r="M4">
        <f>IF(Project!M4&gt;0,Project!M4,"")</f>
        <v>0.51</v>
      </c>
      <c r="N4">
        <f>IF(Project!N4&gt;0,Project!N4,"")</f>
        <v>0.51</v>
      </c>
      <c r="O4">
        <f>IF(Project!O4&gt;0,Project!O4,"")</f>
        <v>0.51</v>
      </c>
      <c r="P4">
        <f>IF(Project!P4&gt;0,Project!P4,"")</f>
        <v>0.51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3.125</v>
      </c>
      <c r="F5">
        <f>IF(Project!F5&gt;0,Project!F5,"")</f>
        <v>3.2749999999999999</v>
      </c>
      <c r="G5">
        <f>IF(Project!G5&gt;0,Project!G5,"")</f>
        <v>3.86</v>
      </c>
      <c r="H5">
        <f>IF(Project!H5&gt;0,Project!H5,"")</f>
        <v>3.085</v>
      </c>
      <c r="I5">
        <f>IF(Project!I5&gt;0,Project!I5,"")</f>
        <v>3.3849999999999998</v>
      </c>
      <c r="J5">
        <f>IF(Project!J5&gt;0,Project!J5,"")</f>
        <v>3.3849999999999998</v>
      </c>
      <c r="K5">
        <f>IF(Project!K5&gt;0,Project!K5,"")</f>
        <v>3.3224999999999998</v>
      </c>
      <c r="L5">
        <f>IF(Project!L5&gt;0,Project!L5,"")</f>
        <v>3.3224999999999998</v>
      </c>
      <c r="M5">
        <f>IF(Project!M5&gt;0,Project!M5,"")</f>
        <v>3.3224999999999998</v>
      </c>
      <c r="N5">
        <f>IF(Project!N5&gt;0,Project!N5,"")</f>
        <v>3.21</v>
      </c>
      <c r="O5">
        <f>IF(Project!O5&gt;0,Project!O5,"")</f>
        <v>3.21</v>
      </c>
      <c r="P5">
        <f>IF(Project!P5&gt;0,Project!P5,"")</f>
        <v>3.21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7.4</v>
      </c>
      <c r="C6">
        <f>IF(Project!C6&gt;0,Project!C6,"")</f>
        <v>8.1750000000000007</v>
      </c>
      <c r="D6">
        <f>IF(Project!D6&gt;0,Project!D6,"")</f>
        <v>7.22</v>
      </c>
      <c r="E6">
        <f>IF(Project!E6&gt;0,Project!E6,"")</f>
        <v>6.5949999999999998</v>
      </c>
      <c r="F6">
        <f>IF(Project!F6&gt;0,Project!F6,"")</f>
        <v>5.7</v>
      </c>
      <c r="G6">
        <f>IF(Project!G6&gt;0,Project!G6,"")</f>
        <v>5.375</v>
      </c>
      <c r="H6">
        <f>IF(Project!H6&gt;0,Project!H6,"")</f>
        <v>5.1312499999999996</v>
      </c>
      <c r="I6">
        <f>IF(Project!I6&gt;0,Project!I6,"")</f>
        <v>5.1062500000000002</v>
      </c>
      <c r="J6">
        <f>IF(Project!J6&gt;0,Project!J6,"")</f>
        <v>5.4562499999999998</v>
      </c>
      <c r="K6">
        <f>IF(Project!K6&gt;0,Project!K6,"")</f>
        <v>5.2562499999999996</v>
      </c>
      <c r="L6">
        <f>IF(Project!L6&gt;0,Project!L6,"")</f>
        <v>5.7062499999999998</v>
      </c>
      <c r="M6">
        <f>IF(Project!M6&gt;0,Project!M6,"")</f>
        <v>5.5062499999999996</v>
      </c>
      <c r="N6">
        <f>IF(Project!N6&gt;0,Project!N6,"")</f>
        <v>3.9249999999999998</v>
      </c>
      <c r="O6">
        <f>IF(Project!O6&gt;0,Project!O6,"")</f>
        <v>3.9249999999999998</v>
      </c>
      <c r="P6">
        <f>IF(Project!P6&gt;0,Project!P6,"")</f>
        <v>3.9249999999999998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6.4124999999999996</v>
      </c>
      <c r="C7">
        <f>IF(Project!C7&gt;0,Project!C7,"")</f>
        <v>5.9124999999999996</v>
      </c>
      <c r="D7">
        <f>IF(Project!D7&gt;0,Project!D7,"")</f>
        <v>6.6624999999999996</v>
      </c>
      <c r="E7">
        <f>IF(Project!E7&gt;0,Project!E7,"")</f>
        <v>7.7</v>
      </c>
      <c r="F7">
        <f>IF(Project!F7&gt;0,Project!F7,"")</f>
        <v>7.875</v>
      </c>
      <c r="G7">
        <f>IF(Project!G7&gt;0,Project!G7,"")</f>
        <v>7.875</v>
      </c>
      <c r="H7">
        <f>IF(Project!H7&gt;0,Project!H7,"")</f>
        <v>8.1374999999999993</v>
      </c>
      <c r="I7">
        <f>IF(Project!I7&gt;0,Project!I7,"")</f>
        <v>8.1374999999999993</v>
      </c>
      <c r="J7">
        <f>IF(Project!J7&gt;0,Project!J7,"")</f>
        <v>8.1374999999999993</v>
      </c>
      <c r="K7">
        <f>IF(Project!K7&gt;0,Project!K7,"")</f>
        <v>8.1374999999999993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8.1374999999999993</v>
      </c>
      <c r="O7">
        <f>IF(Project!O7&gt;0,Project!O7,"")</f>
        <v>8.0124999999999993</v>
      </c>
      <c r="P7">
        <f>IF(Project!P7&gt;0,Project!P7,"")</f>
        <v>8.0124999999999993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">
        <v>136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/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/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>
        <v>28.8</v>
      </c>
    </row>
    <row r="28" spans="1:20" x14ac:dyDescent="0.2">
      <c r="A28" s="58" t="s">
        <v>126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/>
      <c r="B31" s="58" t="str">
        <f>Project!B51</f>
        <v>JAN</v>
      </c>
      <c r="C31" s="58" t="str">
        <f>Project!C51</f>
        <v>FEB</v>
      </c>
      <c r="D31" s="58" t="str">
        <f>Project!D51</f>
        <v>MAR</v>
      </c>
      <c r="E31" s="58" t="str">
        <f>Project!E51</f>
        <v>APR</v>
      </c>
      <c r="F31" s="58" t="str">
        <f>Project!F51</f>
        <v>MAY</v>
      </c>
      <c r="G31" s="58" t="str">
        <f>Project!G51</f>
        <v>JUN</v>
      </c>
      <c r="H31" s="58" t="str">
        <f>Project!H51</f>
        <v>JUL</v>
      </c>
      <c r="I31" s="58" t="str">
        <f>Project!I51</f>
        <v>AUG</v>
      </c>
      <c r="J31" s="58" t="str">
        <f>Project!J51</f>
        <v>SEP</v>
      </c>
      <c r="K31" s="58" t="str">
        <f>Project!K51</f>
        <v>OCT</v>
      </c>
      <c r="L31" s="58" t="str">
        <f>Project!L51</f>
        <v>NOV</v>
      </c>
      <c r="M31" s="58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4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</row>
    <row r="41" spans="1:16" x14ac:dyDescent="0.2">
      <c r="A41" s="8"/>
      <c r="B41" s="17" t="str">
        <f>Project!B61</f>
        <v>JAN</v>
      </c>
      <c r="C41" s="17" t="str">
        <f>Project!C61</f>
        <v>FEB</v>
      </c>
      <c r="D41" s="17" t="str">
        <f>Project!D61</f>
        <v>MAR</v>
      </c>
      <c r="E41" s="17" t="str">
        <f>Project!E61</f>
        <v>APR</v>
      </c>
      <c r="F41" s="17" t="str">
        <f>Project!F61</f>
        <v>MAY</v>
      </c>
      <c r="G41" s="17" t="str">
        <f>Project!G61</f>
        <v>JUN</v>
      </c>
      <c r="H41" s="17" t="str">
        <f>Project!H61</f>
        <v>JUL</v>
      </c>
      <c r="I41" s="17" t="str">
        <f>Project!I61</f>
        <v>AUG</v>
      </c>
      <c r="J41" s="17" t="str">
        <f>Project!J61</f>
        <v>SEP</v>
      </c>
      <c r="K41" s="17" t="str">
        <f>Project!K61</f>
        <v>OCT</v>
      </c>
      <c r="L41" s="17" t="str">
        <f>Project!L61</f>
        <v>NOV</v>
      </c>
      <c r="M41" s="17" t="str">
        <f>Project!M61</f>
        <v>DEC</v>
      </c>
      <c r="N41" s="17" t="str">
        <f>Project!N61</f>
        <v>JAN'27</v>
      </c>
      <c r="O41" s="17" t="str">
        <f>Project!O61</f>
        <v>FEB'27</v>
      </c>
      <c r="P41" s="17" t="str">
        <f>Project!P61</f>
        <v>MAR'27</v>
      </c>
    </row>
    <row r="42" spans="1:16" x14ac:dyDescent="0.2">
      <c r="A42" s="8" t="str">
        <f>Project!A62</f>
        <v>1.1 PS</v>
      </c>
      <c r="B42" s="8">
        <f>Project!B62</f>
        <v>64.239999999999995</v>
      </c>
      <c r="C42" s="8">
        <f>Project!C62</f>
        <v>70.52</v>
      </c>
      <c r="D42" s="8">
        <f>Project!D62</f>
        <v>74.53</v>
      </c>
      <c r="E42" s="8">
        <f>Project!E62</f>
        <v>73.02</v>
      </c>
      <c r="F42" s="8">
        <f>Project!F62</f>
        <v>78.36</v>
      </c>
      <c r="G42" s="8">
        <f>Project!G62</f>
        <v>74.459999999999994</v>
      </c>
      <c r="H42" s="8">
        <f>Project!H62</f>
        <v>77.349999999999994</v>
      </c>
      <c r="I42" s="8">
        <f>Project!I62</f>
        <v>74.92</v>
      </c>
      <c r="J42" s="8">
        <f>Project!J62</f>
        <v>73.989999999999995</v>
      </c>
      <c r="K42" s="8">
        <f>Project!K62</f>
        <v>68.13</v>
      </c>
      <c r="L42" s="8">
        <f>Project!L62</f>
        <v>66.87</v>
      </c>
      <c r="M42" s="8">
        <f>Project!M62</f>
        <v>66.739999999999995</v>
      </c>
      <c r="N42" s="8">
        <f>Project!N62</f>
        <v>48.29</v>
      </c>
      <c r="O42" s="8">
        <f>Project!O62</f>
        <v>48.11</v>
      </c>
      <c r="P42" s="8">
        <f>Project!P62</f>
        <v>48.11</v>
      </c>
    </row>
    <row r="43" spans="1:16" x14ac:dyDescent="0.2">
      <c r="A43" s="8" t="str">
        <f>Project!A63</f>
        <v>1.2 Product</v>
      </c>
      <c r="B43" s="8">
        <f>Project!B63</f>
        <v>27.83</v>
      </c>
      <c r="C43" s="8">
        <f>Project!C63</f>
        <v>26.6</v>
      </c>
      <c r="D43" s="8">
        <f>Project!D63</f>
        <v>26.34</v>
      </c>
      <c r="E43" s="8">
        <f>Project!E63</f>
        <v>25.01</v>
      </c>
      <c r="F43" s="8">
        <f>Project!F63</f>
        <v>23.52</v>
      </c>
      <c r="G43" s="8">
        <f>Project!G63</f>
        <v>24.04</v>
      </c>
      <c r="H43" s="8">
        <f>Project!H63</f>
        <v>21.89</v>
      </c>
      <c r="I43" s="8">
        <f>Project!I63</f>
        <v>22.11</v>
      </c>
      <c r="J43" s="8">
        <f>Project!J63</f>
        <v>22.34</v>
      </c>
      <c r="K43" s="8">
        <f>Project!K63</f>
        <v>21.37</v>
      </c>
      <c r="L43" s="8">
        <f>Project!L63</f>
        <v>21.77</v>
      </c>
      <c r="M43" s="8">
        <f>Project!M63</f>
        <v>21.37</v>
      </c>
      <c r="N43" s="8">
        <f>Project!N63</f>
        <v>18.559999999999999</v>
      </c>
      <c r="O43" s="8">
        <f>Project!O63</f>
        <v>18.43</v>
      </c>
      <c r="P43" s="8">
        <f>Project!P63</f>
        <v>18.43</v>
      </c>
    </row>
    <row r="44" spans="1:16" x14ac:dyDescent="0.2">
      <c r="A44" s="8" t="str">
        <f>Project!A64</f>
        <v>2 R&amp;D</v>
      </c>
      <c r="B44" s="8">
        <f>Project!B64</f>
        <v>7.89</v>
      </c>
      <c r="C44" s="8">
        <f>Project!C64</f>
        <v>10.74</v>
      </c>
      <c r="D44" s="8">
        <f>Project!D64</f>
        <v>9.69</v>
      </c>
      <c r="E44" s="8">
        <f>Project!E64</f>
        <v>11.7</v>
      </c>
      <c r="F44" s="8">
        <f>Project!F64</f>
        <v>11.65</v>
      </c>
      <c r="G44" s="8">
        <f>Project!G64</f>
        <v>11.9</v>
      </c>
      <c r="H44" s="8">
        <f>Project!H64</f>
        <v>10.27</v>
      </c>
      <c r="I44" s="8">
        <f>Project!I64</f>
        <v>9.4700000000000006</v>
      </c>
      <c r="J44" s="8">
        <f>Project!J64</f>
        <v>9.1199999999999992</v>
      </c>
      <c r="K44" s="8">
        <f>Project!K64</f>
        <v>8.67</v>
      </c>
      <c r="L44" s="8">
        <f>Project!L64</f>
        <v>8.2200000000000006</v>
      </c>
      <c r="M44" s="8">
        <f>Project!M64</f>
        <v>7.92</v>
      </c>
      <c r="N44" s="8">
        <f>Project!N64</f>
        <v>4.66</v>
      </c>
      <c r="O44" s="8">
        <f>Project!O64</f>
        <v>4.66</v>
      </c>
      <c r="P44" s="8">
        <f>Project!P64</f>
        <v>4.66</v>
      </c>
    </row>
    <row r="45" spans="1:16" x14ac:dyDescent="0.2">
      <c r="A45" t="str">
        <f>Project!A65</f>
        <v>3 Policy</v>
      </c>
      <c r="B45">
        <f>Project!B65</f>
        <v>0.1</v>
      </c>
      <c r="C45">
        <f>Project!C65</f>
        <v>0.71</v>
      </c>
      <c r="D45">
        <f>Project!D65</f>
        <v>0.75</v>
      </c>
      <c r="E45">
        <f>Project!E65</f>
        <v>0.26</v>
      </c>
      <c r="F45">
        <f>Project!F65</f>
        <v>0.21</v>
      </c>
      <c r="G45">
        <f>Project!G65</f>
        <v>0.21</v>
      </c>
      <c r="H45">
        <f>Project!H65</f>
        <v>0.31</v>
      </c>
      <c r="I45">
        <f>Project!I65</f>
        <v>0.32</v>
      </c>
      <c r="J45">
        <f>Project!J65</f>
        <v>0.32</v>
      </c>
      <c r="K45">
        <f>Project!K65</f>
        <v>0.32</v>
      </c>
      <c r="L45">
        <f>Project!L65</f>
        <v>0.32</v>
      </c>
      <c r="M45">
        <f>Project!M65</f>
        <v>0.32</v>
      </c>
      <c r="N45">
        <f>Project!N65</f>
        <v>0.11</v>
      </c>
      <c r="O45">
        <f>Project!O65</f>
        <v>0.11</v>
      </c>
      <c r="P45">
        <f>Project!P65</f>
        <v>0.11</v>
      </c>
    </row>
    <row r="46" spans="1:16" x14ac:dyDescent="0.2">
      <c r="A46" t="str">
        <f>Project!A66</f>
        <v>7 DO Tools</v>
      </c>
      <c r="B46">
        <f>Project!B66</f>
        <v>0</v>
      </c>
      <c r="C46">
        <f>Project!C66</f>
        <v>0.15</v>
      </c>
      <c r="D46">
        <f>Project!D66</f>
        <v>0.15</v>
      </c>
      <c r="E46">
        <f>Project!E66</f>
        <v>0.38</v>
      </c>
      <c r="F46">
        <f>Project!F66</f>
        <v>0.5</v>
      </c>
      <c r="G46">
        <f>Project!G66</f>
        <v>0.6</v>
      </c>
      <c r="H46">
        <f>Project!H66</f>
        <v>0.73</v>
      </c>
      <c r="I46">
        <f>Project!I66</f>
        <v>0.5</v>
      </c>
      <c r="J46">
        <f>Project!J66</f>
        <v>0.5</v>
      </c>
      <c r="K46">
        <f>Project!K66</f>
        <v>0.63</v>
      </c>
      <c r="L46">
        <f>Project!L66</f>
        <v>0.5</v>
      </c>
      <c r="M46">
        <f>Project!M66</f>
        <v>0.63</v>
      </c>
      <c r="N46">
        <f>Project!N66</f>
        <v>0.5</v>
      </c>
      <c r="O46">
        <f>Project!O66</f>
        <v>0.5</v>
      </c>
      <c r="P46">
        <f>Project!P66</f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2026-05-25T18:11:45Z</dcterms:modified>
</cp:coreProperties>
</file>