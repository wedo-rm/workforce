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A51765C0-465D-7846-804C-CC4AFF2C3D1D}" xr6:coauthVersionLast="47" xr6:coauthVersionMax="47" xr10:uidLastSave="{00000000-0000-0000-0000-000000000000}"/>
  <bookViews>
    <workbookView xWindow="2240" yWindow="5900" windowWidth="40720" windowHeight="15880" xr2:uid="{9B62DE01-5AE9-7A46-A5D4-95A9ED94E5A6}"/>
  </bookViews>
  <sheets>
    <sheet name="Summary" sheetId="17" r:id="rId1"/>
    <sheet name="ALL" sheetId="1" r:id="rId2"/>
    <sheet name="GraphAll" sheetId="3" r:id="rId3"/>
    <sheet name="DV" sheetId="15" r:id="rId4"/>
    <sheet name="GraphDV" sheetId="16" r:id="rId5"/>
    <sheet name="CPS" sheetId="2" r:id="rId6"/>
    <sheet name="GraphCPS" sheetId="4" r:id="rId7"/>
    <sheet name="PSE" sheetId="5" r:id="rId8"/>
    <sheet name="GraphPSE" sheetId="6" r:id="rId9"/>
    <sheet name="SD" sheetId="7" r:id="rId10"/>
    <sheet name="GraphSD" sheetId="8" r:id="rId11"/>
    <sheet name="AIC" sheetId="9" r:id="rId12"/>
    <sheet name="GraphAIC" sheetId="10" r:id="rId13"/>
    <sheet name="TDE" sheetId="11" r:id="rId14"/>
    <sheet name="GraphTDE" sheetId="12" r:id="rId15"/>
    <sheet name="Project" sheetId="13" r:id="rId16"/>
    <sheet name="GraphPJ" sheetId="14" r:id="rId17"/>
  </sheets>
  <definedNames>
    <definedName name="_xlnm._FilterDatabase" localSheetId="0" hidden="1">Summary!$A$1:$N$1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4" i="16" l="1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N4" i="16"/>
  <c r="M4" i="16"/>
  <c r="L4" i="16"/>
  <c r="K4" i="16"/>
  <c r="K163" i="16" s="1"/>
  <c r="J4" i="16"/>
  <c r="J163" i="16" s="1"/>
  <c r="I4" i="16"/>
  <c r="I163" i="16" s="1"/>
  <c r="H4" i="16"/>
  <c r="G4" i="16"/>
  <c r="F4" i="16"/>
  <c r="E4" i="16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O2" i="16"/>
  <c r="N2" i="16"/>
  <c r="N162" i="16" s="1"/>
  <c r="M2" i="16"/>
  <c r="M162" i="16" s="1"/>
  <c r="L2" i="16"/>
  <c r="L162" i="16" s="1"/>
  <c r="K2" i="16"/>
  <c r="K162" i="16" s="1"/>
  <c r="J2" i="16"/>
  <c r="I2" i="16"/>
  <c r="H2" i="16"/>
  <c r="G2" i="16"/>
  <c r="F2" i="16"/>
  <c r="E2" i="16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O163" i="16"/>
  <c r="N163" i="16"/>
  <c r="M163" i="16"/>
  <c r="L163" i="16"/>
  <c r="H163" i="16"/>
  <c r="G163" i="16"/>
  <c r="F163" i="16"/>
  <c r="E163" i="16"/>
  <c r="A163" i="16"/>
  <c r="P162" i="16"/>
  <c r="O162" i="16"/>
  <c r="J162" i="16"/>
  <c r="I162" i="16"/>
  <c r="H162" i="16"/>
  <c r="G162" i="16"/>
  <c r="F162" i="16"/>
  <c r="E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G84" i="10" s="1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H72" i="10"/>
  <c r="H74" i="10" s="1"/>
  <c r="I72" i="10"/>
  <c r="J72" i="10"/>
  <c r="K72" i="10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E62" i="8"/>
  <c r="F62" i="8"/>
  <c r="G62" i="8"/>
  <c r="H62" i="8"/>
  <c r="I62" i="8"/>
  <c r="J62" i="8"/>
  <c r="K62" i="8"/>
  <c r="L62" i="8"/>
  <c r="L64" i="8" s="1"/>
  <c r="M62" i="8"/>
  <c r="M64" i="8" s="1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B74" i="8" s="1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E62" i="4"/>
  <c r="F62" i="4"/>
  <c r="G62" i="4"/>
  <c r="H62" i="4"/>
  <c r="I62" i="4"/>
  <c r="J62" i="4"/>
  <c r="J64" i="4" s="1"/>
  <c r="K62" i="4"/>
  <c r="L62" i="4"/>
  <c r="M62" i="4"/>
  <c r="M64" i="4" s="1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J54" i="4" s="1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K74" i="10" l="1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<sst xmlns="http://schemas.openxmlformats.org/spreadsheetml/2006/main" count="1733" uniqueCount="309">
  <si>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</si>
  <si>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</si>
  <si>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</si>
  <si>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</si>
  <si>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</si>
  <si>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</si>
  <si>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</si>
  <si>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</si>
  <si>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</si>
  <si>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</si>
  <si>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</si>
  <si>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</si>
  <si>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</si>
  <si>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</si>
  <si>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</si>
  <si>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</si>
  <si>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</si>
  <si>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</si>
  <si>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</si>
  <si>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</si>
  <si>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</si>
  <si>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</si>
  <si>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</si>
  <si>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</si>
  <si>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</si>
  <si>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</si>
  <si>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</si>
  <si>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</si>
  <si>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</si>
  <si>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</si>
  <si>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</si>
  <si>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</si>
  <si>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</si>
  <si>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</si>
  <si>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</si>
  <si>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</si>
  <si>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</si>
  <si>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</si>
  <si>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</si>
  <si>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</si>
  <si>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</si>
  <si>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</si>
  <si>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</si>
  <si>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</si>
  <si>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</si>
  <si>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</si>
  <si>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</si>
  <si>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</si>
  <si>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</si>
  <si>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</si>
  <si>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</si>
  <si>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</si>
  <si>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</si>
  <si>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</si>
  <si>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</si>
  <si>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</si>
  <si>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</si>
  <si>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</si>
  <si>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</si>
  <si>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</si>
  <si>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</si>
  <si>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</si>
  <si>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</si>
  <si>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</si>
  <si>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</si>
  <si>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</si>
  <si>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</si>
  <si>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</si>
  <si>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</si>
  <si>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</si>
  <si>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</si>
  <si>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</si>
  <si>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</si>
  <si>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</si>
  <si>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</si>
  <si>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</si>
  <si>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</si>
  <si>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</si>
  <si>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</si>
  <si>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</si>
  <si>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</si>
  <si>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</si>
  <si>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</si>
  <si>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</si>
  <si>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</si>
  <si>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</si>
  <si>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</si>
  <si>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</si>
  <si>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</si>
  <si>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</si>
  <si>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</si>
  <si>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</si>
  <si>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</si>
  <si>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</si>
  <si>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</si>
  <si>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</si>
  <si>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</si>
  <si>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</si>
  <si>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</si>
  <si>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</si>
  <si>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</si>
  <si>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</si>
  <si>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</si>
  <si>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</si>
  <si>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</si>
  <si>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</si>
  <si>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</si>
  <si>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</si>
  <si>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</si>
  <si>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</si>
  <si>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</si>
  <si>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</si>
  <si>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</si>
  <si>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</si>
  <si>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</si>
  <si>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</si>
  <si>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</si>
  <si>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</si>
  <si>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</si>
  <si>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</si>
  <si>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</si>
  <si>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</si>
  <si>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</si>
  <si>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</si>
  <si>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</si>
  <si>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</si>
  <si>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</si>
  <si>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</si>
  <si>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</si>
  <si>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</si>
  <si>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</si>
  <si>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</si>
  <si>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</si>
  <si>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</si>
  <si>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</si>
  <si>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</si>
  <si>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</si>
  <si>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</si>
  <si>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</si>
  <si>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</si>
  <si>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</si>
  <si>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</si>
  <si>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</si>
  <si>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</si>
  <si>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</si>
  <si>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</si>
  <si>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</si>
  <si>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</si>
  <si>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</si>
  <si>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</si>
  <si>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</si>
  <si>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</si>
  <si>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</si>
  <si>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</si>
  <si>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</si>
  <si>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</si>
  <si>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</si>
  <si>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</si>
  <si>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</si>
  <si>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</si>
  <si>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Q2 2026 – Q1 2027</t>
  </si>
  <si>
    <t>plan</t>
  </si>
  <si>
    <t>none</t>
  </si>
  <si>
    <t>text</t>
  </si>
  <si>
    <t>ปริมาณงานค่อนข้างสัมพันธ์กับจำนวนพนักงาน</t>
  </si>
  <si>
    <t>cps#cps-sect-bd</t>
  </si>
  <si>
    <t>กราฟตกในช่วง Q1/2027 เนื่องจากความไม่แน่นอนของงานในปีหน้า</t>
  </si>
  <si>
    <t>BD ยังมี Available ในการรับงานในอนาคตเพิ่มเติม</t>
  </si>
  <si>
    <t>cps#cps-sect-po</t>
  </si>
  <si>
    <t>Top Available</t>
  </si>
  <si>
    <t>67.62%</t>
  </si>
  <si>
    <t>available</t>
  </si>
  <si>
    <t>aic#aic-sect-iot</t>
  </si>
  <si>
    <t>shortage</t>
  </si>
  <si>
    <t>Top Allocation</t>
  </si>
  <si>
    <t>sd#sd-sect-design</t>
  </si>
  <si>
    <t>sd#sd-sect-data</t>
  </si>
  <si>
    <t>sd#sd-sect-tm</t>
  </si>
  <si>
    <t>index</t>
  </si>
  <si>
    <t>cps</t>
  </si>
  <si>
    <t>[Plan 86.54%]</t>
  </si>
  <si>
    <t>ปริมาณคน &gt; ปริมาณงาน (diff average รายปี)</t>
  </si>
  <si>
    <t>106.10%</t>
  </si>
  <si>
    <t>sd#sd-sect-qa</t>
  </si>
  <si>
    <t>104.21%</t>
  </si>
  <si>
    <t>sd#sd-sect-sre</t>
  </si>
  <si>
    <t>103.52%</t>
  </si>
  <si>
    <t>58.92%</t>
  </si>
  <si>
    <t>[Available 41.08%]</t>
  </si>
  <si>
    <t>aic#aic-sect-sai</t>
  </si>
  <si>
    <t>62.62%</t>
  </si>
  <si>
    <t>[Available 37.38%]</t>
  </si>
  <si>
    <t>aic#aic-sect-aie</t>
  </si>
  <si>
    <t>[Available 32.38%]</t>
  </si>
  <si>
    <t>69.24%</t>
  </si>
  <si>
    <t>[Available 30.76%]</t>
  </si>
  <si>
    <t>Top Diff FTE</t>
  </si>
  <si>
    <t>+7.1 FTE</t>
  </si>
  <si>
    <t>pse#pse-sect-se</t>
  </si>
  <si>
    <t>+3 FTE</t>
  </si>
  <si>
    <t>AIE-IoT</t>
  </si>
  <si>
    <t>+1.7 FTE</t>
  </si>
  <si>
    <t>Average Plan</t>
  </si>
  <si>
    <t>+20.23 FTE</t>
  </si>
  <si>
    <t>Q2 2026</t>
  </si>
  <si>
    <t>[Plan 95.54%]</t>
  </si>
  <si>
    <t>May มีปริมาณ Plan FTE สูงสุด [92.03%] เนื่องจากมีงานเข้ามาแน่นอนแล้วในช่วงปัจจุบัน</t>
  </si>
  <si>
    <t>125.08%</t>
  </si>
  <si>
    <t>105.79%</t>
  </si>
  <si>
    <t>CPS-BD</t>
  </si>
  <si>
    <t>103.94%</t>
  </si>
  <si>
    <t>103.125%</t>
  </si>
  <si>
    <t>sd#sd-sect-ba</t>
  </si>
  <si>
    <t>78.08%</t>
  </si>
  <si>
    <t>[Available 21.92%]</t>
  </si>
  <si>
    <t>81.92%</t>
  </si>
  <si>
    <t>[Available 18.08%]</t>
  </si>
  <si>
    <t>85.00%</t>
  </si>
  <si>
    <t>[Available 15.00%]</t>
  </si>
  <si>
    <t>+2.63 FTE</t>
  </si>
  <si>
    <t>+0.97 FTE</t>
  </si>
  <si>
    <t>+0.92 FTE</t>
  </si>
  <si>
    <t>+0.9 FTE</t>
  </si>
  <si>
    <t>ยังเป็นตัวเลขที่สามารถจัดการได้ โดยทีมที่พนักงานเกิน (PSE-SE) สามารถโยกมาทำ Internal Project ได้</t>
  </si>
  <si>
    <t>ส่วนทีมที่พนักงานขาด (SD-SRE) กำลังอยู่ในช่วงการสรรหาพนักงานใหม่มาเพิ่มเติม</t>
  </si>
  <si>
    <t>Q1 2027</t>
  </si>
  <si>
    <t>[Plan 69.63%]</t>
  </si>
  <si>
    <t>Available เป็นจำนวนมาก เกิดจากความไม่แน่นอนในโปรเจคใหม่ที่จะเข้ามาในปีหน้า รวมถึงมีโปรเจคที่จบตั้งแต่ปี 2026 และยังไม่มีแผนขยาย</t>
  </si>
  <si>
    <t>130%</t>
  </si>
  <si>
    <t>10%</t>
  </si>
  <si>
    <t>[Available 90%]</t>
  </si>
  <si>
    <t>25%</t>
  </si>
  <si>
    <t>[Available 75%]</t>
  </si>
  <si>
    <t>sd#sd-sect-pm</t>
  </si>
  <si>
    <t>27.86%</t>
  </si>
  <si>
    <t>[Available 72.14%]</t>
  </si>
  <si>
    <t>28%</t>
  </si>
  <si>
    <t>[Available 72%]</t>
  </si>
  <si>
    <t>+16.35 FTE</t>
  </si>
  <si>
    <t>tde</t>
  </si>
  <si>
    <t>[Plan 100.00%]</t>
  </si>
  <si>
    <t>Fully Plan เนื่องจากเป็น Support Function</t>
  </si>
  <si>
    <t>sd</t>
  </si>
  <si>
    <t>[Plan 90.40%]</t>
  </si>
  <si>
    <t>ภาพรวม กราฟ Plan ลงเป็นระนาบเดียวกัน เนื่องจากความไม่แน่นอนในอนาคต</t>
  </si>
  <si>
    <t>ยังมี Available ในการรับงานในอนาคตเพิ่มเติม ยกเว้น SRE, QA, TM</t>
  </si>
  <si>
    <t>[Plan 104.21%]</t>
  </si>
  <si>
    <t>ปริมาณงานมากกว่าจำนวนพนักงาน สูงที่สุดในช่วง Q2 โดย Plan อยู่ที่ 125.08%</t>
  </si>
  <si>
    <t>[Available -0.5 FTE]</t>
  </si>
  <si>
    <t>กำลังอยู่ในช่วงการสรรหาพนักงานใหม่มาเพิ่มเติม เพื่อรองรับงานปัจจุบัน และในอนาคตที่จะเข้ามาเพิ่มเติม</t>
  </si>
  <si>
    <t>[Plan 106.10%]</t>
  </si>
  <si>
    <t>ปริมาณงานมากกว่าจำนวนพนักงาน สูงที่สุดในช่วง Q3 โดย Plan อยู่ที่ 129.89%</t>
  </si>
  <si>
    <t>[Available -3.47 FTE]</t>
  </si>
  <si>
    <t>สามารถใช้พนักงาน Outsource จาก Doppio มาเพื่อช่วยงานเพิ่มเติม</t>
  </si>
  <si>
    <t>Note: Doppio usage during Jan-Apr 2026 ~ 509.22 from 1,900 MDs</t>
  </si>
  <si>
    <t>[Plan 103.52%]</t>
  </si>
  <si>
    <t>ปริมาณงานมากกว่าจำนวนพนักงาน สูงที่สุดในช่วง Q1/2027 โดย Plan อยู่ที่ 130%</t>
  </si>
  <si>
    <t>[Available -1.2 FTE]</t>
  </si>
  <si>
    <t>เนื่องจากโปรเจค New CDAS ต้องการ TM Support 24x7 จึงต้องมีพนักงาน Standby on-call 2 คน สลับนอกเวลางานกันคนละสัปดาห์</t>
  </si>
  <si>
    <t>ตัวเลขการประเมินอาจมีการเปลี่ยนแปลงอีกครั้ง หากได้รับการคอนเฟิร์มโมเดลการจ้างงานในเดือนมิถุนายนนี้</t>
  </si>
  <si>
    <t>pse</t>
  </si>
  <si>
    <t>[Plan 85.26%]</t>
  </si>
  <si>
    <t>ผลต่างที่มีระหว่างเดือน ยังเป็นตัวเลขที่สามารถจัดการได้</t>
  </si>
  <si>
    <t>ช่วงที่ Resource Available สามารถโยกมาทำ Internal Project ได้</t>
  </si>
  <si>
    <t>[Plan 100%]</t>
  </si>
  <si>
    <t>pse#pse-sect-pe</t>
  </si>
  <si>
    <t>Fully Plan เนื่องจากดูแล AI Platform เต็มตัว</t>
  </si>
  <si>
    <t>[Plan 82.74%]</t>
  </si>
  <si>
    <t>กราฟตกมากสุดในช่วง Q1/2027 โดย Plan อยู่ที่ 60.12% เนื่องจากความไม่แน่นอนของโปรเจคในอนาคต</t>
  </si>
  <si>
    <t>[Available +16.35 FTE]</t>
  </si>
  <si>
    <t>บางโปรเจค จบภายในปี 2026 และยังไม่มีกำหนดต่อไปถึงปีหน้า</t>
  </si>
  <si>
    <t>ตัวเลขการประเมินอาจมีการเปลี่ยนแปลงอีกครั้ง หากได้รับการคอนเฟิร์มการต่อสัญญาจาก BD</t>
  </si>
  <si>
    <t>delivery</t>
  </si>
  <si>
    <t>[Plan 88.48%]</t>
  </si>
  <si>
    <t>+13 FTE</t>
  </si>
  <si>
    <t>[Plan 97.06%]</t>
  </si>
  <si>
    <t>May มีปริมาณ Plan FTE สูงสุด [98.51%] เนื่องจากมีงานเข้ามาแน่นอนแล้วในช่วงปัจจุบัน</t>
  </si>
  <si>
    <t>[Plan 70.33%]</t>
  </si>
  <si>
    <t>[Plan 93.33%]</t>
  </si>
  <si>
    <t>[Plan 89.70%]</t>
  </si>
  <si>
    <t>Fully Plan เนื่องจาก PO ดูแล Product ของตัวเองเต็มตัว</t>
  </si>
  <si>
    <t>aic</t>
  </si>
  <si>
    <t>[Plan 68.23%]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</si>
  <si>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</si>
  <si>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</si>
  <si>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</si>
  <si>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[Plan 62.62%]</t>
  </si>
  <si>
    <t>ปริมาณคนมากกว่าปริมาณงาน โดยมีส่วนต่างสูงสุดอยู่ที่ Q1/2027 โดยมีการ Plan อยู่ที่ 46.06%</t>
  </si>
  <si>
    <t>[Available +4.3 FTE]</t>
  </si>
  <si>
    <t>Plan สำหรับการทำ Research &amp; Explore ประมาณ 0.05 FTE สำหรับพนักงาน 1 คน ต่อเดือน</t>
  </si>
  <si>
    <t>[Plan 67.62%]</t>
  </si>
  <si>
    <t>ปริมาณคนมากกว่าปริมาณงาน โดยมีส่วนต่างสูงสุดอยู่ที่ Q1/2027 โดยมีการ Plan อยู่ที่ 28.00%</t>
  </si>
  <si>
    <t>[Available +3.6 FTE]</t>
  </si>
  <si>
    <t>งานพาร์ท IoT ส่วนใหญ่จะจบจบภายในปี 2026</t>
  </si>
  <si>
    <t>[Plan 58.92%]</t>
  </si>
  <si>
    <t>ปริมาณคนมากกว่าปริมาณงาน โดยมีส่วนต่างสูงสุดอยู่ที่ Q1/2027 โดยมีการ Plan อยู่ที่ 10.00%</t>
  </si>
  <si>
    <t>ประเมิน Plan จากหัวข้อ Research ที่ดูแลอยู่ในปัจจุบันเท่านั้น ซึ่งงานส่วนใหญ่จะจบภายในสิ้นปี 2026</t>
  </si>
  <si>
    <t>สำหรับหัวข้อ Research ในปี 2027 จะดูปลาย Q3 ว่าจะลง Research ในส่วนไหน ซึ่งข้อมูลการ Plan อาจะมีการเปลี่ยนแปลงในรอบการประเมินถัดไป</t>
  </si>
  <si>
    <t>Executive Summary</t>
  </si>
  <si>
    <t>text-inline</t>
  </si>
  <si>
    <t>86.54 % (Available ~</t>
  </si>
  <si>
    <t>per month)</t>
  </si>
  <si>
    <t>TDE Workforce Summary Q2/2026</t>
  </si>
  <si>
    <t>SD Workforce Summary Q2/2026</t>
  </si>
  <si>
    <t>PSE Workforce Summary Q2/2026</t>
  </si>
  <si>
    <t>Delivery Summary Q2/2026</t>
  </si>
  <si>
    <t>88.48 % (Available ~</t>
  </si>
  <si>
    <t>CPS Workforce Summary Q2/2026</t>
  </si>
  <si>
    <t>AIC Workforce Summary Q2/2026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</si>
</sst>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12"/>
      <color theme="1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0"/>
      <color rgb="FF1F2937"/>
      <name val="Aptos"/>
    </font>
  </fonts>
  <fills count="29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0" fontId="0" fillId="27" borderId="0" xfId="0" applyFill="1"/>
    <xf numFmtId="0" fontId="25" fillId="0" borderId="0" xfId="0" applyFont="1"/>
    <xf numFmtId="0" fontId="27" fillId="28" borderId="3" xfId="0" applyFont="1" applyFill="1" applyBorder="1" applyAlignment="1">
      <alignment horizontal="center" vertical="center" wrapText="1"/>
    </xf>
    <xf numFmtId="0" fontId="27" fillId="28" borderId="4" xfId="0" applyFont="1" applyFill="1" applyBorder="1" applyAlignment="1">
      <alignment horizontal="center" vertical="center" wrapText="1"/>
    </xf>
    <xf numFmtId="0" fontId="27" fillId="28" borderId="5" xfId="0" applyFont="1" applyFill="1" applyBorder="1" applyAlignment="1">
      <alignment horizontal="center" vertical="center" wrapText="1"/>
    </xf>
    <xf numFmtId="0" fontId="28" fillId="0" borderId="6" xfId="0" applyFont="1" applyBorder="1" applyAlignment="1">
      <alignment vertical="center" wrapText="1"/>
    </xf>
    <xf numFmtId="0" fontId="28" fillId="0" borderId="7" xfId="0" applyFont="1" applyBorder="1" applyAlignment="1">
      <alignment vertical="center" wrapText="1"/>
    </xf>
    <xf numFmtId="1" fontId="28" fillId="0" borderId="7" xfId="0" applyNumberFormat="1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8" fillId="0" borderId="8" xfId="0" applyFont="1" applyBorder="1" applyAlignment="1">
      <alignment vertical="center" wrapText="1"/>
    </xf>
    <xf numFmtId="0" fontId="28" fillId="0" borderId="9" xfId="0" applyFont="1" applyBorder="1" applyAlignment="1">
      <alignment vertical="center" wrapText="1"/>
    </xf>
    <xf numFmtId="0" fontId="28" fillId="0" borderId="10" xfId="0" applyFont="1" applyBorder="1" applyAlignment="1">
      <alignment vertical="center" wrapText="1"/>
    </xf>
    <xf numFmtId="1" fontId="28" fillId="0" borderId="10" xfId="0" applyNumberFormat="1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8" fillId="0" borderId="11" xfId="0" applyFont="1" applyBorder="1" applyAlignment="1">
      <alignment vertical="center" wrapText="1"/>
    </xf>
  </cellXfs>
  <cellStyles count="1">
    <cellStyle name="Normal" xfId="0" builtinId="0"/>
  </cellStyles>
  <dxfs count="6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FBC616-EC60-F54F-98B1-A5BBDF856AEA}" name="SummaryTable3" displayName="SummaryTable3" ref="A1:N134" totalsRowShown="0">
  <autoFilter ref="A1:N134" xr:uid="{19FBC616-EC60-F54F-98B1-A5BBDF856AEA}"/>
  <tableColumns count="14">
    <tableColumn id="1" xr3:uid="{581CA0B7-989D-804B-BFCB-EB4B57326B02}" name="page"/>
    <tableColumn id="2" xr3:uid="{C3EB3717-EBE7-2A48-AE4C-8E6120FB1F0D}" name="summary_title"/>
    <tableColumn id="3" xr3:uid="{0DFD14BC-E39B-6846-972A-333FDA87F90D}" name="group_order"/>
    <tableColumn id="4" xr3:uid="{FF030F4E-465C-DA47-94C7-B08EBA97A55C}" name="item_order"/>
    <tableColumn id="5" xr3:uid="{BF237AE6-070F-5246-90F0-E81E3EA9A007}" name="level"/>
    <tableColumn id="6" xr3:uid="{764FD91C-C28E-FE4C-B878-2A5F4D476E1A}" name="type"/>
    <tableColumn id="7" xr3:uid="{18A8B6AA-BBC1-A44D-A917-CA978FE0B728}" name="label"/>
    <tableColumn id="8" xr3:uid="{1131AB15-8613-B640-BB0A-65362626FFEB}" name="data"/>
    <tableColumn id="9" xr3:uid="{6C120BA6-A1D7-6D41-894B-FF32F82005E6}" name="highlight"/>
    <tableColumn id="10" xr3:uid="{300D4451-4F8E-304C-9D34-DF6E1CC70054}" name="highlight_style"/>
    <tableColumn id="11" xr3:uid="{A59BB416-7D16-A241-8518-0388FE287CC6}" name="href"/>
    <tableColumn id="12" xr3:uid="{95E2310A-A857-C944-92E6-9B53674006BE}" name="link_target"/>
    <tableColumn id="13" xr3:uid="{E8D04D25-5852-8845-8ECB-0CD2A45A1628}" name="enabled"/>
    <tableColumn id="14" xr3:uid="{BA3BE307-D32B-E846-9887-2B2B67C4BFAB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34"/>
  <sheetViews>
    <sheetView tabSelected="1" workbookViewId="0">
      <pane ySplit="1" topLeftCell="A129" activePane="bottomLeft" state="frozen"/>
      <selection pane="bottomLeft" activeCell="B142" sqref="B142"/>
    </sheetView>
  </sheetViews>
  <sheetFormatPr baseColWidth="10" defaultRowHeight="16" x14ac:dyDescent="0.2"/>
  <cols>
    <col min="1" max="1" width="12" style="84" customWidth="1"/>
    <col min="2" max="2" width="30" style="84" customWidth="1"/>
    <col min="3" max="4" width="12" style="84" customWidth="1"/>
    <col min="5" max="5" width="8" style="84" customWidth="1"/>
    <col min="6" max="6" width="13" style="84" customWidth="1"/>
    <col min="7" max="7" width="38" style="84" customWidth="1"/>
    <col min="8" max="8" width="32" style="84" customWidth="1"/>
    <col min="9" max="9" width="28" style="84" customWidth="1"/>
    <col min="10" max="10" width="17" style="84" customWidth="1"/>
    <col min="11" max="11" width="28" style="84" customWidth="1"/>
    <col min="12" max="12" width="14" style="84" customWidth="1"/>
    <col min="13" max="13" width="10" style="84" customWidth="1"/>
    <col min="14" max="14" width="24" style="84" customWidth="1"/>
    <col min="15" max="16384" width="10.83203125" style="84"/>
  </cols>
  <sheetData>
    <row r="1" spans="1:14" ht="32" customHeight="1" x14ac:dyDescent="0.2">
      <c r="A1" s="85" t="s">
        <v>145</v>
      </c>
      <c r="B1" s="86" t="s">
        <v>146</v>
      </c>
      <c r="C1" s="86" t="s">
        <v>147</v>
      </c>
      <c r="D1" s="86" t="s">
        <v>148</v>
      </c>
      <c r="E1" s="86" t="s">
        <v>149</v>
      </c>
      <c r="F1" s="86" t="s">
        <v>150</v>
      </c>
      <c r="G1" s="86" t="s">
        <v>151</v>
      </c>
      <c r="H1" s="86" t="s">
        <v>152</v>
      </c>
      <c r="I1" s="86" t="s">
        <v>153</v>
      </c>
      <c r="J1" s="86" t="s">
        <v>154</v>
      </c>
      <c r="K1" s="86" t="s">
        <v>155</v>
      </c>
      <c r="L1" s="86" t="s">
        <v>156</v>
      </c>
      <c r="M1" s="86" t="s">
        <v>157</v>
      </c>
      <c r="N1" s="87" t="s">
        <v>158</v>
      </c>
    </row>
    <row r="2" spans="1:14" ht="28" customHeight="1" x14ac:dyDescent="0.2">
      <c r="A2" s="88" t="s">
        <v>178</v>
      </c>
      <c r="B2" s="89" t="s">
        <v>298</v>
      </c>
      <c r="C2" s="90">
        <v>1</v>
      </c>
      <c r="D2" s="90">
        <v>1</v>
      </c>
      <c r="E2" s="90">
        <v>1</v>
      </c>
      <c r="F2" s="89" t="s">
        <v>163</v>
      </c>
      <c r="G2" s="89" t="s">
        <v>160</v>
      </c>
      <c r="H2" s="89"/>
      <c r="I2" s="89" t="s">
        <v>180</v>
      </c>
      <c r="J2" s="91" t="s">
        <v>161</v>
      </c>
      <c r="K2" s="89"/>
      <c r="L2" s="91" t="s">
        <v>162</v>
      </c>
      <c r="M2" s="92" t="b">
        <v>1</v>
      </c>
      <c r="N2" s="93"/>
    </row>
    <row r="3" spans="1:14" ht="28" customHeight="1" x14ac:dyDescent="0.2">
      <c r="A3" s="88" t="s">
        <v>178</v>
      </c>
      <c r="B3" s="89"/>
      <c r="C3" s="90">
        <v>1</v>
      </c>
      <c r="D3" s="90">
        <v>2</v>
      </c>
      <c r="E3" s="90">
        <v>2</v>
      </c>
      <c r="F3" s="89" t="s">
        <v>163</v>
      </c>
      <c r="G3" s="89" t="s">
        <v>181</v>
      </c>
      <c r="H3" s="89"/>
      <c r="I3" s="89"/>
      <c r="J3" s="91" t="s">
        <v>162</v>
      </c>
      <c r="K3" s="89"/>
      <c r="L3" s="91" t="s">
        <v>162</v>
      </c>
      <c r="M3" s="92" t="b">
        <v>1</v>
      </c>
      <c r="N3" s="93"/>
    </row>
    <row r="4" spans="1:14" ht="28" customHeight="1" x14ac:dyDescent="0.2">
      <c r="A4" s="88" t="s">
        <v>178</v>
      </c>
      <c r="B4" s="89"/>
      <c r="C4" s="90">
        <v>1</v>
      </c>
      <c r="D4" s="90">
        <v>3</v>
      </c>
      <c r="E4" s="90">
        <v>2</v>
      </c>
      <c r="F4" s="89" t="s">
        <v>163</v>
      </c>
      <c r="G4" s="89" t="s">
        <v>174</v>
      </c>
      <c r="H4" s="89"/>
      <c r="I4" s="89"/>
      <c r="J4" s="91" t="s">
        <v>162</v>
      </c>
      <c r="K4" s="89"/>
      <c r="L4" s="91" t="s">
        <v>162</v>
      </c>
      <c r="M4" s="92" t="b">
        <v>1</v>
      </c>
      <c r="N4" s="93"/>
    </row>
    <row r="5" spans="1:14" ht="28" customHeight="1" x14ac:dyDescent="0.2">
      <c r="A5" s="88" t="s">
        <v>178</v>
      </c>
      <c r="B5" s="89"/>
      <c r="C5" s="90">
        <v>1</v>
      </c>
      <c r="D5" s="90">
        <v>4</v>
      </c>
      <c r="E5" s="90">
        <v>2</v>
      </c>
      <c r="F5" s="89" t="s">
        <v>159</v>
      </c>
      <c r="G5" s="89" t="s">
        <v>115</v>
      </c>
      <c r="H5" s="89" t="s">
        <v>182</v>
      </c>
      <c r="I5" s="89"/>
      <c r="J5" s="91" t="s">
        <v>162</v>
      </c>
      <c r="K5" s="89" t="s">
        <v>183</v>
      </c>
      <c r="L5" s="91" t="s">
        <v>151</v>
      </c>
      <c r="M5" s="92" t="b">
        <v>1</v>
      </c>
      <c r="N5" s="93"/>
    </row>
    <row r="6" spans="1:14" ht="28" customHeight="1" x14ac:dyDescent="0.2">
      <c r="A6" s="88" t="s">
        <v>178</v>
      </c>
      <c r="B6" s="89"/>
      <c r="C6" s="90">
        <v>1</v>
      </c>
      <c r="D6" s="90">
        <v>5</v>
      </c>
      <c r="E6" s="90">
        <v>2</v>
      </c>
      <c r="F6" s="89" t="s">
        <v>159</v>
      </c>
      <c r="G6" s="89" t="s">
        <v>111</v>
      </c>
      <c r="H6" s="89" t="s">
        <v>184</v>
      </c>
      <c r="I6" s="89"/>
      <c r="J6" s="91" t="s">
        <v>162</v>
      </c>
      <c r="K6" s="89" t="s">
        <v>185</v>
      </c>
      <c r="L6" s="91" t="s">
        <v>151</v>
      </c>
      <c r="M6" s="92" t="b">
        <v>1</v>
      </c>
      <c r="N6" s="93"/>
    </row>
    <row r="7" spans="1:14" ht="28" customHeight="1" x14ac:dyDescent="0.2">
      <c r="A7" s="88" t="s">
        <v>178</v>
      </c>
      <c r="B7" s="89"/>
      <c r="C7" s="90">
        <v>1</v>
      </c>
      <c r="D7" s="90">
        <v>6</v>
      </c>
      <c r="E7" s="90">
        <v>2</v>
      </c>
      <c r="F7" s="89" t="s">
        <v>159</v>
      </c>
      <c r="G7" s="89" t="s">
        <v>116</v>
      </c>
      <c r="H7" s="89" t="s">
        <v>186</v>
      </c>
      <c r="I7" s="89"/>
      <c r="J7" s="91" t="s">
        <v>162</v>
      </c>
      <c r="K7" s="89" t="s">
        <v>177</v>
      </c>
      <c r="L7" s="91" t="s">
        <v>151</v>
      </c>
      <c r="M7" s="92" t="b">
        <v>1</v>
      </c>
      <c r="N7" s="93"/>
    </row>
    <row r="8" spans="1:14" ht="28" customHeight="1" x14ac:dyDescent="0.2">
      <c r="A8" s="88" t="s">
        <v>178</v>
      </c>
      <c r="B8" s="89"/>
      <c r="C8" s="90">
        <v>1</v>
      </c>
      <c r="D8" s="90">
        <v>7</v>
      </c>
      <c r="E8" s="90">
        <v>2</v>
      </c>
      <c r="F8" s="89" t="s">
        <v>163</v>
      </c>
      <c r="G8" s="89" t="s">
        <v>169</v>
      </c>
      <c r="H8" s="89"/>
      <c r="I8" s="89"/>
      <c r="J8" s="91" t="s">
        <v>162</v>
      </c>
      <c r="K8" s="89"/>
      <c r="L8" s="91" t="s">
        <v>162</v>
      </c>
      <c r="M8" s="92" t="b">
        <v>1</v>
      </c>
      <c r="N8" s="93"/>
    </row>
    <row r="9" spans="1:14" ht="28" customHeight="1" x14ac:dyDescent="0.2">
      <c r="A9" s="88" t="s">
        <v>178</v>
      </c>
      <c r="B9" s="89"/>
      <c r="C9" s="90">
        <v>1</v>
      </c>
      <c r="D9" s="90">
        <v>8</v>
      </c>
      <c r="E9" s="90">
        <v>2</v>
      </c>
      <c r="F9" s="89" t="s">
        <v>159</v>
      </c>
      <c r="G9" s="89" t="s">
        <v>120</v>
      </c>
      <c r="H9" s="89" t="s">
        <v>187</v>
      </c>
      <c r="I9" s="89" t="s">
        <v>188</v>
      </c>
      <c r="J9" s="91" t="s">
        <v>171</v>
      </c>
      <c r="K9" s="89" t="s">
        <v>189</v>
      </c>
      <c r="L9" s="91" t="s">
        <v>151</v>
      </c>
      <c r="M9" s="92" t="b">
        <v>1</v>
      </c>
      <c r="N9" s="93"/>
    </row>
    <row r="10" spans="1:14" ht="28" customHeight="1" x14ac:dyDescent="0.2">
      <c r="A10" s="88" t="s">
        <v>178</v>
      </c>
      <c r="B10" s="89"/>
      <c r="C10" s="90">
        <v>1</v>
      </c>
      <c r="D10" s="90">
        <v>9</v>
      </c>
      <c r="E10" s="90">
        <v>2</v>
      </c>
      <c r="F10" s="89" t="s">
        <v>159</v>
      </c>
      <c r="G10" s="89" t="s">
        <v>118</v>
      </c>
      <c r="H10" s="89" t="s">
        <v>190</v>
      </c>
      <c r="I10" s="89" t="s">
        <v>191</v>
      </c>
      <c r="J10" s="91" t="s">
        <v>171</v>
      </c>
      <c r="K10" s="89" t="s">
        <v>192</v>
      </c>
      <c r="L10" s="91" t="s">
        <v>151</v>
      </c>
      <c r="M10" s="92" t="b">
        <v>1</v>
      </c>
      <c r="N10" s="93"/>
    </row>
    <row r="11" spans="1:14" ht="28" customHeight="1" x14ac:dyDescent="0.2">
      <c r="A11" s="88" t="s">
        <v>178</v>
      </c>
      <c r="B11" s="89"/>
      <c r="C11" s="90">
        <v>1</v>
      </c>
      <c r="D11" s="90">
        <v>10</v>
      </c>
      <c r="E11" s="90">
        <v>2</v>
      </c>
      <c r="F11" s="89" t="s">
        <v>159</v>
      </c>
      <c r="G11" s="89" t="s">
        <v>119</v>
      </c>
      <c r="H11" s="89" t="s">
        <v>170</v>
      </c>
      <c r="I11" s="89" t="s">
        <v>193</v>
      </c>
      <c r="J11" s="91" t="s">
        <v>171</v>
      </c>
      <c r="K11" s="89" t="s">
        <v>172</v>
      </c>
      <c r="L11" s="91" t="s">
        <v>151</v>
      </c>
      <c r="M11" s="92" t="b">
        <v>1</v>
      </c>
      <c r="N11" s="93"/>
    </row>
    <row r="12" spans="1:14" ht="28" customHeight="1" x14ac:dyDescent="0.2">
      <c r="A12" s="88" t="s">
        <v>178</v>
      </c>
      <c r="B12" s="89"/>
      <c r="C12" s="90">
        <v>1</v>
      </c>
      <c r="D12" s="90">
        <v>11</v>
      </c>
      <c r="E12" s="90">
        <v>2</v>
      </c>
      <c r="F12" s="89" t="s">
        <v>159</v>
      </c>
      <c r="G12" s="89" t="s">
        <v>108</v>
      </c>
      <c r="H12" s="89" t="s">
        <v>194</v>
      </c>
      <c r="I12" s="89" t="s">
        <v>195</v>
      </c>
      <c r="J12" s="91" t="s">
        <v>171</v>
      </c>
      <c r="K12" s="89" t="s">
        <v>175</v>
      </c>
      <c r="L12" s="91" t="s">
        <v>151</v>
      </c>
      <c r="M12" s="92" t="b">
        <v>1</v>
      </c>
      <c r="N12" s="93"/>
    </row>
    <row r="13" spans="1:14" ht="28" customHeight="1" x14ac:dyDescent="0.2">
      <c r="A13" s="88" t="s">
        <v>178</v>
      </c>
      <c r="B13" s="89"/>
      <c r="C13" s="90">
        <v>1</v>
      </c>
      <c r="D13" s="90">
        <v>12</v>
      </c>
      <c r="E13" s="90">
        <v>2</v>
      </c>
      <c r="F13" s="89" t="s">
        <v>163</v>
      </c>
      <c r="G13" s="89" t="s">
        <v>196</v>
      </c>
      <c r="H13" s="89"/>
      <c r="I13" s="89"/>
      <c r="J13" s="91" t="s">
        <v>162</v>
      </c>
      <c r="K13" s="89"/>
      <c r="L13" s="91" t="s">
        <v>162</v>
      </c>
      <c r="M13" s="92" t="b">
        <v>1</v>
      </c>
      <c r="N13" s="93"/>
    </row>
    <row r="14" spans="1:14" ht="28" customHeight="1" x14ac:dyDescent="0.2">
      <c r="A14" s="88" t="s">
        <v>178</v>
      </c>
      <c r="B14" s="89"/>
      <c r="C14" s="90">
        <v>1</v>
      </c>
      <c r="D14" s="90">
        <v>13</v>
      </c>
      <c r="E14" s="90">
        <v>2</v>
      </c>
      <c r="F14" s="89" t="s">
        <v>159</v>
      </c>
      <c r="G14" s="89" t="s">
        <v>107</v>
      </c>
      <c r="H14" s="89"/>
      <c r="I14" s="89" t="s">
        <v>197</v>
      </c>
      <c r="J14" s="91" t="s">
        <v>171</v>
      </c>
      <c r="K14" s="89" t="s">
        <v>198</v>
      </c>
      <c r="L14" s="91" t="s">
        <v>151</v>
      </c>
      <c r="M14" s="92" t="b">
        <v>1</v>
      </c>
      <c r="N14" s="93"/>
    </row>
    <row r="15" spans="1:14" ht="28" customHeight="1" x14ac:dyDescent="0.2">
      <c r="A15" s="88" t="s">
        <v>178</v>
      </c>
      <c r="B15" s="89"/>
      <c r="C15" s="90">
        <v>1</v>
      </c>
      <c r="D15" s="90">
        <v>14</v>
      </c>
      <c r="E15" s="90">
        <v>2</v>
      </c>
      <c r="F15" s="89" t="s">
        <v>159</v>
      </c>
      <c r="G15" s="89" t="s">
        <v>118</v>
      </c>
      <c r="H15" s="89"/>
      <c r="I15" s="89" t="s">
        <v>199</v>
      </c>
      <c r="J15" s="91" t="s">
        <v>171</v>
      </c>
      <c r="K15" s="89" t="s">
        <v>192</v>
      </c>
      <c r="L15" s="91" t="s">
        <v>151</v>
      </c>
      <c r="M15" s="92" t="b">
        <v>1</v>
      </c>
      <c r="N15" s="93"/>
    </row>
    <row r="16" spans="1:14" ht="28" customHeight="1" x14ac:dyDescent="0.2">
      <c r="A16" s="88" t="s">
        <v>178</v>
      </c>
      <c r="B16" s="89"/>
      <c r="C16" s="90">
        <v>1</v>
      </c>
      <c r="D16" s="90">
        <v>15</v>
      </c>
      <c r="E16" s="90">
        <v>2</v>
      </c>
      <c r="F16" s="89" t="s">
        <v>159</v>
      </c>
      <c r="G16" s="89" t="s">
        <v>200</v>
      </c>
      <c r="H16" s="89"/>
      <c r="I16" s="89" t="s">
        <v>201</v>
      </c>
      <c r="J16" s="91" t="s">
        <v>171</v>
      </c>
      <c r="K16" s="89" t="s">
        <v>172</v>
      </c>
      <c r="L16" s="91" t="s">
        <v>151</v>
      </c>
      <c r="M16" s="92" t="b">
        <v>1</v>
      </c>
      <c r="N16" s="93"/>
    </row>
    <row r="17" spans="1:14" ht="28" customHeight="1" x14ac:dyDescent="0.2">
      <c r="A17" s="88" t="s">
        <v>178</v>
      </c>
      <c r="B17" s="89"/>
      <c r="C17" s="90">
        <v>1</v>
      </c>
      <c r="D17" s="90">
        <v>16</v>
      </c>
      <c r="E17" s="90">
        <v>2</v>
      </c>
      <c r="F17" s="89" t="s">
        <v>159</v>
      </c>
      <c r="G17" s="89" t="s">
        <v>109</v>
      </c>
      <c r="H17" s="89"/>
      <c r="I17" s="89" t="s">
        <v>201</v>
      </c>
      <c r="J17" s="91" t="s">
        <v>171</v>
      </c>
      <c r="K17" s="89" t="s">
        <v>176</v>
      </c>
      <c r="L17" s="91" t="s">
        <v>151</v>
      </c>
      <c r="M17" s="92" t="b">
        <v>1</v>
      </c>
      <c r="N17" s="93"/>
    </row>
    <row r="18" spans="1:14" ht="28" customHeight="1" x14ac:dyDescent="0.2">
      <c r="A18" s="88" t="s">
        <v>178</v>
      </c>
      <c r="B18" s="89"/>
      <c r="C18" s="90">
        <v>1</v>
      </c>
      <c r="D18" s="90">
        <v>17</v>
      </c>
      <c r="E18" s="90">
        <v>2</v>
      </c>
      <c r="F18" s="89" t="s">
        <v>299</v>
      </c>
      <c r="G18" s="89" t="s">
        <v>202</v>
      </c>
      <c r="H18" s="89" t="s">
        <v>300</v>
      </c>
      <c r="I18" s="89" t="s">
        <v>203</v>
      </c>
      <c r="J18" s="91" t="s">
        <v>171</v>
      </c>
      <c r="K18" s="89"/>
      <c r="L18" s="91" t="s">
        <v>162</v>
      </c>
      <c r="M18" s="92" t="b">
        <v>1</v>
      </c>
      <c r="N18" s="93" t="s">
        <v>301</v>
      </c>
    </row>
    <row r="19" spans="1:14" ht="28" customHeight="1" x14ac:dyDescent="0.2">
      <c r="A19" s="88" t="s">
        <v>178</v>
      </c>
      <c r="B19" s="89"/>
      <c r="C19" s="90">
        <v>2</v>
      </c>
      <c r="D19" s="90">
        <v>1</v>
      </c>
      <c r="E19" s="90">
        <v>1</v>
      </c>
      <c r="F19" s="89" t="s">
        <v>163</v>
      </c>
      <c r="G19" s="89" t="s">
        <v>204</v>
      </c>
      <c r="H19" s="89"/>
      <c r="I19" s="89" t="s">
        <v>205</v>
      </c>
      <c r="J19" s="91" t="s">
        <v>161</v>
      </c>
      <c r="K19" s="89"/>
      <c r="L19" s="91" t="s">
        <v>162</v>
      </c>
      <c r="M19" s="92" t="b">
        <v>1</v>
      </c>
      <c r="N19" s="93"/>
    </row>
    <row r="20" spans="1:14" ht="28" customHeight="1" x14ac:dyDescent="0.2">
      <c r="A20" s="88" t="s">
        <v>178</v>
      </c>
      <c r="B20" s="89"/>
      <c r="C20" s="90">
        <v>2</v>
      </c>
      <c r="D20" s="90">
        <v>2</v>
      </c>
      <c r="E20" s="90">
        <v>2</v>
      </c>
      <c r="F20" s="89" t="s">
        <v>163</v>
      </c>
      <c r="G20" s="89" t="s">
        <v>206</v>
      </c>
      <c r="H20" s="89"/>
      <c r="I20" s="89"/>
      <c r="J20" s="91" t="s">
        <v>162</v>
      </c>
      <c r="K20" s="89"/>
      <c r="L20" s="91" t="s">
        <v>162</v>
      </c>
      <c r="M20" s="92" t="b">
        <v>1</v>
      </c>
      <c r="N20" s="93"/>
    </row>
    <row r="21" spans="1:14" ht="28" customHeight="1" x14ac:dyDescent="0.2">
      <c r="A21" s="88" t="s">
        <v>178</v>
      </c>
      <c r="B21" s="89"/>
      <c r="C21" s="90">
        <v>2</v>
      </c>
      <c r="D21" s="90">
        <v>3</v>
      </c>
      <c r="E21" s="90">
        <v>2</v>
      </c>
      <c r="F21" s="89" t="s">
        <v>163</v>
      </c>
      <c r="G21" s="89" t="s">
        <v>174</v>
      </c>
      <c r="H21" s="89"/>
      <c r="I21" s="89"/>
      <c r="J21" s="91" t="s">
        <v>162</v>
      </c>
      <c r="K21" s="89"/>
      <c r="L21" s="91" t="s">
        <v>162</v>
      </c>
      <c r="M21" s="92" t="b">
        <v>1</v>
      </c>
      <c r="N21" s="93"/>
    </row>
    <row r="22" spans="1:14" ht="28" customHeight="1" x14ac:dyDescent="0.2">
      <c r="A22" s="88" t="s">
        <v>178</v>
      </c>
      <c r="B22" s="89"/>
      <c r="C22" s="90">
        <v>2</v>
      </c>
      <c r="D22" s="90">
        <v>4</v>
      </c>
      <c r="E22" s="90">
        <v>2</v>
      </c>
      <c r="F22" s="89" t="s">
        <v>159</v>
      </c>
      <c r="G22" s="89" t="s">
        <v>111</v>
      </c>
      <c r="H22" s="89" t="s">
        <v>207</v>
      </c>
      <c r="I22" s="89"/>
      <c r="J22" s="91" t="s">
        <v>162</v>
      </c>
      <c r="K22" s="89" t="s">
        <v>185</v>
      </c>
      <c r="L22" s="91" t="s">
        <v>151</v>
      </c>
      <c r="M22" s="92" t="b">
        <v>1</v>
      </c>
      <c r="N22" s="93"/>
    </row>
    <row r="23" spans="1:14" ht="28" customHeight="1" x14ac:dyDescent="0.2">
      <c r="A23" s="88" t="s">
        <v>178</v>
      </c>
      <c r="B23" s="89"/>
      <c r="C23" s="90">
        <v>2</v>
      </c>
      <c r="D23" s="90">
        <v>5</v>
      </c>
      <c r="E23" s="90">
        <v>2</v>
      </c>
      <c r="F23" s="89" t="s">
        <v>159</v>
      </c>
      <c r="G23" s="89" t="s">
        <v>115</v>
      </c>
      <c r="H23" s="89" t="s">
        <v>208</v>
      </c>
      <c r="I23" s="89"/>
      <c r="J23" s="91" t="s">
        <v>162</v>
      </c>
      <c r="K23" s="89" t="s">
        <v>183</v>
      </c>
      <c r="L23" s="91" t="s">
        <v>151</v>
      </c>
      <c r="M23" s="92" t="b">
        <v>1</v>
      </c>
      <c r="N23" s="93"/>
    </row>
    <row r="24" spans="1:14" ht="28" customHeight="1" x14ac:dyDescent="0.2">
      <c r="A24" s="88" t="s">
        <v>178</v>
      </c>
      <c r="B24" s="89"/>
      <c r="C24" s="90">
        <v>2</v>
      </c>
      <c r="D24" s="90">
        <v>6</v>
      </c>
      <c r="E24" s="90">
        <v>2</v>
      </c>
      <c r="F24" s="89" t="s">
        <v>159</v>
      </c>
      <c r="G24" s="89" t="s">
        <v>209</v>
      </c>
      <c r="H24" s="89" t="s">
        <v>210</v>
      </c>
      <c r="I24" s="89"/>
      <c r="J24" s="91" t="s">
        <v>162</v>
      </c>
      <c r="K24" s="89" t="s">
        <v>165</v>
      </c>
      <c r="L24" s="91" t="s">
        <v>151</v>
      </c>
      <c r="M24" s="92" t="b">
        <v>1</v>
      </c>
      <c r="N24" s="93"/>
    </row>
    <row r="25" spans="1:14" ht="28" customHeight="1" x14ac:dyDescent="0.2">
      <c r="A25" s="88" t="s">
        <v>178</v>
      </c>
      <c r="B25" s="89"/>
      <c r="C25" s="90">
        <v>2</v>
      </c>
      <c r="D25" s="90">
        <v>7</v>
      </c>
      <c r="E25" s="90">
        <v>2</v>
      </c>
      <c r="F25" s="89" t="s">
        <v>159</v>
      </c>
      <c r="G25" s="89" t="s">
        <v>114</v>
      </c>
      <c r="H25" s="89" t="s">
        <v>211</v>
      </c>
      <c r="I25" s="89"/>
      <c r="J25" s="91" t="s">
        <v>162</v>
      </c>
      <c r="K25" s="89" t="s">
        <v>212</v>
      </c>
      <c r="L25" s="91" t="s">
        <v>151</v>
      </c>
      <c r="M25" s="92" t="b">
        <v>1</v>
      </c>
      <c r="N25" s="93"/>
    </row>
    <row r="26" spans="1:14" ht="28" customHeight="1" x14ac:dyDescent="0.2">
      <c r="A26" s="88" t="s">
        <v>178</v>
      </c>
      <c r="B26" s="89"/>
      <c r="C26" s="90">
        <v>2</v>
      </c>
      <c r="D26" s="90">
        <v>8</v>
      </c>
      <c r="E26" s="90">
        <v>2</v>
      </c>
      <c r="F26" s="89" t="s">
        <v>163</v>
      </c>
      <c r="G26" s="89" t="s">
        <v>169</v>
      </c>
      <c r="H26" s="89"/>
      <c r="I26" s="89"/>
      <c r="J26" s="91" t="s">
        <v>162</v>
      </c>
      <c r="K26" s="89"/>
      <c r="L26" s="91" t="s">
        <v>162</v>
      </c>
      <c r="M26" s="92" t="b">
        <v>1</v>
      </c>
      <c r="N26" s="93"/>
    </row>
    <row r="27" spans="1:14" ht="28" customHeight="1" x14ac:dyDescent="0.2">
      <c r="A27" s="88" t="s">
        <v>178</v>
      </c>
      <c r="B27" s="89"/>
      <c r="C27" s="90">
        <v>2</v>
      </c>
      <c r="D27" s="90">
        <v>9</v>
      </c>
      <c r="E27" s="90">
        <v>2</v>
      </c>
      <c r="F27" s="89" t="s">
        <v>159</v>
      </c>
      <c r="G27" s="89" t="s">
        <v>116</v>
      </c>
      <c r="H27" s="89" t="s">
        <v>213</v>
      </c>
      <c r="I27" s="89" t="s">
        <v>214</v>
      </c>
      <c r="J27" s="91" t="s">
        <v>171</v>
      </c>
      <c r="K27" s="89" t="s">
        <v>177</v>
      </c>
      <c r="L27" s="91" t="s">
        <v>151</v>
      </c>
      <c r="M27" s="92" t="b">
        <v>1</v>
      </c>
      <c r="N27" s="93"/>
    </row>
    <row r="28" spans="1:14" ht="28" customHeight="1" x14ac:dyDescent="0.2">
      <c r="A28" s="88" t="s">
        <v>178</v>
      </c>
      <c r="B28" s="89"/>
      <c r="C28" s="90">
        <v>2</v>
      </c>
      <c r="D28" s="90">
        <v>10</v>
      </c>
      <c r="E28" s="90">
        <v>2</v>
      </c>
      <c r="F28" s="89" t="s">
        <v>159</v>
      </c>
      <c r="G28" s="89" t="s">
        <v>120</v>
      </c>
      <c r="H28" s="89" t="s">
        <v>215</v>
      </c>
      <c r="I28" s="89" t="s">
        <v>216</v>
      </c>
      <c r="J28" s="91" t="s">
        <v>171</v>
      </c>
      <c r="K28" s="89" t="s">
        <v>189</v>
      </c>
      <c r="L28" s="91" t="s">
        <v>151</v>
      </c>
      <c r="M28" s="92" t="b">
        <v>1</v>
      </c>
      <c r="N28" s="93"/>
    </row>
    <row r="29" spans="1:14" ht="28" customHeight="1" x14ac:dyDescent="0.2">
      <c r="A29" s="88" t="s">
        <v>178</v>
      </c>
      <c r="B29" s="89"/>
      <c r="C29" s="90">
        <v>2</v>
      </c>
      <c r="D29" s="90">
        <v>11</v>
      </c>
      <c r="E29" s="90">
        <v>2</v>
      </c>
      <c r="F29" s="89" t="s">
        <v>159</v>
      </c>
      <c r="G29" s="89" t="s">
        <v>120</v>
      </c>
      <c r="H29" s="89" t="s">
        <v>215</v>
      </c>
      <c r="I29" s="89" t="s">
        <v>216</v>
      </c>
      <c r="J29" s="91" t="s">
        <v>171</v>
      </c>
      <c r="K29" s="89" t="s">
        <v>189</v>
      </c>
      <c r="L29" s="91" t="s">
        <v>151</v>
      </c>
      <c r="M29" s="92" t="b">
        <v>1</v>
      </c>
      <c r="N29" s="93"/>
    </row>
    <row r="30" spans="1:14" ht="28" customHeight="1" x14ac:dyDescent="0.2">
      <c r="A30" s="88" t="s">
        <v>178</v>
      </c>
      <c r="B30" s="89"/>
      <c r="C30" s="90">
        <v>2</v>
      </c>
      <c r="D30" s="90">
        <v>12</v>
      </c>
      <c r="E30" s="90">
        <v>2</v>
      </c>
      <c r="F30" s="89" t="s">
        <v>159</v>
      </c>
      <c r="G30" s="89" t="s">
        <v>119</v>
      </c>
      <c r="H30" s="89" t="s">
        <v>217</v>
      </c>
      <c r="I30" s="89" t="s">
        <v>218</v>
      </c>
      <c r="J30" s="91" t="s">
        <v>171</v>
      </c>
      <c r="K30" s="89" t="s">
        <v>172</v>
      </c>
      <c r="L30" s="91" t="s">
        <v>151</v>
      </c>
      <c r="M30" s="92" t="b">
        <v>1</v>
      </c>
      <c r="N30" s="93"/>
    </row>
    <row r="31" spans="1:14" ht="28" customHeight="1" x14ac:dyDescent="0.2">
      <c r="A31" s="88" t="s">
        <v>178</v>
      </c>
      <c r="B31" s="89"/>
      <c r="C31" s="90">
        <v>2</v>
      </c>
      <c r="D31" s="90">
        <v>13</v>
      </c>
      <c r="E31" s="90">
        <v>2</v>
      </c>
      <c r="F31" s="89" t="s">
        <v>163</v>
      </c>
      <c r="G31" s="89" t="s">
        <v>196</v>
      </c>
      <c r="H31" s="89"/>
      <c r="I31" s="89"/>
      <c r="J31" s="91" t="s">
        <v>162</v>
      </c>
      <c r="K31" s="89"/>
      <c r="L31" s="91" t="s">
        <v>162</v>
      </c>
      <c r="M31" s="92" t="b">
        <v>1</v>
      </c>
      <c r="N31" s="93"/>
    </row>
    <row r="32" spans="1:14" ht="28" customHeight="1" x14ac:dyDescent="0.2">
      <c r="A32" s="88" t="s">
        <v>178</v>
      </c>
      <c r="B32" s="89"/>
      <c r="C32" s="90">
        <v>2</v>
      </c>
      <c r="D32" s="90">
        <v>14</v>
      </c>
      <c r="E32" s="90">
        <v>2</v>
      </c>
      <c r="F32" s="89" t="s">
        <v>159</v>
      </c>
      <c r="G32" s="89" t="s">
        <v>107</v>
      </c>
      <c r="H32" s="89"/>
      <c r="I32" s="89" t="s">
        <v>219</v>
      </c>
      <c r="J32" s="91" t="s">
        <v>171</v>
      </c>
      <c r="K32" s="89" t="s">
        <v>198</v>
      </c>
      <c r="L32" s="91" t="s">
        <v>151</v>
      </c>
      <c r="M32" s="92" t="b">
        <v>1</v>
      </c>
      <c r="N32" s="93"/>
    </row>
    <row r="33" spans="1:14" ht="28" customHeight="1" x14ac:dyDescent="0.2">
      <c r="A33" s="88" t="s">
        <v>178</v>
      </c>
      <c r="B33" s="89"/>
      <c r="C33" s="90">
        <v>2</v>
      </c>
      <c r="D33" s="90">
        <v>15</v>
      </c>
      <c r="E33" s="90">
        <v>2</v>
      </c>
      <c r="F33" s="89" t="s">
        <v>159</v>
      </c>
      <c r="G33" s="89" t="s">
        <v>118</v>
      </c>
      <c r="H33" s="89"/>
      <c r="I33" s="89" t="s">
        <v>220</v>
      </c>
      <c r="J33" s="91" t="s">
        <v>171</v>
      </c>
      <c r="K33" s="89" t="s">
        <v>192</v>
      </c>
      <c r="L33" s="91" t="s">
        <v>151</v>
      </c>
      <c r="M33" s="92" t="b">
        <v>1</v>
      </c>
      <c r="N33" s="93"/>
    </row>
    <row r="34" spans="1:14" ht="28" customHeight="1" x14ac:dyDescent="0.2">
      <c r="A34" s="88" t="s">
        <v>178</v>
      </c>
      <c r="B34" s="89"/>
      <c r="C34" s="90">
        <v>2</v>
      </c>
      <c r="D34" s="90">
        <v>16</v>
      </c>
      <c r="E34" s="90">
        <v>2</v>
      </c>
      <c r="F34" s="89" t="s">
        <v>159</v>
      </c>
      <c r="G34" s="89" t="s">
        <v>109</v>
      </c>
      <c r="H34" s="89"/>
      <c r="I34" s="89" t="s">
        <v>221</v>
      </c>
      <c r="J34" s="91" t="s">
        <v>171</v>
      </c>
      <c r="K34" s="89" t="s">
        <v>176</v>
      </c>
      <c r="L34" s="91" t="s">
        <v>151</v>
      </c>
      <c r="M34" s="92" t="b">
        <v>1</v>
      </c>
      <c r="N34" s="93"/>
    </row>
    <row r="35" spans="1:14" ht="28" customHeight="1" x14ac:dyDescent="0.2">
      <c r="A35" s="88" t="s">
        <v>178</v>
      </c>
      <c r="B35" s="89"/>
      <c r="C35" s="90">
        <v>2</v>
      </c>
      <c r="D35" s="90">
        <v>17</v>
      </c>
      <c r="E35" s="90">
        <v>2</v>
      </c>
      <c r="F35" s="89" t="s">
        <v>159</v>
      </c>
      <c r="G35" s="89" t="s">
        <v>119</v>
      </c>
      <c r="H35" s="89"/>
      <c r="I35" s="89" t="s">
        <v>222</v>
      </c>
      <c r="J35" s="91" t="s">
        <v>171</v>
      </c>
      <c r="K35" s="89" t="s">
        <v>172</v>
      </c>
      <c r="L35" s="91" t="s">
        <v>151</v>
      </c>
      <c r="M35" s="92" t="b">
        <v>1</v>
      </c>
      <c r="N35" s="93"/>
    </row>
    <row r="36" spans="1:14" ht="28" customHeight="1" x14ac:dyDescent="0.2">
      <c r="A36" s="88" t="s">
        <v>178</v>
      </c>
      <c r="B36" s="89"/>
      <c r="C36" s="90">
        <v>2</v>
      </c>
      <c r="D36" s="90">
        <v>18</v>
      </c>
      <c r="E36" s="90">
        <v>2</v>
      </c>
      <c r="F36" s="89" t="s">
        <v>163</v>
      </c>
      <c r="G36" s="89" t="s">
        <v>223</v>
      </c>
      <c r="H36" s="89"/>
      <c r="I36" s="89"/>
      <c r="J36" s="91" t="s">
        <v>162</v>
      </c>
      <c r="K36" s="89"/>
      <c r="L36" s="91" t="s">
        <v>162</v>
      </c>
      <c r="M36" s="92" t="b">
        <v>1</v>
      </c>
      <c r="N36" s="93"/>
    </row>
    <row r="37" spans="1:14" ht="28" customHeight="1" x14ac:dyDescent="0.2">
      <c r="A37" s="88" t="s">
        <v>178</v>
      </c>
      <c r="B37" s="89"/>
      <c r="C37" s="90">
        <v>2</v>
      </c>
      <c r="D37" s="90">
        <v>19</v>
      </c>
      <c r="E37" s="90">
        <v>2</v>
      </c>
      <c r="F37" s="89" t="s">
        <v>163</v>
      </c>
      <c r="G37" s="89" t="s">
        <v>224</v>
      </c>
      <c r="H37" s="89"/>
      <c r="I37" s="89"/>
      <c r="J37" s="91" t="s">
        <v>162</v>
      </c>
      <c r="K37" s="89"/>
      <c r="L37" s="91" t="s">
        <v>162</v>
      </c>
      <c r="M37" s="92" t="b">
        <v>1</v>
      </c>
      <c r="N37" s="93"/>
    </row>
    <row r="38" spans="1:14" ht="28" customHeight="1" x14ac:dyDescent="0.2">
      <c r="A38" s="88" t="s">
        <v>178</v>
      </c>
      <c r="B38" s="89"/>
      <c r="C38" s="90">
        <v>3</v>
      </c>
      <c r="D38" s="90">
        <v>1</v>
      </c>
      <c r="E38" s="90">
        <v>1</v>
      </c>
      <c r="F38" s="89" t="s">
        <v>163</v>
      </c>
      <c r="G38" s="89" t="s">
        <v>225</v>
      </c>
      <c r="H38" s="89"/>
      <c r="I38" s="89" t="s">
        <v>226</v>
      </c>
      <c r="J38" s="91" t="s">
        <v>161</v>
      </c>
      <c r="K38" s="89"/>
      <c r="L38" s="91" t="s">
        <v>162</v>
      </c>
      <c r="M38" s="92" t="b">
        <v>1</v>
      </c>
      <c r="N38" s="93"/>
    </row>
    <row r="39" spans="1:14" ht="28" customHeight="1" x14ac:dyDescent="0.2">
      <c r="A39" s="88" t="s">
        <v>178</v>
      </c>
      <c r="B39" s="89"/>
      <c r="C39" s="90">
        <v>3</v>
      </c>
      <c r="D39" s="90">
        <v>2</v>
      </c>
      <c r="E39" s="90">
        <v>2</v>
      </c>
      <c r="F39" s="89" t="s">
        <v>163</v>
      </c>
      <c r="G39" s="89" t="s">
        <v>227</v>
      </c>
      <c r="H39" s="89"/>
      <c r="I39" s="89"/>
      <c r="J39" s="91" t="s">
        <v>162</v>
      </c>
      <c r="K39" s="89"/>
      <c r="L39" s="91" t="s">
        <v>162</v>
      </c>
      <c r="M39" s="92" t="b">
        <v>1</v>
      </c>
      <c r="N39" s="93"/>
    </row>
    <row r="40" spans="1:14" ht="28" customHeight="1" x14ac:dyDescent="0.2">
      <c r="A40" s="88" t="s">
        <v>178</v>
      </c>
      <c r="B40" s="89"/>
      <c r="C40" s="90">
        <v>3</v>
      </c>
      <c r="D40" s="90">
        <v>3</v>
      </c>
      <c r="E40" s="90">
        <v>2</v>
      </c>
      <c r="F40" s="89" t="s">
        <v>163</v>
      </c>
      <c r="G40" s="89" t="s">
        <v>174</v>
      </c>
      <c r="H40" s="89"/>
      <c r="I40" s="89"/>
      <c r="J40" s="91" t="s">
        <v>162</v>
      </c>
      <c r="K40" s="89"/>
      <c r="L40" s="91" t="s">
        <v>162</v>
      </c>
      <c r="M40" s="92" t="b">
        <v>1</v>
      </c>
      <c r="N40" s="93"/>
    </row>
    <row r="41" spans="1:14" ht="28" customHeight="1" x14ac:dyDescent="0.2">
      <c r="A41" s="88" t="s">
        <v>178</v>
      </c>
      <c r="B41" s="89"/>
      <c r="C41" s="90">
        <v>3</v>
      </c>
      <c r="D41" s="90">
        <v>4</v>
      </c>
      <c r="E41" s="90">
        <v>2</v>
      </c>
      <c r="F41" s="89" t="s">
        <v>159</v>
      </c>
      <c r="G41" s="89" t="s">
        <v>116</v>
      </c>
      <c r="H41" s="89" t="s">
        <v>228</v>
      </c>
      <c r="I41" s="89"/>
      <c r="J41" s="91" t="s">
        <v>162</v>
      </c>
      <c r="K41" s="89" t="s">
        <v>177</v>
      </c>
      <c r="L41" s="91" t="s">
        <v>151</v>
      </c>
      <c r="M41" s="92" t="b">
        <v>1</v>
      </c>
      <c r="N41" s="93"/>
    </row>
    <row r="42" spans="1:14" ht="28" customHeight="1" x14ac:dyDescent="0.2">
      <c r="A42" s="88" t="s">
        <v>178</v>
      </c>
      <c r="B42" s="89"/>
      <c r="C42" s="90">
        <v>3</v>
      </c>
      <c r="D42" s="90">
        <v>5</v>
      </c>
      <c r="E42" s="90">
        <v>2</v>
      </c>
      <c r="F42" s="89" t="s">
        <v>163</v>
      </c>
      <c r="G42" s="89" t="s">
        <v>169</v>
      </c>
      <c r="H42" s="89"/>
      <c r="I42" s="89"/>
      <c r="J42" s="91" t="s">
        <v>162</v>
      </c>
      <c r="K42" s="89"/>
      <c r="L42" s="91" t="s">
        <v>162</v>
      </c>
      <c r="M42" s="92" t="b">
        <v>1</v>
      </c>
      <c r="N42" s="93"/>
    </row>
    <row r="43" spans="1:14" ht="28" customHeight="1" x14ac:dyDescent="0.2">
      <c r="A43" s="88" t="s">
        <v>178</v>
      </c>
      <c r="B43" s="89"/>
      <c r="C43" s="90">
        <v>3</v>
      </c>
      <c r="D43" s="90">
        <v>6</v>
      </c>
      <c r="E43" s="90">
        <v>2</v>
      </c>
      <c r="F43" s="89" t="s">
        <v>159</v>
      </c>
      <c r="G43" s="89" t="s">
        <v>120</v>
      </c>
      <c r="H43" s="89" t="s">
        <v>229</v>
      </c>
      <c r="I43" s="89" t="s">
        <v>230</v>
      </c>
      <c r="J43" s="91" t="s">
        <v>171</v>
      </c>
      <c r="K43" s="89" t="s">
        <v>189</v>
      </c>
      <c r="L43" s="91" t="s">
        <v>151</v>
      </c>
      <c r="M43" s="92" t="b">
        <v>1</v>
      </c>
      <c r="N43" s="93"/>
    </row>
    <row r="44" spans="1:14" ht="28" customHeight="1" x14ac:dyDescent="0.2">
      <c r="A44" s="88" t="s">
        <v>178</v>
      </c>
      <c r="B44" s="89"/>
      <c r="C44" s="90">
        <v>3</v>
      </c>
      <c r="D44" s="90">
        <v>7</v>
      </c>
      <c r="E44" s="90">
        <v>2</v>
      </c>
      <c r="F44" s="89" t="s">
        <v>159</v>
      </c>
      <c r="G44" s="89" t="s">
        <v>113</v>
      </c>
      <c r="H44" s="89" t="s">
        <v>231</v>
      </c>
      <c r="I44" s="89" t="s">
        <v>232</v>
      </c>
      <c r="J44" s="91" t="s">
        <v>171</v>
      </c>
      <c r="K44" s="89" t="s">
        <v>233</v>
      </c>
      <c r="L44" s="91" t="s">
        <v>151</v>
      </c>
      <c r="M44" s="92" t="b">
        <v>1</v>
      </c>
      <c r="N44" s="93"/>
    </row>
    <row r="45" spans="1:14" ht="28" customHeight="1" x14ac:dyDescent="0.2">
      <c r="A45" s="88" t="s">
        <v>178</v>
      </c>
      <c r="B45" s="89"/>
      <c r="C45" s="90">
        <v>3</v>
      </c>
      <c r="D45" s="90">
        <v>8</v>
      </c>
      <c r="E45" s="90">
        <v>2</v>
      </c>
      <c r="F45" s="89" t="s">
        <v>159</v>
      </c>
      <c r="G45" s="89" t="s">
        <v>108</v>
      </c>
      <c r="H45" s="89" t="s">
        <v>234</v>
      </c>
      <c r="I45" s="89" t="s">
        <v>235</v>
      </c>
      <c r="J45" s="91" t="s">
        <v>171</v>
      </c>
      <c r="K45" s="89" t="s">
        <v>175</v>
      </c>
      <c r="L45" s="91" t="s">
        <v>151</v>
      </c>
      <c r="M45" s="92" t="b">
        <v>1</v>
      </c>
      <c r="N45" s="93"/>
    </row>
    <row r="46" spans="1:14" ht="28" customHeight="1" x14ac:dyDescent="0.2">
      <c r="A46" s="88" t="s">
        <v>178</v>
      </c>
      <c r="B46" s="89"/>
      <c r="C46" s="90">
        <v>3</v>
      </c>
      <c r="D46" s="90">
        <v>9</v>
      </c>
      <c r="E46" s="90">
        <v>2</v>
      </c>
      <c r="F46" s="89" t="s">
        <v>159</v>
      </c>
      <c r="G46" s="89" t="s">
        <v>119</v>
      </c>
      <c r="H46" s="89" t="s">
        <v>236</v>
      </c>
      <c r="I46" s="89" t="s">
        <v>237</v>
      </c>
      <c r="J46" s="91" t="s">
        <v>171</v>
      </c>
      <c r="K46" s="89" t="s">
        <v>172</v>
      </c>
      <c r="L46" s="91" t="s">
        <v>151</v>
      </c>
      <c r="M46" s="92" t="b">
        <v>1</v>
      </c>
      <c r="N46" s="93"/>
    </row>
    <row r="47" spans="1:14" ht="28" customHeight="1" x14ac:dyDescent="0.2">
      <c r="A47" s="88" t="s">
        <v>178</v>
      </c>
      <c r="B47" s="89"/>
      <c r="C47" s="90">
        <v>3</v>
      </c>
      <c r="D47" s="90">
        <v>10</v>
      </c>
      <c r="E47" s="90">
        <v>2</v>
      </c>
      <c r="F47" s="89" t="s">
        <v>163</v>
      </c>
      <c r="G47" s="89" t="s">
        <v>196</v>
      </c>
      <c r="H47" s="89"/>
      <c r="I47" s="89"/>
      <c r="J47" s="91" t="s">
        <v>162</v>
      </c>
      <c r="K47" s="89"/>
      <c r="L47" s="91" t="s">
        <v>162</v>
      </c>
      <c r="M47" s="92" t="b">
        <v>1</v>
      </c>
      <c r="N47" s="93"/>
    </row>
    <row r="48" spans="1:14" ht="28" customHeight="1" x14ac:dyDescent="0.2">
      <c r="A48" s="88" t="s">
        <v>178</v>
      </c>
      <c r="B48" s="89"/>
      <c r="C48" s="90">
        <v>3</v>
      </c>
      <c r="D48" s="90">
        <v>11</v>
      </c>
      <c r="E48" s="90">
        <v>2</v>
      </c>
      <c r="F48" s="89" t="s">
        <v>159</v>
      </c>
      <c r="G48" s="89" t="s">
        <v>107</v>
      </c>
      <c r="H48" s="89"/>
      <c r="I48" s="89" t="s">
        <v>238</v>
      </c>
      <c r="J48" s="91" t="s">
        <v>171</v>
      </c>
      <c r="K48" s="89" t="s">
        <v>198</v>
      </c>
      <c r="L48" s="91" t="s">
        <v>151</v>
      </c>
      <c r="M48" s="92" t="b">
        <v>1</v>
      </c>
      <c r="N48" s="93"/>
    </row>
    <row r="49" spans="1:14" ht="28" customHeight="1" x14ac:dyDescent="0.2">
      <c r="A49" s="88" t="s">
        <v>239</v>
      </c>
      <c r="B49" s="89" t="s">
        <v>302</v>
      </c>
      <c r="C49" s="90">
        <v>1</v>
      </c>
      <c r="D49" s="90">
        <v>1</v>
      </c>
      <c r="E49" s="90">
        <v>1</v>
      </c>
      <c r="F49" s="89" t="s">
        <v>163</v>
      </c>
      <c r="G49" s="89" t="s">
        <v>160</v>
      </c>
      <c r="H49" s="89"/>
      <c r="I49" s="89" t="s">
        <v>240</v>
      </c>
      <c r="J49" s="91" t="s">
        <v>161</v>
      </c>
      <c r="K49" s="89"/>
      <c r="L49" s="91" t="s">
        <v>162</v>
      </c>
      <c r="M49" s="92" t="b">
        <v>1</v>
      </c>
      <c r="N49" s="93"/>
    </row>
    <row r="50" spans="1:14" ht="28" customHeight="1" x14ac:dyDescent="0.2">
      <c r="A50" s="88" t="s">
        <v>239</v>
      </c>
      <c r="B50" s="89"/>
      <c r="C50" s="90">
        <v>1</v>
      </c>
      <c r="D50" s="90">
        <v>2</v>
      </c>
      <c r="E50" s="90">
        <v>2</v>
      </c>
      <c r="F50" s="89" t="s">
        <v>163</v>
      </c>
      <c r="G50" s="89" t="s">
        <v>241</v>
      </c>
      <c r="H50" s="89"/>
      <c r="I50" s="89"/>
      <c r="J50" s="91" t="s">
        <v>162</v>
      </c>
      <c r="K50" s="89"/>
      <c r="L50" s="91" t="s">
        <v>162</v>
      </c>
      <c r="M50" s="92" t="b">
        <v>1</v>
      </c>
      <c r="N50" s="93"/>
    </row>
    <row r="51" spans="1:14" ht="28" customHeight="1" x14ac:dyDescent="0.2">
      <c r="A51" s="88" t="s">
        <v>242</v>
      </c>
      <c r="B51" s="89" t="s">
        <v>303</v>
      </c>
      <c r="C51" s="90">
        <v>1</v>
      </c>
      <c r="D51" s="90">
        <v>1</v>
      </c>
      <c r="E51" s="90">
        <v>1</v>
      </c>
      <c r="F51" s="89" t="s">
        <v>163</v>
      </c>
      <c r="G51" s="89" t="s">
        <v>160</v>
      </c>
      <c r="H51" s="89"/>
      <c r="I51" s="89" t="s">
        <v>243</v>
      </c>
      <c r="J51" s="91" t="s">
        <v>161</v>
      </c>
      <c r="K51" s="89"/>
      <c r="L51" s="91" t="s">
        <v>162</v>
      </c>
      <c r="M51" s="92" t="b">
        <v>1</v>
      </c>
      <c r="N51" s="93"/>
    </row>
    <row r="52" spans="1:14" ht="28" customHeight="1" x14ac:dyDescent="0.2">
      <c r="A52" s="88" t="s">
        <v>242</v>
      </c>
      <c r="B52" s="89"/>
      <c r="C52" s="90">
        <v>1</v>
      </c>
      <c r="D52" s="90">
        <v>2</v>
      </c>
      <c r="E52" s="90">
        <v>2</v>
      </c>
      <c r="F52" s="89" t="s">
        <v>163</v>
      </c>
      <c r="G52" s="89" t="s">
        <v>244</v>
      </c>
      <c r="H52" s="89"/>
      <c r="I52" s="89"/>
      <c r="J52" s="91" t="s">
        <v>162</v>
      </c>
      <c r="K52" s="89"/>
      <c r="L52" s="91" t="s">
        <v>162</v>
      </c>
      <c r="M52" s="92" t="b">
        <v>1</v>
      </c>
      <c r="N52" s="93"/>
    </row>
    <row r="53" spans="1:14" ht="28" customHeight="1" x14ac:dyDescent="0.2">
      <c r="A53" s="88" t="s">
        <v>242</v>
      </c>
      <c r="B53" s="89"/>
      <c r="C53" s="90">
        <v>1</v>
      </c>
      <c r="D53" s="90">
        <v>3</v>
      </c>
      <c r="E53" s="90">
        <v>2</v>
      </c>
      <c r="F53" s="89" t="s">
        <v>163</v>
      </c>
      <c r="G53" s="89" t="s">
        <v>245</v>
      </c>
      <c r="H53" s="89"/>
      <c r="I53" s="89"/>
      <c r="J53" s="91" t="s">
        <v>162</v>
      </c>
      <c r="K53" s="89"/>
      <c r="L53" s="91" t="s">
        <v>162</v>
      </c>
      <c r="M53" s="92" t="b">
        <v>1</v>
      </c>
      <c r="N53" s="93"/>
    </row>
    <row r="54" spans="1:14" ht="28" customHeight="1" x14ac:dyDescent="0.2">
      <c r="A54" s="88" t="s">
        <v>242</v>
      </c>
      <c r="B54" s="89"/>
      <c r="C54" s="90">
        <v>2</v>
      </c>
      <c r="D54" s="90">
        <v>1</v>
      </c>
      <c r="E54" s="90">
        <v>1</v>
      </c>
      <c r="F54" s="89" t="s">
        <v>163</v>
      </c>
      <c r="G54" s="89" t="s">
        <v>60</v>
      </c>
      <c r="H54" s="89"/>
      <c r="I54" s="89" t="s">
        <v>246</v>
      </c>
      <c r="J54" s="91" t="s">
        <v>161</v>
      </c>
      <c r="K54" s="89" t="s">
        <v>185</v>
      </c>
      <c r="L54" s="91" t="s">
        <v>151</v>
      </c>
      <c r="M54" s="92" t="b">
        <v>1</v>
      </c>
      <c r="N54" s="93"/>
    </row>
    <row r="55" spans="1:14" ht="28" customHeight="1" x14ac:dyDescent="0.2">
      <c r="A55" s="88" t="s">
        <v>242</v>
      </c>
      <c r="B55" s="89"/>
      <c r="C55" s="90">
        <v>2</v>
      </c>
      <c r="D55" s="90">
        <v>2</v>
      </c>
      <c r="E55" s="90">
        <v>2</v>
      </c>
      <c r="F55" s="89" t="s">
        <v>163</v>
      </c>
      <c r="G55" s="89" t="s">
        <v>247</v>
      </c>
      <c r="H55" s="89"/>
      <c r="I55" s="89" t="s">
        <v>248</v>
      </c>
      <c r="J55" s="91" t="s">
        <v>173</v>
      </c>
      <c r="K55" s="89"/>
      <c r="L55" s="91" t="s">
        <v>162</v>
      </c>
      <c r="M55" s="92" t="b">
        <v>1</v>
      </c>
      <c r="N55" s="93"/>
    </row>
    <row r="56" spans="1:14" ht="28" customHeight="1" x14ac:dyDescent="0.2">
      <c r="A56" s="88" t="s">
        <v>242</v>
      </c>
      <c r="B56" s="89"/>
      <c r="C56" s="90">
        <v>2</v>
      </c>
      <c r="D56" s="90">
        <v>3</v>
      </c>
      <c r="E56" s="90">
        <v>2</v>
      </c>
      <c r="F56" s="89" t="s">
        <v>163</v>
      </c>
      <c r="G56" s="89" t="s">
        <v>249</v>
      </c>
      <c r="H56" s="89"/>
      <c r="I56" s="89"/>
      <c r="J56" s="91" t="s">
        <v>162</v>
      </c>
      <c r="K56" s="89"/>
      <c r="L56" s="91" t="s">
        <v>162</v>
      </c>
      <c r="M56" s="92" t="b">
        <v>1</v>
      </c>
      <c r="N56" s="93"/>
    </row>
    <row r="57" spans="1:14" ht="28" customHeight="1" x14ac:dyDescent="0.2">
      <c r="A57" s="88" t="s">
        <v>242</v>
      </c>
      <c r="B57" s="89"/>
      <c r="C57" s="90">
        <v>3</v>
      </c>
      <c r="D57" s="90">
        <v>1</v>
      </c>
      <c r="E57" s="90">
        <v>1</v>
      </c>
      <c r="F57" s="89" t="s">
        <v>163</v>
      </c>
      <c r="G57" s="89" t="s">
        <v>64</v>
      </c>
      <c r="H57" s="89"/>
      <c r="I57" s="89" t="s">
        <v>250</v>
      </c>
      <c r="J57" s="91" t="s">
        <v>161</v>
      </c>
      <c r="K57" s="89" t="s">
        <v>183</v>
      </c>
      <c r="L57" s="91" t="s">
        <v>151</v>
      </c>
      <c r="M57" s="92" t="b">
        <v>1</v>
      </c>
      <c r="N57" s="93"/>
    </row>
    <row r="58" spans="1:14" ht="28" customHeight="1" x14ac:dyDescent="0.2">
      <c r="A58" s="88" t="s">
        <v>242</v>
      </c>
      <c r="B58" s="89"/>
      <c r="C58" s="90">
        <v>3</v>
      </c>
      <c r="D58" s="90">
        <v>2</v>
      </c>
      <c r="E58" s="90">
        <v>2</v>
      </c>
      <c r="F58" s="89" t="s">
        <v>163</v>
      </c>
      <c r="G58" s="89" t="s">
        <v>251</v>
      </c>
      <c r="H58" s="89"/>
      <c r="I58" s="89" t="s">
        <v>252</v>
      </c>
      <c r="J58" s="91" t="s">
        <v>173</v>
      </c>
      <c r="K58" s="89"/>
      <c r="L58" s="91" t="s">
        <v>162</v>
      </c>
      <c r="M58" s="92" t="b">
        <v>1</v>
      </c>
      <c r="N58" s="93"/>
    </row>
    <row r="59" spans="1:14" ht="28" customHeight="1" x14ac:dyDescent="0.2">
      <c r="A59" s="88" t="s">
        <v>242</v>
      </c>
      <c r="B59" s="89"/>
      <c r="C59" s="90">
        <v>3</v>
      </c>
      <c r="D59" s="90">
        <v>3</v>
      </c>
      <c r="E59" s="90">
        <v>2</v>
      </c>
      <c r="F59" s="89" t="s">
        <v>163</v>
      </c>
      <c r="G59" s="89" t="s">
        <v>253</v>
      </c>
      <c r="H59" s="89"/>
      <c r="I59" s="89"/>
      <c r="J59" s="91" t="s">
        <v>162</v>
      </c>
      <c r="K59" s="89"/>
      <c r="L59" s="91" t="s">
        <v>162</v>
      </c>
      <c r="M59" s="92" t="b">
        <v>1</v>
      </c>
      <c r="N59" s="93"/>
    </row>
    <row r="60" spans="1:14" ht="28" customHeight="1" x14ac:dyDescent="0.2">
      <c r="A60" s="88" t="s">
        <v>242</v>
      </c>
      <c r="B60" s="89"/>
      <c r="C60" s="90">
        <v>3</v>
      </c>
      <c r="D60" s="90">
        <v>4</v>
      </c>
      <c r="E60" s="90">
        <v>2</v>
      </c>
      <c r="F60" s="89" t="s">
        <v>163</v>
      </c>
      <c r="G60" s="89" t="s">
        <v>254</v>
      </c>
      <c r="H60" s="89"/>
      <c r="I60" s="89"/>
      <c r="J60" s="91" t="s">
        <v>162</v>
      </c>
      <c r="K60" s="89"/>
      <c r="L60" s="91" t="s">
        <v>162</v>
      </c>
      <c r="M60" s="92" t="b">
        <v>1</v>
      </c>
      <c r="N60" s="93"/>
    </row>
    <row r="61" spans="1:14" ht="28" customHeight="1" x14ac:dyDescent="0.2">
      <c r="A61" s="88" t="s">
        <v>242</v>
      </c>
      <c r="B61" s="89"/>
      <c r="C61" s="90">
        <v>4</v>
      </c>
      <c r="D61" s="90">
        <v>1</v>
      </c>
      <c r="E61" s="90">
        <v>1</v>
      </c>
      <c r="F61" s="89" t="s">
        <v>163</v>
      </c>
      <c r="G61" s="89" t="s">
        <v>71</v>
      </c>
      <c r="H61" s="89"/>
      <c r="I61" s="89" t="s">
        <v>255</v>
      </c>
      <c r="J61" s="91" t="s">
        <v>161</v>
      </c>
      <c r="K61" s="89" t="s">
        <v>177</v>
      </c>
      <c r="L61" s="91" t="s">
        <v>151</v>
      </c>
      <c r="M61" s="92" t="b">
        <v>1</v>
      </c>
      <c r="N61" s="93"/>
    </row>
    <row r="62" spans="1:14" ht="28" customHeight="1" x14ac:dyDescent="0.2">
      <c r="A62" s="88" t="s">
        <v>242</v>
      </c>
      <c r="B62" s="89"/>
      <c r="C62" s="90">
        <v>4</v>
      </c>
      <c r="D62" s="90">
        <v>2</v>
      </c>
      <c r="E62" s="90">
        <v>2</v>
      </c>
      <c r="F62" s="89" t="s">
        <v>163</v>
      </c>
      <c r="G62" s="89" t="s">
        <v>256</v>
      </c>
      <c r="H62" s="89"/>
      <c r="I62" s="89" t="s">
        <v>257</v>
      </c>
      <c r="J62" s="91" t="s">
        <v>173</v>
      </c>
      <c r="K62" s="89"/>
      <c r="L62" s="91" t="s">
        <v>162</v>
      </c>
      <c r="M62" s="92" t="b">
        <v>1</v>
      </c>
      <c r="N62" s="93"/>
    </row>
    <row r="63" spans="1:14" ht="28" customHeight="1" x14ac:dyDescent="0.2">
      <c r="A63" s="88" t="s">
        <v>242</v>
      </c>
      <c r="B63" s="89"/>
      <c r="C63" s="90">
        <v>4</v>
      </c>
      <c r="D63" s="90">
        <v>3</v>
      </c>
      <c r="E63" s="90">
        <v>2</v>
      </c>
      <c r="F63" s="89" t="s">
        <v>163</v>
      </c>
      <c r="G63" s="89" t="s">
        <v>258</v>
      </c>
      <c r="H63" s="89"/>
      <c r="I63" s="89"/>
      <c r="J63" s="91" t="s">
        <v>162</v>
      </c>
      <c r="K63" s="89"/>
      <c r="L63" s="91" t="s">
        <v>162</v>
      </c>
      <c r="M63" s="92" t="b">
        <v>1</v>
      </c>
      <c r="N63" s="93"/>
    </row>
    <row r="64" spans="1:14" ht="28" customHeight="1" x14ac:dyDescent="0.2">
      <c r="A64" s="88" t="s">
        <v>242</v>
      </c>
      <c r="B64" s="89"/>
      <c r="C64" s="90">
        <v>4</v>
      </c>
      <c r="D64" s="90">
        <v>4</v>
      </c>
      <c r="E64" s="90">
        <v>2</v>
      </c>
      <c r="F64" s="89" t="s">
        <v>163</v>
      </c>
      <c r="G64" s="89" t="s">
        <v>259</v>
      </c>
      <c r="H64" s="89"/>
      <c r="I64" s="89"/>
      <c r="J64" s="91" t="s">
        <v>162</v>
      </c>
      <c r="K64" s="89"/>
      <c r="L64" s="91" t="s">
        <v>162</v>
      </c>
      <c r="M64" s="92" t="b">
        <v>1</v>
      </c>
      <c r="N64" s="93"/>
    </row>
    <row r="65" spans="1:14" ht="28" customHeight="1" x14ac:dyDescent="0.2">
      <c r="A65" s="88" t="s">
        <v>260</v>
      </c>
      <c r="B65" s="89" t="s">
        <v>304</v>
      </c>
      <c r="C65" s="90">
        <v>1</v>
      </c>
      <c r="D65" s="90">
        <v>1</v>
      </c>
      <c r="E65" s="90">
        <v>1</v>
      </c>
      <c r="F65" s="89" t="s">
        <v>163</v>
      </c>
      <c r="G65" s="89" t="s">
        <v>160</v>
      </c>
      <c r="H65" s="89"/>
      <c r="I65" s="89" t="s">
        <v>261</v>
      </c>
      <c r="J65" s="91" t="s">
        <v>161</v>
      </c>
      <c r="K65" s="89"/>
      <c r="L65" s="91" t="s">
        <v>162</v>
      </c>
      <c r="M65" s="92" t="b">
        <v>1</v>
      </c>
      <c r="N65" s="93"/>
    </row>
    <row r="66" spans="1:14" ht="28" customHeight="1" x14ac:dyDescent="0.2">
      <c r="A66" s="88" t="s">
        <v>260</v>
      </c>
      <c r="B66" s="89"/>
      <c r="C66" s="90">
        <v>1</v>
      </c>
      <c r="D66" s="90">
        <v>2</v>
      </c>
      <c r="E66" s="90">
        <v>2</v>
      </c>
      <c r="F66" s="89" t="s">
        <v>163</v>
      </c>
      <c r="G66" s="89" t="s">
        <v>262</v>
      </c>
      <c r="H66" s="89"/>
      <c r="I66" s="89"/>
      <c r="J66" s="91" t="s">
        <v>162</v>
      </c>
      <c r="K66" s="89"/>
      <c r="L66" s="91" t="s">
        <v>162</v>
      </c>
      <c r="M66" s="92" t="b">
        <v>1</v>
      </c>
      <c r="N66" s="93"/>
    </row>
    <row r="67" spans="1:14" ht="28" customHeight="1" x14ac:dyDescent="0.2">
      <c r="A67" s="88" t="s">
        <v>260</v>
      </c>
      <c r="B67" s="89"/>
      <c r="C67" s="90">
        <v>1</v>
      </c>
      <c r="D67" s="90">
        <v>3</v>
      </c>
      <c r="E67" s="90">
        <v>2</v>
      </c>
      <c r="F67" s="89" t="s">
        <v>163</v>
      </c>
      <c r="G67" s="89" t="s">
        <v>263</v>
      </c>
      <c r="H67" s="89"/>
      <c r="I67" s="89"/>
      <c r="J67" s="91" t="s">
        <v>162</v>
      </c>
      <c r="K67" s="89"/>
      <c r="L67" s="91" t="s">
        <v>162</v>
      </c>
      <c r="M67" s="92" t="b">
        <v>1</v>
      </c>
      <c r="N67" s="93"/>
    </row>
    <row r="68" spans="1:14" ht="28" customHeight="1" x14ac:dyDescent="0.2">
      <c r="A68" s="88" t="s">
        <v>260</v>
      </c>
      <c r="B68" s="89"/>
      <c r="C68" s="90">
        <v>2</v>
      </c>
      <c r="D68" s="90">
        <v>1</v>
      </c>
      <c r="E68" s="90">
        <v>1</v>
      </c>
      <c r="F68" s="89" t="s">
        <v>163</v>
      </c>
      <c r="G68" s="89" t="s">
        <v>40</v>
      </c>
      <c r="H68" s="89"/>
      <c r="I68" s="89" t="s">
        <v>264</v>
      </c>
      <c r="J68" s="91" t="s">
        <v>161</v>
      </c>
      <c r="K68" s="89" t="s">
        <v>265</v>
      </c>
      <c r="L68" s="91" t="s">
        <v>151</v>
      </c>
      <c r="M68" s="92" t="b">
        <v>1</v>
      </c>
      <c r="N68" s="93"/>
    </row>
    <row r="69" spans="1:14" ht="28" customHeight="1" x14ac:dyDescent="0.2">
      <c r="A69" s="88" t="s">
        <v>260</v>
      </c>
      <c r="B69" s="89"/>
      <c r="C69" s="90">
        <v>2</v>
      </c>
      <c r="D69" s="90">
        <v>2</v>
      </c>
      <c r="E69" s="90">
        <v>2</v>
      </c>
      <c r="F69" s="89" t="s">
        <v>163</v>
      </c>
      <c r="G69" s="89" t="s">
        <v>266</v>
      </c>
      <c r="H69" s="89"/>
      <c r="I69" s="89"/>
      <c r="J69" s="91" t="s">
        <v>162</v>
      </c>
      <c r="K69" s="89"/>
      <c r="L69" s="91" t="s">
        <v>162</v>
      </c>
      <c r="M69" s="92" t="b">
        <v>1</v>
      </c>
      <c r="N69" s="93"/>
    </row>
    <row r="70" spans="1:14" ht="28" customHeight="1" x14ac:dyDescent="0.2">
      <c r="A70" s="88" t="s">
        <v>260</v>
      </c>
      <c r="B70" s="89"/>
      <c r="C70" s="90">
        <v>3</v>
      </c>
      <c r="D70" s="90">
        <v>1</v>
      </c>
      <c r="E70" s="90">
        <v>1</v>
      </c>
      <c r="F70" s="89" t="s">
        <v>163</v>
      </c>
      <c r="G70" s="89" t="s">
        <v>45</v>
      </c>
      <c r="H70" s="89"/>
      <c r="I70" s="89" t="s">
        <v>267</v>
      </c>
      <c r="J70" s="91" t="s">
        <v>161</v>
      </c>
      <c r="K70" s="89" t="s">
        <v>198</v>
      </c>
      <c r="L70" s="91" t="s">
        <v>151</v>
      </c>
      <c r="M70" s="92" t="b">
        <v>1</v>
      </c>
      <c r="N70" s="93"/>
    </row>
    <row r="71" spans="1:14" ht="28" customHeight="1" x14ac:dyDescent="0.2">
      <c r="A71" s="88" t="s">
        <v>260</v>
      </c>
      <c r="B71" s="89"/>
      <c r="C71" s="90">
        <v>3</v>
      </c>
      <c r="D71" s="90">
        <v>2</v>
      </c>
      <c r="E71" s="90">
        <v>2</v>
      </c>
      <c r="F71" s="89" t="s">
        <v>163</v>
      </c>
      <c r="G71" s="89" t="s">
        <v>268</v>
      </c>
      <c r="H71" s="89"/>
      <c r="I71" s="89" t="s">
        <v>269</v>
      </c>
      <c r="J71" s="91" t="s">
        <v>171</v>
      </c>
      <c r="K71" s="89"/>
      <c r="L71" s="91" t="s">
        <v>162</v>
      </c>
      <c r="M71" s="92" t="b">
        <v>1</v>
      </c>
      <c r="N71" s="93"/>
    </row>
    <row r="72" spans="1:14" ht="28" customHeight="1" x14ac:dyDescent="0.2">
      <c r="A72" s="88" t="s">
        <v>260</v>
      </c>
      <c r="B72" s="89"/>
      <c r="C72" s="90">
        <v>3</v>
      </c>
      <c r="D72" s="90">
        <v>3</v>
      </c>
      <c r="E72" s="90">
        <v>2</v>
      </c>
      <c r="F72" s="89" t="s">
        <v>163</v>
      </c>
      <c r="G72" s="89" t="s">
        <v>270</v>
      </c>
      <c r="H72" s="89"/>
      <c r="I72" s="89"/>
      <c r="J72" s="91" t="s">
        <v>162</v>
      </c>
      <c r="K72" s="89"/>
      <c r="L72" s="91" t="s">
        <v>162</v>
      </c>
      <c r="M72" s="92" t="b">
        <v>1</v>
      </c>
      <c r="N72" s="93"/>
    </row>
    <row r="73" spans="1:14" ht="28" customHeight="1" x14ac:dyDescent="0.2">
      <c r="A73" s="88" t="s">
        <v>260</v>
      </c>
      <c r="B73" s="89"/>
      <c r="C73" s="90">
        <v>3</v>
      </c>
      <c r="D73" s="90">
        <v>4</v>
      </c>
      <c r="E73" s="90">
        <v>2</v>
      </c>
      <c r="F73" s="89" t="s">
        <v>163</v>
      </c>
      <c r="G73" s="89" t="s">
        <v>271</v>
      </c>
      <c r="H73" s="89"/>
      <c r="I73" s="89"/>
      <c r="J73" s="91" t="s">
        <v>162</v>
      </c>
      <c r="K73" s="89"/>
      <c r="L73" s="91" t="s">
        <v>162</v>
      </c>
      <c r="M73" s="92" t="b">
        <v>1</v>
      </c>
      <c r="N73" s="93"/>
    </row>
    <row r="74" spans="1:14" ht="28" customHeight="1" x14ac:dyDescent="0.2">
      <c r="A74" s="88" t="s">
        <v>260</v>
      </c>
      <c r="B74" s="89"/>
      <c r="C74" s="90">
        <v>3</v>
      </c>
      <c r="D74" s="90">
        <v>5</v>
      </c>
      <c r="E74" s="90">
        <v>2</v>
      </c>
      <c r="F74" s="89" t="s">
        <v>163</v>
      </c>
      <c r="G74" s="89" t="s">
        <v>263</v>
      </c>
      <c r="H74" s="89"/>
      <c r="I74" s="89"/>
      <c r="J74" s="91" t="s">
        <v>162</v>
      </c>
      <c r="K74" s="89"/>
      <c r="L74" s="91" t="s">
        <v>162</v>
      </c>
      <c r="M74" s="92" t="b">
        <v>1</v>
      </c>
      <c r="N74" s="93"/>
    </row>
    <row r="75" spans="1:14" ht="28" customHeight="1" x14ac:dyDescent="0.2">
      <c r="A75" s="88" t="s">
        <v>272</v>
      </c>
      <c r="B75" s="89" t="s">
        <v>305</v>
      </c>
      <c r="C75" s="90">
        <v>1</v>
      </c>
      <c r="D75" s="90">
        <v>1</v>
      </c>
      <c r="E75" s="90">
        <v>1</v>
      </c>
      <c r="F75" s="89" t="s">
        <v>163</v>
      </c>
      <c r="G75" s="89" t="s">
        <v>160</v>
      </c>
      <c r="H75" s="89"/>
      <c r="I75" s="89" t="s">
        <v>273</v>
      </c>
      <c r="J75" s="91" t="s">
        <v>161</v>
      </c>
      <c r="K75" s="89"/>
      <c r="L75" s="91" t="s">
        <v>162</v>
      </c>
      <c r="M75" s="92" t="b">
        <v>1</v>
      </c>
      <c r="N75" s="93"/>
    </row>
    <row r="76" spans="1:14" ht="28" customHeight="1" x14ac:dyDescent="0.2">
      <c r="A76" s="88" t="s">
        <v>272</v>
      </c>
      <c r="B76" s="89"/>
      <c r="C76" s="90">
        <v>1</v>
      </c>
      <c r="D76" s="90">
        <v>2</v>
      </c>
      <c r="E76" s="90">
        <v>2</v>
      </c>
      <c r="F76" s="89" t="s">
        <v>163</v>
      </c>
      <c r="G76" s="89" t="s">
        <v>181</v>
      </c>
      <c r="H76" s="89"/>
      <c r="I76" s="89"/>
      <c r="J76" s="91" t="s">
        <v>162</v>
      </c>
      <c r="K76" s="89"/>
      <c r="L76" s="91" t="s">
        <v>162</v>
      </c>
      <c r="M76" s="92" t="b">
        <v>1</v>
      </c>
      <c r="N76" s="93"/>
    </row>
    <row r="77" spans="1:14" ht="28" customHeight="1" x14ac:dyDescent="0.2">
      <c r="A77" s="88" t="s">
        <v>272</v>
      </c>
      <c r="B77" s="89"/>
      <c r="C77" s="90">
        <v>1</v>
      </c>
      <c r="D77" s="90">
        <v>3</v>
      </c>
      <c r="E77" s="90">
        <v>2</v>
      </c>
      <c r="F77" s="89" t="s">
        <v>163</v>
      </c>
      <c r="G77" s="89" t="s">
        <v>174</v>
      </c>
      <c r="H77" s="89"/>
      <c r="I77" s="89"/>
      <c r="J77" s="91" t="s">
        <v>162</v>
      </c>
      <c r="K77" s="89"/>
      <c r="L77" s="91" t="s">
        <v>162</v>
      </c>
      <c r="M77" s="92" t="b">
        <v>1</v>
      </c>
      <c r="N77" s="93"/>
    </row>
    <row r="78" spans="1:14" ht="28" customHeight="1" x14ac:dyDescent="0.2">
      <c r="A78" s="88" t="s">
        <v>272</v>
      </c>
      <c r="B78" s="89"/>
      <c r="C78" s="90">
        <v>1</v>
      </c>
      <c r="D78" s="90">
        <v>4</v>
      </c>
      <c r="E78" s="90">
        <v>2</v>
      </c>
      <c r="F78" s="89" t="s">
        <v>159</v>
      </c>
      <c r="G78" s="89" t="s">
        <v>115</v>
      </c>
      <c r="H78" s="89" t="s">
        <v>182</v>
      </c>
      <c r="I78" s="89"/>
      <c r="J78" s="91" t="s">
        <v>162</v>
      </c>
      <c r="K78" s="89" t="s">
        <v>183</v>
      </c>
      <c r="L78" s="91" t="s">
        <v>151</v>
      </c>
      <c r="M78" s="92" t="b">
        <v>1</v>
      </c>
      <c r="N78" s="93"/>
    </row>
    <row r="79" spans="1:14" ht="28" customHeight="1" x14ac:dyDescent="0.2">
      <c r="A79" s="88" t="s">
        <v>272</v>
      </c>
      <c r="B79" s="89"/>
      <c r="C79" s="90">
        <v>1</v>
      </c>
      <c r="D79" s="90">
        <v>5</v>
      </c>
      <c r="E79" s="90">
        <v>2</v>
      </c>
      <c r="F79" s="89" t="s">
        <v>159</v>
      </c>
      <c r="G79" s="89" t="s">
        <v>111</v>
      </c>
      <c r="H79" s="89" t="s">
        <v>184</v>
      </c>
      <c r="I79" s="89"/>
      <c r="J79" s="91" t="s">
        <v>162</v>
      </c>
      <c r="K79" s="89" t="s">
        <v>185</v>
      </c>
      <c r="L79" s="91" t="s">
        <v>151</v>
      </c>
      <c r="M79" s="92" t="b">
        <v>1</v>
      </c>
      <c r="N79" s="93"/>
    </row>
    <row r="80" spans="1:14" ht="28" customHeight="1" x14ac:dyDescent="0.2">
      <c r="A80" s="88" t="s">
        <v>272</v>
      </c>
      <c r="B80" s="89"/>
      <c r="C80" s="90">
        <v>1</v>
      </c>
      <c r="D80" s="90">
        <v>6</v>
      </c>
      <c r="E80" s="90">
        <v>2</v>
      </c>
      <c r="F80" s="89" t="s">
        <v>159</v>
      </c>
      <c r="G80" s="89" t="s">
        <v>116</v>
      </c>
      <c r="H80" s="89" t="s">
        <v>186</v>
      </c>
      <c r="I80" s="89"/>
      <c r="J80" s="91" t="s">
        <v>162</v>
      </c>
      <c r="K80" s="89" t="s">
        <v>177</v>
      </c>
      <c r="L80" s="91" t="s">
        <v>151</v>
      </c>
      <c r="M80" s="92" t="b">
        <v>1</v>
      </c>
      <c r="N80" s="93"/>
    </row>
    <row r="81" spans="1:14" ht="28" customHeight="1" x14ac:dyDescent="0.2">
      <c r="A81" s="88" t="s">
        <v>272</v>
      </c>
      <c r="B81" s="89"/>
      <c r="C81" s="90">
        <v>1</v>
      </c>
      <c r="D81" s="90">
        <v>7</v>
      </c>
      <c r="E81" s="90">
        <v>2</v>
      </c>
      <c r="F81" s="89" t="s">
        <v>163</v>
      </c>
      <c r="G81" s="89" t="s">
        <v>169</v>
      </c>
      <c r="H81" s="89"/>
      <c r="I81" s="89"/>
      <c r="J81" s="91" t="s">
        <v>162</v>
      </c>
      <c r="K81" s="89"/>
      <c r="L81" s="91" t="s">
        <v>162</v>
      </c>
      <c r="M81" s="92" t="b">
        <v>1</v>
      </c>
      <c r="N81" s="93"/>
    </row>
    <row r="82" spans="1:14" ht="28" customHeight="1" x14ac:dyDescent="0.2">
      <c r="A82" s="88" t="s">
        <v>272</v>
      </c>
      <c r="B82" s="89"/>
      <c r="C82" s="90">
        <v>1</v>
      </c>
      <c r="D82" s="90">
        <v>8</v>
      </c>
      <c r="E82" s="90">
        <v>2</v>
      </c>
      <c r="F82" s="89" t="s">
        <v>159</v>
      </c>
      <c r="G82" s="89" t="s">
        <v>108</v>
      </c>
      <c r="H82" s="89" t="s">
        <v>194</v>
      </c>
      <c r="I82" s="89" t="s">
        <v>195</v>
      </c>
      <c r="J82" s="91" t="s">
        <v>171</v>
      </c>
      <c r="K82" s="89" t="s">
        <v>175</v>
      </c>
      <c r="L82" s="91" t="s">
        <v>151</v>
      </c>
      <c r="M82" s="92" t="b">
        <v>1</v>
      </c>
      <c r="N82" s="93"/>
    </row>
    <row r="83" spans="1:14" ht="28" customHeight="1" x14ac:dyDescent="0.2">
      <c r="A83" s="88" t="s">
        <v>272</v>
      </c>
      <c r="B83" s="89"/>
      <c r="C83" s="90">
        <v>1</v>
      </c>
      <c r="D83" s="90">
        <v>9</v>
      </c>
      <c r="E83" s="90">
        <v>2</v>
      </c>
      <c r="F83" s="89" t="s">
        <v>163</v>
      </c>
      <c r="G83" s="89" t="s">
        <v>196</v>
      </c>
      <c r="H83" s="89"/>
      <c r="I83" s="89"/>
      <c r="J83" s="91" t="s">
        <v>162</v>
      </c>
      <c r="K83" s="89"/>
      <c r="L83" s="91" t="s">
        <v>162</v>
      </c>
      <c r="M83" s="92" t="b">
        <v>1</v>
      </c>
      <c r="N83" s="93"/>
    </row>
    <row r="84" spans="1:14" ht="28" customHeight="1" x14ac:dyDescent="0.2">
      <c r="A84" s="88" t="s">
        <v>272</v>
      </c>
      <c r="B84" s="89"/>
      <c r="C84" s="90">
        <v>1</v>
      </c>
      <c r="D84" s="90">
        <v>10</v>
      </c>
      <c r="E84" s="90">
        <v>2</v>
      </c>
      <c r="F84" s="89" t="s">
        <v>159</v>
      </c>
      <c r="G84" s="89" t="s">
        <v>107</v>
      </c>
      <c r="H84" s="89"/>
      <c r="I84" s="89" t="s">
        <v>197</v>
      </c>
      <c r="J84" s="91" t="s">
        <v>171</v>
      </c>
      <c r="K84" s="89" t="s">
        <v>198</v>
      </c>
      <c r="L84" s="91" t="s">
        <v>151</v>
      </c>
      <c r="M84" s="92" t="b">
        <v>1</v>
      </c>
      <c r="N84" s="93"/>
    </row>
    <row r="85" spans="1:14" ht="28" customHeight="1" x14ac:dyDescent="0.2">
      <c r="A85" s="88" t="s">
        <v>272</v>
      </c>
      <c r="B85" s="89"/>
      <c r="C85" s="90">
        <v>1</v>
      </c>
      <c r="D85" s="90">
        <v>11</v>
      </c>
      <c r="E85" s="90">
        <v>2</v>
      </c>
      <c r="F85" s="89" t="s">
        <v>159</v>
      </c>
      <c r="G85" s="89" t="s">
        <v>109</v>
      </c>
      <c r="H85" s="89"/>
      <c r="I85" s="89" t="s">
        <v>201</v>
      </c>
      <c r="J85" s="91" t="s">
        <v>171</v>
      </c>
      <c r="K85" s="89" t="s">
        <v>176</v>
      </c>
      <c r="L85" s="91" t="s">
        <v>151</v>
      </c>
      <c r="M85" s="92" t="b">
        <v>1</v>
      </c>
      <c r="N85" s="93"/>
    </row>
    <row r="86" spans="1:14" ht="28" customHeight="1" x14ac:dyDescent="0.2">
      <c r="A86" s="88" t="s">
        <v>272</v>
      </c>
      <c r="B86" s="89"/>
      <c r="C86" s="90">
        <v>1</v>
      </c>
      <c r="D86" s="90">
        <v>12</v>
      </c>
      <c r="E86" s="90">
        <v>2</v>
      </c>
      <c r="F86" s="89" t="s">
        <v>299</v>
      </c>
      <c r="G86" s="89" t="s">
        <v>202</v>
      </c>
      <c r="H86" s="89" t="s">
        <v>306</v>
      </c>
      <c r="I86" s="89" t="s">
        <v>274</v>
      </c>
      <c r="J86" s="91" t="s">
        <v>171</v>
      </c>
      <c r="K86" s="89"/>
      <c r="L86" s="91" t="s">
        <v>162</v>
      </c>
      <c r="M86" s="92" t="b">
        <v>1</v>
      </c>
      <c r="N86" s="93" t="s">
        <v>301</v>
      </c>
    </row>
    <row r="87" spans="1:14" ht="28" customHeight="1" x14ac:dyDescent="0.2">
      <c r="A87" s="88" t="s">
        <v>272</v>
      </c>
      <c r="B87" s="89"/>
      <c r="C87" s="90">
        <v>2</v>
      </c>
      <c r="D87" s="90">
        <v>1</v>
      </c>
      <c r="E87" s="90">
        <v>1</v>
      </c>
      <c r="F87" s="89" t="s">
        <v>163</v>
      </c>
      <c r="G87" s="89" t="s">
        <v>204</v>
      </c>
      <c r="H87" s="89"/>
      <c r="I87" s="89" t="s">
        <v>275</v>
      </c>
      <c r="J87" s="91" t="s">
        <v>161</v>
      </c>
      <c r="K87" s="89"/>
      <c r="L87" s="91" t="s">
        <v>162</v>
      </c>
      <c r="M87" s="92" t="b">
        <v>1</v>
      </c>
      <c r="N87" s="93"/>
    </row>
    <row r="88" spans="1:14" ht="28" customHeight="1" x14ac:dyDescent="0.2">
      <c r="A88" s="88" t="s">
        <v>272</v>
      </c>
      <c r="B88" s="89"/>
      <c r="C88" s="90">
        <v>2</v>
      </c>
      <c r="D88" s="90">
        <v>2</v>
      </c>
      <c r="E88" s="90">
        <v>2</v>
      </c>
      <c r="F88" s="89" t="s">
        <v>163</v>
      </c>
      <c r="G88" s="89" t="s">
        <v>276</v>
      </c>
      <c r="H88" s="89"/>
      <c r="I88" s="89"/>
      <c r="J88" s="91" t="s">
        <v>162</v>
      </c>
      <c r="K88" s="89"/>
      <c r="L88" s="91" t="s">
        <v>162</v>
      </c>
      <c r="M88" s="92" t="b">
        <v>1</v>
      </c>
      <c r="N88" s="93"/>
    </row>
    <row r="89" spans="1:14" ht="28" customHeight="1" x14ac:dyDescent="0.2">
      <c r="A89" s="88" t="s">
        <v>272</v>
      </c>
      <c r="B89" s="89"/>
      <c r="C89" s="90">
        <v>2</v>
      </c>
      <c r="D89" s="90">
        <v>3</v>
      </c>
      <c r="E89" s="90">
        <v>2</v>
      </c>
      <c r="F89" s="89" t="s">
        <v>163</v>
      </c>
      <c r="G89" s="89" t="s">
        <v>174</v>
      </c>
      <c r="H89" s="89"/>
      <c r="I89" s="89"/>
      <c r="J89" s="91" t="s">
        <v>162</v>
      </c>
      <c r="K89" s="89"/>
      <c r="L89" s="91" t="s">
        <v>162</v>
      </c>
      <c r="M89" s="92" t="b">
        <v>1</v>
      </c>
      <c r="N89" s="93"/>
    </row>
    <row r="90" spans="1:14" ht="28" customHeight="1" x14ac:dyDescent="0.2">
      <c r="A90" s="88" t="s">
        <v>272</v>
      </c>
      <c r="B90" s="89"/>
      <c r="C90" s="90">
        <v>2</v>
      </c>
      <c r="D90" s="90">
        <v>4</v>
      </c>
      <c r="E90" s="90">
        <v>2</v>
      </c>
      <c r="F90" s="89" t="s">
        <v>159</v>
      </c>
      <c r="G90" s="89" t="s">
        <v>111</v>
      </c>
      <c r="H90" s="89" t="s">
        <v>207</v>
      </c>
      <c r="I90" s="89"/>
      <c r="J90" s="91" t="s">
        <v>162</v>
      </c>
      <c r="K90" s="89" t="s">
        <v>185</v>
      </c>
      <c r="L90" s="91" t="s">
        <v>151</v>
      </c>
      <c r="M90" s="92" t="b">
        <v>1</v>
      </c>
      <c r="N90" s="93"/>
    </row>
    <row r="91" spans="1:14" ht="28" customHeight="1" x14ac:dyDescent="0.2">
      <c r="A91" s="88" t="s">
        <v>272</v>
      </c>
      <c r="B91" s="89"/>
      <c r="C91" s="90">
        <v>2</v>
      </c>
      <c r="D91" s="90">
        <v>5</v>
      </c>
      <c r="E91" s="90">
        <v>2</v>
      </c>
      <c r="F91" s="89" t="s">
        <v>159</v>
      </c>
      <c r="G91" s="89" t="s">
        <v>115</v>
      </c>
      <c r="H91" s="89" t="s">
        <v>208</v>
      </c>
      <c r="I91" s="89"/>
      <c r="J91" s="91" t="s">
        <v>162</v>
      </c>
      <c r="K91" s="89" t="s">
        <v>183</v>
      </c>
      <c r="L91" s="91" t="s">
        <v>151</v>
      </c>
      <c r="M91" s="92" t="b">
        <v>1</v>
      </c>
      <c r="N91" s="93"/>
    </row>
    <row r="92" spans="1:14" ht="28" customHeight="1" x14ac:dyDescent="0.2">
      <c r="A92" s="88" t="s">
        <v>272</v>
      </c>
      <c r="B92" s="89"/>
      <c r="C92" s="90">
        <v>2</v>
      </c>
      <c r="D92" s="90">
        <v>6</v>
      </c>
      <c r="E92" s="90">
        <v>2</v>
      </c>
      <c r="F92" s="89" t="s">
        <v>159</v>
      </c>
      <c r="G92" s="89" t="s">
        <v>209</v>
      </c>
      <c r="H92" s="89" t="s">
        <v>210</v>
      </c>
      <c r="I92" s="89"/>
      <c r="J92" s="91" t="s">
        <v>162</v>
      </c>
      <c r="K92" s="89" t="s">
        <v>165</v>
      </c>
      <c r="L92" s="91" t="s">
        <v>151</v>
      </c>
      <c r="M92" s="92" t="b">
        <v>1</v>
      </c>
      <c r="N92" s="93"/>
    </row>
    <row r="93" spans="1:14" ht="28" customHeight="1" x14ac:dyDescent="0.2">
      <c r="A93" s="88" t="s">
        <v>272</v>
      </c>
      <c r="B93" s="89"/>
      <c r="C93" s="90">
        <v>2</v>
      </c>
      <c r="D93" s="90">
        <v>7</v>
      </c>
      <c r="E93" s="90">
        <v>2</v>
      </c>
      <c r="F93" s="89" t="s">
        <v>159</v>
      </c>
      <c r="G93" s="89" t="s">
        <v>114</v>
      </c>
      <c r="H93" s="89" t="s">
        <v>211</v>
      </c>
      <c r="I93" s="89"/>
      <c r="J93" s="91" t="s">
        <v>162</v>
      </c>
      <c r="K93" s="89" t="s">
        <v>212</v>
      </c>
      <c r="L93" s="91" t="s">
        <v>151</v>
      </c>
      <c r="M93" s="92" t="b">
        <v>1</v>
      </c>
      <c r="N93" s="93"/>
    </row>
    <row r="94" spans="1:14" ht="28" customHeight="1" x14ac:dyDescent="0.2">
      <c r="A94" s="88" t="s">
        <v>272</v>
      </c>
      <c r="B94" s="89"/>
      <c r="C94" s="90">
        <v>2</v>
      </c>
      <c r="D94" s="90">
        <v>8</v>
      </c>
      <c r="E94" s="90">
        <v>2</v>
      </c>
      <c r="F94" s="89" t="s">
        <v>163</v>
      </c>
      <c r="G94" s="89" t="s">
        <v>169</v>
      </c>
      <c r="H94" s="89"/>
      <c r="I94" s="89"/>
      <c r="J94" s="91" t="s">
        <v>162</v>
      </c>
      <c r="K94" s="89"/>
      <c r="L94" s="91" t="s">
        <v>162</v>
      </c>
      <c r="M94" s="92" t="b">
        <v>1</v>
      </c>
      <c r="N94" s="93"/>
    </row>
    <row r="95" spans="1:14" ht="28" customHeight="1" x14ac:dyDescent="0.2">
      <c r="A95" s="88" t="s">
        <v>272</v>
      </c>
      <c r="B95" s="89"/>
      <c r="C95" s="90">
        <v>2</v>
      </c>
      <c r="D95" s="90">
        <v>9</v>
      </c>
      <c r="E95" s="90">
        <v>2</v>
      </c>
      <c r="F95" s="89" t="s">
        <v>159</v>
      </c>
      <c r="G95" s="89" t="s">
        <v>116</v>
      </c>
      <c r="H95" s="89" t="s">
        <v>213</v>
      </c>
      <c r="I95" s="89" t="s">
        <v>214</v>
      </c>
      <c r="J95" s="91" t="s">
        <v>171</v>
      </c>
      <c r="K95" s="89" t="s">
        <v>177</v>
      </c>
      <c r="L95" s="91" t="s">
        <v>151</v>
      </c>
      <c r="M95" s="92" t="b">
        <v>1</v>
      </c>
      <c r="N95" s="93"/>
    </row>
    <row r="96" spans="1:14" ht="28" customHeight="1" x14ac:dyDescent="0.2">
      <c r="A96" s="88" t="s">
        <v>272</v>
      </c>
      <c r="B96" s="89"/>
      <c r="C96" s="90">
        <v>2</v>
      </c>
      <c r="D96" s="90">
        <v>10</v>
      </c>
      <c r="E96" s="90">
        <v>2</v>
      </c>
      <c r="F96" s="89" t="s">
        <v>163</v>
      </c>
      <c r="G96" s="89" t="s">
        <v>196</v>
      </c>
      <c r="H96" s="89"/>
      <c r="I96" s="89"/>
      <c r="J96" s="91" t="s">
        <v>162</v>
      </c>
      <c r="K96" s="89"/>
      <c r="L96" s="91" t="s">
        <v>162</v>
      </c>
      <c r="M96" s="92" t="b">
        <v>1</v>
      </c>
      <c r="N96" s="93"/>
    </row>
    <row r="97" spans="1:14" ht="28" customHeight="1" x14ac:dyDescent="0.2">
      <c r="A97" s="88" t="s">
        <v>272</v>
      </c>
      <c r="B97" s="89"/>
      <c r="C97" s="90">
        <v>2</v>
      </c>
      <c r="D97" s="90">
        <v>11</v>
      </c>
      <c r="E97" s="90">
        <v>2</v>
      </c>
      <c r="F97" s="89" t="s">
        <v>159</v>
      </c>
      <c r="G97" s="89" t="s">
        <v>107</v>
      </c>
      <c r="H97" s="89"/>
      <c r="I97" s="89" t="s">
        <v>219</v>
      </c>
      <c r="J97" s="91" t="s">
        <v>171</v>
      </c>
      <c r="K97" s="89" t="s">
        <v>198</v>
      </c>
      <c r="L97" s="91" t="s">
        <v>151</v>
      </c>
      <c r="M97" s="92" t="b">
        <v>1</v>
      </c>
      <c r="N97" s="93"/>
    </row>
    <row r="98" spans="1:14" ht="28" customHeight="1" x14ac:dyDescent="0.2">
      <c r="A98" s="88" t="s">
        <v>272</v>
      </c>
      <c r="B98" s="89"/>
      <c r="C98" s="90">
        <v>2</v>
      </c>
      <c r="D98" s="90">
        <v>12</v>
      </c>
      <c r="E98" s="90">
        <v>2</v>
      </c>
      <c r="F98" s="89" t="s">
        <v>159</v>
      </c>
      <c r="G98" s="89" t="s">
        <v>109</v>
      </c>
      <c r="H98" s="89"/>
      <c r="I98" s="89" t="s">
        <v>221</v>
      </c>
      <c r="J98" s="91" t="s">
        <v>171</v>
      </c>
      <c r="K98" s="89" t="s">
        <v>176</v>
      </c>
      <c r="L98" s="91" t="s">
        <v>151</v>
      </c>
      <c r="M98" s="92" t="b">
        <v>1</v>
      </c>
      <c r="N98" s="93"/>
    </row>
    <row r="99" spans="1:14" ht="28" customHeight="1" x14ac:dyDescent="0.2">
      <c r="A99" s="88" t="s">
        <v>272</v>
      </c>
      <c r="B99" s="89"/>
      <c r="C99" s="90">
        <v>2</v>
      </c>
      <c r="D99" s="90">
        <v>13</v>
      </c>
      <c r="E99" s="90">
        <v>2</v>
      </c>
      <c r="F99" s="89" t="s">
        <v>163</v>
      </c>
      <c r="G99" s="89" t="s">
        <v>223</v>
      </c>
      <c r="H99" s="89"/>
      <c r="I99" s="89"/>
      <c r="J99" s="91" t="s">
        <v>162</v>
      </c>
      <c r="K99" s="89"/>
      <c r="L99" s="91" t="s">
        <v>162</v>
      </c>
      <c r="M99" s="92" t="b">
        <v>1</v>
      </c>
      <c r="N99" s="93"/>
    </row>
    <row r="100" spans="1:14" ht="28" customHeight="1" x14ac:dyDescent="0.2">
      <c r="A100" s="88" t="s">
        <v>272</v>
      </c>
      <c r="B100" s="89"/>
      <c r="C100" s="90">
        <v>2</v>
      </c>
      <c r="D100" s="90">
        <v>14</v>
      </c>
      <c r="E100" s="90">
        <v>2</v>
      </c>
      <c r="F100" s="89" t="s">
        <v>163</v>
      </c>
      <c r="G100" s="89" t="s">
        <v>224</v>
      </c>
      <c r="H100" s="89"/>
      <c r="I100" s="89"/>
      <c r="J100" s="91" t="s">
        <v>162</v>
      </c>
      <c r="K100" s="89"/>
      <c r="L100" s="91" t="s">
        <v>162</v>
      </c>
      <c r="M100" s="92" t="b">
        <v>1</v>
      </c>
      <c r="N100" s="93"/>
    </row>
    <row r="101" spans="1:14" ht="28" customHeight="1" x14ac:dyDescent="0.2">
      <c r="A101" s="88" t="s">
        <v>272</v>
      </c>
      <c r="B101" s="89"/>
      <c r="C101" s="90">
        <v>3</v>
      </c>
      <c r="D101" s="90">
        <v>1</v>
      </c>
      <c r="E101" s="90">
        <v>1</v>
      </c>
      <c r="F101" s="89" t="s">
        <v>163</v>
      </c>
      <c r="G101" s="89" t="s">
        <v>225</v>
      </c>
      <c r="H101" s="89"/>
      <c r="I101" s="89" t="s">
        <v>277</v>
      </c>
      <c r="J101" s="91" t="s">
        <v>161</v>
      </c>
      <c r="K101" s="89"/>
      <c r="L101" s="91" t="s">
        <v>162</v>
      </c>
      <c r="M101" s="92" t="b">
        <v>1</v>
      </c>
      <c r="N101" s="93"/>
    </row>
    <row r="102" spans="1:14" ht="28" customHeight="1" x14ac:dyDescent="0.2">
      <c r="A102" s="88" t="s">
        <v>272</v>
      </c>
      <c r="B102" s="89"/>
      <c r="C102" s="90">
        <v>3</v>
      </c>
      <c r="D102" s="90">
        <v>2</v>
      </c>
      <c r="E102" s="90">
        <v>2</v>
      </c>
      <c r="F102" s="89" t="s">
        <v>163</v>
      </c>
      <c r="G102" s="89" t="s">
        <v>227</v>
      </c>
      <c r="H102" s="89"/>
      <c r="I102" s="89"/>
      <c r="J102" s="91" t="s">
        <v>162</v>
      </c>
      <c r="K102" s="89"/>
      <c r="L102" s="91" t="s">
        <v>162</v>
      </c>
      <c r="M102" s="92" t="b">
        <v>1</v>
      </c>
      <c r="N102" s="93"/>
    </row>
    <row r="103" spans="1:14" ht="28" customHeight="1" x14ac:dyDescent="0.2">
      <c r="A103" s="88" t="s">
        <v>272</v>
      </c>
      <c r="B103" s="89"/>
      <c r="C103" s="90">
        <v>3</v>
      </c>
      <c r="D103" s="90">
        <v>3</v>
      </c>
      <c r="E103" s="90">
        <v>2</v>
      </c>
      <c r="F103" s="89" t="s">
        <v>163</v>
      </c>
      <c r="G103" s="89" t="s">
        <v>174</v>
      </c>
      <c r="H103" s="89"/>
      <c r="I103" s="89"/>
      <c r="J103" s="91" t="s">
        <v>162</v>
      </c>
      <c r="K103" s="89"/>
      <c r="L103" s="91" t="s">
        <v>162</v>
      </c>
      <c r="M103" s="92" t="b">
        <v>1</v>
      </c>
      <c r="N103" s="93"/>
    </row>
    <row r="104" spans="1:14" ht="28" customHeight="1" x14ac:dyDescent="0.2">
      <c r="A104" s="88" t="s">
        <v>272</v>
      </c>
      <c r="B104" s="89"/>
      <c r="C104" s="90">
        <v>3</v>
      </c>
      <c r="D104" s="90">
        <v>4</v>
      </c>
      <c r="E104" s="90">
        <v>2</v>
      </c>
      <c r="F104" s="89" t="s">
        <v>159</v>
      </c>
      <c r="G104" s="89" t="s">
        <v>116</v>
      </c>
      <c r="H104" s="89" t="s">
        <v>228</v>
      </c>
      <c r="I104" s="89"/>
      <c r="J104" s="91" t="s">
        <v>162</v>
      </c>
      <c r="K104" s="89" t="s">
        <v>177</v>
      </c>
      <c r="L104" s="91" t="s">
        <v>151</v>
      </c>
      <c r="M104" s="92" t="b">
        <v>1</v>
      </c>
      <c r="N104" s="93"/>
    </row>
    <row r="105" spans="1:14" ht="28" customHeight="1" x14ac:dyDescent="0.2">
      <c r="A105" s="88" t="s">
        <v>272</v>
      </c>
      <c r="B105" s="89"/>
      <c r="C105" s="90">
        <v>3</v>
      </c>
      <c r="D105" s="90">
        <v>5</v>
      </c>
      <c r="E105" s="90">
        <v>2</v>
      </c>
      <c r="F105" s="89" t="s">
        <v>163</v>
      </c>
      <c r="G105" s="89" t="s">
        <v>169</v>
      </c>
      <c r="H105" s="89"/>
      <c r="I105" s="89"/>
      <c r="J105" s="91" t="s">
        <v>162</v>
      </c>
      <c r="K105" s="89"/>
      <c r="L105" s="91" t="s">
        <v>162</v>
      </c>
      <c r="M105" s="92" t="b">
        <v>1</v>
      </c>
      <c r="N105" s="93"/>
    </row>
    <row r="106" spans="1:14" ht="28" customHeight="1" x14ac:dyDescent="0.2">
      <c r="A106" s="88" t="s">
        <v>272</v>
      </c>
      <c r="B106" s="89"/>
      <c r="C106" s="90">
        <v>3</v>
      </c>
      <c r="D106" s="90">
        <v>6</v>
      </c>
      <c r="E106" s="90">
        <v>2</v>
      </c>
      <c r="F106" s="89" t="s">
        <v>159</v>
      </c>
      <c r="G106" s="89" t="s">
        <v>113</v>
      </c>
      <c r="H106" s="89" t="s">
        <v>231</v>
      </c>
      <c r="I106" s="89" t="s">
        <v>232</v>
      </c>
      <c r="J106" s="91" t="s">
        <v>171</v>
      </c>
      <c r="K106" s="89" t="s">
        <v>233</v>
      </c>
      <c r="L106" s="91" t="s">
        <v>151</v>
      </c>
      <c r="M106" s="92" t="b">
        <v>1</v>
      </c>
      <c r="N106" s="93"/>
    </row>
    <row r="107" spans="1:14" ht="28" customHeight="1" x14ac:dyDescent="0.2">
      <c r="A107" s="88" t="s">
        <v>272</v>
      </c>
      <c r="B107" s="89"/>
      <c r="C107" s="90">
        <v>3</v>
      </c>
      <c r="D107" s="90">
        <v>7</v>
      </c>
      <c r="E107" s="90">
        <v>2</v>
      </c>
      <c r="F107" s="89" t="s">
        <v>159</v>
      </c>
      <c r="G107" s="89" t="s">
        <v>108</v>
      </c>
      <c r="H107" s="89" t="s">
        <v>234</v>
      </c>
      <c r="I107" s="89" t="s">
        <v>235</v>
      </c>
      <c r="J107" s="91" t="s">
        <v>171</v>
      </c>
      <c r="K107" s="89" t="s">
        <v>175</v>
      </c>
      <c r="L107" s="91" t="s">
        <v>151</v>
      </c>
      <c r="M107" s="92" t="b">
        <v>1</v>
      </c>
      <c r="N107" s="93"/>
    </row>
    <row r="108" spans="1:14" ht="28" customHeight="1" x14ac:dyDescent="0.2">
      <c r="A108" s="88" t="s">
        <v>272</v>
      </c>
      <c r="B108" s="89"/>
      <c r="C108" s="90">
        <v>3</v>
      </c>
      <c r="D108" s="90">
        <v>8</v>
      </c>
      <c r="E108" s="90">
        <v>2</v>
      </c>
      <c r="F108" s="89" t="s">
        <v>163</v>
      </c>
      <c r="G108" s="89" t="s">
        <v>196</v>
      </c>
      <c r="H108" s="89"/>
      <c r="I108" s="89"/>
      <c r="J108" s="91" t="s">
        <v>162</v>
      </c>
      <c r="K108" s="89"/>
      <c r="L108" s="91" t="s">
        <v>162</v>
      </c>
      <c r="M108" s="92" t="b">
        <v>1</v>
      </c>
      <c r="N108" s="93"/>
    </row>
    <row r="109" spans="1:14" ht="28" customHeight="1" x14ac:dyDescent="0.2">
      <c r="A109" s="88" t="s">
        <v>272</v>
      </c>
      <c r="B109" s="89"/>
      <c r="C109" s="90">
        <v>3</v>
      </c>
      <c r="D109" s="90">
        <v>9</v>
      </c>
      <c r="E109" s="90">
        <v>2</v>
      </c>
      <c r="F109" s="89" t="s">
        <v>159</v>
      </c>
      <c r="G109" s="89" t="s">
        <v>107</v>
      </c>
      <c r="H109" s="89"/>
      <c r="I109" s="89" t="s">
        <v>238</v>
      </c>
      <c r="J109" s="91" t="s">
        <v>171</v>
      </c>
      <c r="K109" s="89" t="s">
        <v>198</v>
      </c>
      <c r="L109" s="91" t="s">
        <v>151</v>
      </c>
      <c r="M109" s="92" t="b">
        <v>1</v>
      </c>
      <c r="N109" s="93"/>
    </row>
    <row r="110" spans="1:14" ht="28" customHeight="1" x14ac:dyDescent="0.2">
      <c r="A110" s="88" t="s">
        <v>179</v>
      </c>
      <c r="B110" s="89" t="s">
        <v>307</v>
      </c>
      <c r="C110" s="90">
        <v>1</v>
      </c>
      <c r="D110" s="90">
        <v>1</v>
      </c>
      <c r="E110" s="90">
        <v>1</v>
      </c>
      <c r="F110" s="89" t="s">
        <v>163</v>
      </c>
      <c r="G110" s="89" t="s">
        <v>160</v>
      </c>
      <c r="H110" s="89"/>
      <c r="I110" s="89" t="s">
        <v>278</v>
      </c>
      <c r="J110" s="91" t="s">
        <v>161</v>
      </c>
      <c r="K110" s="89"/>
      <c r="L110" s="91" t="s">
        <v>162</v>
      </c>
      <c r="M110" s="92" t="b">
        <v>1</v>
      </c>
      <c r="N110" s="93"/>
    </row>
    <row r="111" spans="1:14" ht="28" customHeight="1" x14ac:dyDescent="0.2">
      <c r="A111" s="88" t="s">
        <v>179</v>
      </c>
      <c r="B111" s="89"/>
      <c r="C111" s="90">
        <v>1</v>
      </c>
      <c r="D111" s="90">
        <v>2</v>
      </c>
      <c r="E111" s="90">
        <v>2</v>
      </c>
      <c r="F111" s="89" t="s">
        <v>163</v>
      </c>
      <c r="G111" s="89" t="s">
        <v>164</v>
      </c>
      <c r="H111" s="89"/>
      <c r="I111" s="89"/>
      <c r="J111" s="91" t="s">
        <v>162</v>
      </c>
      <c r="K111" s="89"/>
      <c r="L111" s="91" t="s">
        <v>162</v>
      </c>
      <c r="M111" s="92" t="b">
        <v>1</v>
      </c>
      <c r="N111" s="93"/>
    </row>
    <row r="112" spans="1:14" ht="28" customHeight="1" x14ac:dyDescent="0.2">
      <c r="A112" s="88" t="s">
        <v>179</v>
      </c>
      <c r="B112" s="89"/>
      <c r="C112" s="90">
        <v>1</v>
      </c>
      <c r="D112" s="90">
        <v>3</v>
      </c>
      <c r="E112" s="90">
        <v>2</v>
      </c>
      <c r="F112" s="89" t="s">
        <v>163</v>
      </c>
      <c r="G112" s="89" t="s">
        <v>262</v>
      </c>
      <c r="H112" s="89"/>
      <c r="I112" s="89"/>
      <c r="J112" s="91" t="s">
        <v>162</v>
      </c>
      <c r="K112" s="89"/>
      <c r="L112" s="91" t="s">
        <v>162</v>
      </c>
      <c r="M112" s="92" t="b">
        <v>1</v>
      </c>
      <c r="N112" s="93"/>
    </row>
    <row r="113" spans="1:14" ht="28" customHeight="1" x14ac:dyDescent="0.2">
      <c r="A113" s="88" t="s">
        <v>179</v>
      </c>
      <c r="B113" s="89"/>
      <c r="C113" s="90">
        <v>2</v>
      </c>
      <c r="D113" s="90">
        <v>1</v>
      </c>
      <c r="E113" s="90">
        <v>1</v>
      </c>
      <c r="F113" s="89" t="s">
        <v>163</v>
      </c>
      <c r="G113" s="89" t="s">
        <v>37</v>
      </c>
      <c r="H113" s="89"/>
      <c r="I113" s="89" t="s">
        <v>279</v>
      </c>
      <c r="J113" s="91" t="s">
        <v>161</v>
      </c>
      <c r="K113" s="89" t="s">
        <v>165</v>
      </c>
      <c r="L113" s="91" t="s">
        <v>151</v>
      </c>
      <c r="M113" s="92" t="b">
        <v>1</v>
      </c>
      <c r="N113" s="93"/>
    </row>
    <row r="114" spans="1:14" ht="28" customHeight="1" x14ac:dyDescent="0.2">
      <c r="A114" s="88" t="s">
        <v>179</v>
      </c>
      <c r="B114" s="89"/>
      <c r="C114" s="90">
        <v>2</v>
      </c>
      <c r="D114" s="90">
        <v>2</v>
      </c>
      <c r="E114" s="90">
        <v>2</v>
      </c>
      <c r="F114" s="89" t="s">
        <v>163</v>
      </c>
      <c r="G114" s="89" t="s">
        <v>166</v>
      </c>
      <c r="H114" s="89"/>
      <c r="I114" s="89"/>
      <c r="J114" s="91" t="s">
        <v>162</v>
      </c>
      <c r="K114" s="89"/>
      <c r="L114" s="91" t="s">
        <v>162</v>
      </c>
      <c r="M114" s="92" t="b">
        <v>1</v>
      </c>
      <c r="N114" s="93"/>
    </row>
    <row r="115" spans="1:14" ht="28" customHeight="1" x14ac:dyDescent="0.2">
      <c r="A115" s="88" t="s">
        <v>179</v>
      </c>
      <c r="B115" s="89"/>
      <c r="C115" s="90">
        <v>2</v>
      </c>
      <c r="D115" s="90">
        <v>3</v>
      </c>
      <c r="E115" s="90">
        <v>2</v>
      </c>
      <c r="F115" s="89" t="s">
        <v>163</v>
      </c>
      <c r="G115" s="89" t="s">
        <v>167</v>
      </c>
      <c r="H115" s="89"/>
      <c r="I115" s="89"/>
      <c r="J115" s="91" t="s">
        <v>162</v>
      </c>
      <c r="K115" s="89"/>
      <c r="L115" s="91" t="s">
        <v>162</v>
      </c>
      <c r="M115" s="92" t="b">
        <v>1</v>
      </c>
      <c r="N115" s="93"/>
    </row>
    <row r="116" spans="1:14" ht="28" customHeight="1" x14ac:dyDescent="0.2">
      <c r="A116" s="88" t="s">
        <v>179</v>
      </c>
      <c r="B116" s="89"/>
      <c r="C116" s="90">
        <v>3</v>
      </c>
      <c r="D116" s="90">
        <v>1</v>
      </c>
      <c r="E116" s="90">
        <v>1</v>
      </c>
      <c r="F116" s="89" t="s">
        <v>163</v>
      </c>
      <c r="G116" s="89" t="s">
        <v>38</v>
      </c>
      <c r="H116" s="89"/>
      <c r="I116" s="89" t="s">
        <v>264</v>
      </c>
      <c r="J116" s="91" t="s">
        <v>161</v>
      </c>
      <c r="K116" s="89" t="s">
        <v>168</v>
      </c>
      <c r="L116" s="91" t="s">
        <v>151</v>
      </c>
      <c r="M116" s="92" t="b">
        <v>1</v>
      </c>
      <c r="N116" s="93"/>
    </row>
    <row r="117" spans="1:14" ht="28" customHeight="1" x14ac:dyDescent="0.2">
      <c r="A117" s="88" t="s">
        <v>179</v>
      </c>
      <c r="B117" s="89"/>
      <c r="C117" s="90">
        <v>3</v>
      </c>
      <c r="D117" s="90">
        <v>2</v>
      </c>
      <c r="E117" s="90">
        <v>2</v>
      </c>
      <c r="F117" s="89" t="s">
        <v>163</v>
      </c>
      <c r="G117" s="89" t="s">
        <v>280</v>
      </c>
      <c r="H117" s="89"/>
      <c r="I117" s="89"/>
      <c r="J117" s="91" t="s">
        <v>162</v>
      </c>
      <c r="K117" s="89"/>
      <c r="L117" s="91" t="s">
        <v>162</v>
      </c>
      <c r="M117" s="92" t="b">
        <v>1</v>
      </c>
      <c r="N117" s="93"/>
    </row>
    <row r="118" spans="1:14" ht="28" customHeight="1" x14ac:dyDescent="0.2">
      <c r="A118" s="88" t="s">
        <v>281</v>
      </c>
      <c r="B118" s="89" t="s">
        <v>308</v>
      </c>
      <c r="C118" s="90">
        <v>1</v>
      </c>
      <c r="D118" s="90">
        <v>1</v>
      </c>
      <c r="E118" s="90">
        <v>1</v>
      </c>
      <c r="F118" s="89" t="s">
        <v>163</v>
      </c>
      <c r="G118" s="89" t="s">
        <v>160</v>
      </c>
      <c r="H118" s="89"/>
      <c r="I118" s="89" t="s">
        <v>282</v>
      </c>
      <c r="J118" s="91" t="s">
        <v>161</v>
      </c>
      <c r="K118" s="89"/>
      <c r="L118" s="91" t="s">
        <v>162</v>
      </c>
      <c r="M118" s="92" t="b">
        <v>1</v>
      </c>
      <c r="N118" s="93"/>
    </row>
    <row r="119" spans="1:14" ht="28" customHeight="1" x14ac:dyDescent="0.2">
      <c r="A119" s="88" t="s">
        <v>281</v>
      </c>
      <c r="B119" s="89"/>
      <c r="C119" s="90">
        <v>1</v>
      </c>
      <c r="D119" s="90">
        <v>2</v>
      </c>
      <c r="E119" s="90">
        <v>2</v>
      </c>
      <c r="F119" s="89" t="s">
        <v>163</v>
      </c>
      <c r="G119" s="89" t="s">
        <v>244</v>
      </c>
      <c r="H119" s="89"/>
      <c r="I119" s="89"/>
      <c r="J119" s="91" t="s">
        <v>162</v>
      </c>
      <c r="K119" s="89"/>
      <c r="L119" s="91" t="s">
        <v>162</v>
      </c>
      <c r="M119" s="92" t="b">
        <v>1</v>
      </c>
      <c r="N119" s="93"/>
    </row>
    <row r="120" spans="1:14" ht="28" customHeight="1" x14ac:dyDescent="0.2">
      <c r="A120" s="88" t="s">
        <v>281</v>
      </c>
      <c r="B120" s="89"/>
      <c r="C120" s="90">
        <v>1</v>
      </c>
      <c r="D120" s="90">
        <v>3</v>
      </c>
      <c r="E120" s="90">
        <v>2</v>
      </c>
      <c r="F120" s="89" t="s">
        <v>163</v>
      </c>
      <c r="G120" s="89" t="s">
        <v>283</v>
      </c>
      <c r="H120" s="89"/>
      <c r="I120" s="89"/>
      <c r="J120" s="91" t="s">
        <v>162</v>
      </c>
      <c r="K120" s="89"/>
      <c r="L120" s="91" t="s">
        <v>162</v>
      </c>
      <c r="M120" s="92" t="b">
        <v>1</v>
      </c>
      <c r="N120" s="93"/>
    </row>
    <row r="121" spans="1:14" ht="28" customHeight="1" x14ac:dyDescent="0.2">
      <c r="A121" s="88" t="s">
        <v>281</v>
      </c>
      <c r="B121" s="89"/>
      <c r="C121" s="90">
        <v>1</v>
      </c>
      <c r="D121" s="90">
        <v>4</v>
      </c>
      <c r="E121" s="90">
        <v>2</v>
      </c>
      <c r="F121" s="89" t="s">
        <v>163</v>
      </c>
      <c r="G121" s="89" t="s">
        <v>284</v>
      </c>
      <c r="H121" s="89"/>
      <c r="I121" s="89"/>
      <c r="J121" s="91" t="s">
        <v>162</v>
      </c>
      <c r="K121" s="89"/>
      <c r="L121" s="91" t="s">
        <v>162</v>
      </c>
      <c r="M121" s="92" t="b">
        <v>1</v>
      </c>
      <c r="N121" s="93"/>
    </row>
    <row r="122" spans="1:14" ht="28" customHeight="1" x14ac:dyDescent="0.2">
      <c r="A122" s="88" t="s">
        <v>281</v>
      </c>
      <c r="B122" s="89"/>
      <c r="C122" s="90">
        <v>1</v>
      </c>
      <c r="D122" s="90">
        <v>5</v>
      </c>
      <c r="E122" s="90">
        <v>2</v>
      </c>
      <c r="F122" s="89" t="s">
        <v>163</v>
      </c>
      <c r="G122" s="89" t="s">
        <v>285</v>
      </c>
      <c r="H122" s="89"/>
      <c r="I122" s="89"/>
      <c r="J122" s="91" t="s">
        <v>162</v>
      </c>
      <c r="K122" s="89"/>
      <c r="L122" s="91" t="s">
        <v>162</v>
      </c>
      <c r="M122" s="92" t="b">
        <v>1</v>
      </c>
      <c r="N122" s="93"/>
    </row>
    <row r="123" spans="1:14" ht="28" customHeight="1" x14ac:dyDescent="0.2">
      <c r="A123" s="88" t="s">
        <v>281</v>
      </c>
      <c r="B123" s="89"/>
      <c r="C123" s="90">
        <v>2</v>
      </c>
      <c r="D123" s="90">
        <v>1</v>
      </c>
      <c r="E123" s="90">
        <v>1</v>
      </c>
      <c r="F123" s="89" t="s">
        <v>163</v>
      </c>
      <c r="G123" s="89" t="s">
        <v>73</v>
      </c>
      <c r="H123" s="89"/>
      <c r="I123" s="89" t="s">
        <v>286</v>
      </c>
      <c r="J123" s="91" t="s">
        <v>161</v>
      </c>
      <c r="K123" s="89" t="s">
        <v>192</v>
      </c>
      <c r="L123" s="91" t="s">
        <v>151</v>
      </c>
      <c r="M123" s="92" t="b">
        <v>1</v>
      </c>
      <c r="N123" s="93"/>
    </row>
    <row r="124" spans="1:14" ht="28" customHeight="1" x14ac:dyDescent="0.2">
      <c r="A124" s="88" t="s">
        <v>281</v>
      </c>
      <c r="B124" s="89"/>
      <c r="C124" s="90">
        <v>2</v>
      </c>
      <c r="D124" s="90">
        <v>2</v>
      </c>
      <c r="E124" s="90">
        <v>2</v>
      </c>
      <c r="F124" s="89" t="s">
        <v>163</v>
      </c>
      <c r="G124" s="89" t="s">
        <v>287</v>
      </c>
      <c r="H124" s="89"/>
      <c r="I124" s="89" t="s">
        <v>288</v>
      </c>
      <c r="J124" s="91" t="s">
        <v>171</v>
      </c>
      <c r="K124" s="89"/>
      <c r="L124" s="91" t="s">
        <v>162</v>
      </c>
      <c r="M124" s="92" t="b">
        <v>1</v>
      </c>
      <c r="N124" s="93"/>
    </row>
    <row r="125" spans="1:14" ht="28" customHeight="1" x14ac:dyDescent="0.2">
      <c r="A125" s="88" t="s">
        <v>281</v>
      </c>
      <c r="B125" s="89"/>
      <c r="C125" s="90">
        <v>2</v>
      </c>
      <c r="D125" s="90">
        <v>3</v>
      </c>
      <c r="E125" s="90">
        <v>2</v>
      </c>
      <c r="F125" s="89" t="s">
        <v>163</v>
      </c>
      <c r="G125" s="89" t="s">
        <v>283</v>
      </c>
      <c r="H125" s="89"/>
      <c r="I125" s="89"/>
      <c r="J125" s="91" t="s">
        <v>162</v>
      </c>
      <c r="K125" s="89"/>
      <c r="L125" s="91" t="s">
        <v>162</v>
      </c>
      <c r="M125" s="92" t="b">
        <v>1</v>
      </c>
      <c r="N125" s="93"/>
    </row>
    <row r="126" spans="1:14" ht="28" customHeight="1" x14ac:dyDescent="0.2">
      <c r="A126" s="88" t="s">
        <v>281</v>
      </c>
      <c r="B126" s="89"/>
      <c r="C126" s="90">
        <v>2</v>
      </c>
      <c r="D126" s="90">
        <v>4</v>
      </c>
      <c r="E126" s="90">
        <v>2</v>
      </c>
      <c r="F126" s="89" t="s">
        <v>163</v>
      </c>
      <c r="G126" s="89" t="s">
        <v>289</v>
      </c>
      <c r="H126" s="89"/>
      <c r="I126" s="89"/>
      <c r="J126" s="91" t="s">
        <v>162</v>
      </c>
      <c r="K126" s="89"/>
      <c r="L126" s="91" t="s">
        <v>162</v>
      </c>
      <c r="M126" s="92" t="b">
        <v>1</v>
      </c>
      <c r="N126" s="93"/>
    </row>
    <row r="127" spans="1:14" ht="28" customHeight="1" x14ac:dyDescent="0.2">
      <c r="A127" s="88" t="s">
        <v>281</v>
      </c>
      <c r="B127" s="89"/>
      <c r="C127" s="90">
        <v>3</v>
      </c>
      <c r="D127" s="90">
        <v>1</v>
      </c>
      <c r="E127" s="90">
        <v>1</v>
      </c>
      <c r="F127" s="89" t="s">
        <v>163</v>
      </c>
      <c r="G127" s="89" t="s">
        <v>74</v>
      </c>
      <c r="H127" s="89"/>
      <c r="I127" s="89" t="s">
        <v>290</v>
      </c>
      <c r="J127" s="91" t="s">
        <v>161</v>
      </c>
      <c r="K127" s="89" t="s">
        <v>172</v>
      </c>
      <c r="L127" s="91" t="s">
        <v>151</v>
      </c>
      <c r="M127" s="92" t="b">
        <v>1</v>
      </c>
      <c r="N127" s="93"/>
    </row>
    <row r="128" spans="1:14" ht="28" customHeight="1" x14ac:dyDescent="0.2">
      <c r="A128" s="88" t="s">
        <v>281</v>
      </c>
      <c r="B128" s="89"/>
      <c r="C128" s="90">
        <v>3</v>
      </c>
      <c r="D128" s="90">
        <v>2</v>
      </c>
      <c r="E128" s="90">
        <v>2</v>
      </c>
      <c r="F128" s="89" t="s">
        <v>163</v>
      </c>
      <c r="G128" s="89" t="s">
        <v>291</v>
      </c>
      <c r="H128" s="89"/>
      <c r="I128" s="89" t="s">
        <v>292</v>
      </c>
      <c r="J128" s="91" t="s">
        <v>171</v>
      </c>
      <c r="K128" s="89"/>
      <c r="L128" s="91" t="s">
        <v>162</v>
      </c>
      <c r="M128" s="92" t="b">
        <v>1</v>
      </c>
      <c r="N128" s="93"/>
    </row>
    <row r="129" spans="1:14" ht="28" customHeight="1" x14ac:dyDescent="0.2">
      <c r="A129" s="88" t="s">
        <v>281</v>
      </c>
      <c r="B129" s="89"/>
      <c r="C129" s="90">
        <v>3</v>
      </c>
      <c r="D129" s="90">
        <v>3</v>
      </c>
      <c r="E129" s="90">
        <v>2</v>
      </c>
      <c r="F129" s="89" t="s">
        <v>163</v>
      </c>
      <c r="G129" s="89" t="s">
        <v>293</v>
      </c>
      <c r="H129" s="89"/>
      <c r="I129" s="89"/>
      <c r="J129" s="91" t="s">
        <v>162</v>
      </c>
      <c r="K129" s="89"/>
      <c r="L129" s="91" t="s">
        <v>162</v>
      </c>
      <c r="M129" s="92" t="b">
        <v>1</v>
      </c>
      <c r="N129" s="93"/>
    </row>
    <row r="130" spans="1:14" ht="28" customHeight="1" x14ac:dyDescent="0.2">
      <c r="A130" s="88" t="s">
        <v>281</v>
      </c>
      <c r="B130" s="89"/>
      <c r="C130" s="90">
        <v>3</v>
      </c>
      <c r="D130" s="90">
        <v>4</v>
      </c>
      <c r="E130" s="90">
        <v>2</v>
      </c>
      <c r="F130" s="89" t="s">
        <v>163</v>
      </c>
      <c r="G130" s="89" t="s">
        <v>289</v>
      </c>
      <c r="H130" s="89"/>
      <c r="I130" s="89"/>
      <c r="J130" s="91" t="s">
        <v>162</v>
      </c>
      <c r="K130" s="89"/>
      <c r="L130" s="91" t="s">
        <v>162</v>
      </c>
      <c r="M130" s="92" t="b">
        <v>1</v>
      </c>
      <c r="N130" s="93"/>
    </row>
    <row r="131" spans="1:14" ht="28" customHeight="1" x14ac:dyDescent="0.2">
      <c r="A131" s="88" t="s">
        <v>281</v>
      </c>
      <c r="B131" s="89"/>
      <c r="C131" s="90">
        <v>4</v>
      </c>
      <c r="D131" s="90">
        <v>1</v>
      </c>
      <c r="E131" s="90">
        <v>1</v>
      </c>
      <c r="F131" s="89" t="s">
        <v>163</v>
      </c>
      <c r="G131" s="89" t="s">
        <v>75</v>
      </c>
      <c r="H131" s="89"/>
      <c r="I131" s="89" t="s">
        <v>294</v>
      </c>
      <c r="J131" s="91" t="s">
        <v>161</v>
      </c>
      <c r="K131" s="89" t="s">
        <v>189</v>
      </c>
      <c r="L131" s="91" t="s">
        <v>151</v>
      </c>
      <c r="M131" s="92" t="b">
        <v>1</v>
      </c>
      <c r="N131" s="93"/>
    </row>
    <row r="132" spans="1:14" ht="28" customHeight="1" x14ac:dyDescent="0.2">
      <c r="A132" s="88" t="s">
        <v>281</v>
      </c>
      <c r="B132" s="89"/>
      <c r="C132" s="90">
        <v>4</v>
      </c>
      <c r="D132" s="90">
        <v>2</v>
      </c>
      <c r="E132" s="90">
        <v>2</v>
      </c>
      <c r="F132" s="89" t="s">
        <v>163</v>
      </c>
      <c r="G132" s="89" t="s">
        <v>295</v>
      </c>
      <c r="H132" s="89"/>
      <c r="I132" s="89" t="s">
        <v>292</v>
      </c>
      <c r="J132" s="91" t="s">
        <v>171</v>
      </c>
      <c r="K132" s="89"/>
      <c r="L132" s="91" t="s">
        <v>162</v>
      </c>
      <c r="M132" s="92" t="b">
        <v>1</v>
      </c>
      <c r="N132" s="93"/>
    </row>
    <row r="133" spans="1:14" ht="28" customHeight="1" x14ac:dyDescent="0.2">
      <c r="A133" s="88" t="s">
        <v>281</v>
      </c>
      <c r="B133" s="89"/>
      <c r="C133" s="90">
        <v>4</v>
      </c>
      <c r="D133" s="90">
        <v>3</v>
      </c>
      <c r="E133" s="90">
        <v>2</v>
      </c>
      <c r="F133" s="89" t="s">
        <v>163</v>
      </c>
      <c r="G133" s="89" t="s">
        <v>296</v>
      </c>
      <c r="H133" s="89"/>
      <c r="I133" s="89"/>
      <c r="J133" s="91" t="s">
        <v>162</v>
      </c>
      <c r="K133" s="89"/>
      <c r="L133" s="91" t="s">
        <v>162</v>
      </c>
      <c r="M133" s="92" t="b">
        <v>1</v>
      </c>
      <c r="N133" s="93"/>
    </row>
    <row r="134" spans="1:14" ht="28" customHeight="1" x14ac:dyDescent="0.2">
      <c r="A134" s="94" t="s">
        <v>281</v>
      </c>
      <c r="B134" s="95"/>
      <c r="C134" s="96">
        <v>4</v>
      </c>
      <c r="D134" s="96">
        <v>4</v>
      </c>
      <c r="E134" s="96">
        <v>2</v>
      </c>
      <c r="F134" s="95" t="s">
        <v>163</v>
      </c>
      <c r="G134" s="95" t="s">
        <v>297</v>
      </c>
      <c r="H134" s="95"/>
      <c r="I134" s="95"/>
      <c r="J134" s="97" t="s">
        <v>162</v>
      </c>
      <c r="K134" s="95"/>
      <c r="L134" s="97" t="s">
        <v>162</v>
      </c>
      <c r="M134" s="98" t="b">
        <v>1</v>
      </c>
      <c r="N134" s="99"/>
    </row>
  </sheetData>
  <phoneticPr fontId="26" type="noConversion"/>
  <conditionalFormatting sqref="J2:J99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8">
    <dataValidation type="list" sqref="M2:M134" xr:uid="{392C13D2-E0B4-0546-ABFF-03665BADD5F8}">
      <formula1>"TRUE,FALSE"</formula1>
    </dataValidation>
    <dataValidation type="list" sqref="L2:L99" xr:uid="{4C582FB9-8C4E-EC4F-B2E8-54591D0DA642}">
      <formula1>"none,label,data,row"</formula1>
    </dataValidation>
    <dataValidation type="list" sqref="J2:J99" xr:uid="{A88258DA-E338-9F47-A989-373AA3314F04}">
      <formula1>"normal,plan,available,shortage"</formula1>
    </dataValidation>
    <dataValidation type="list" sqref="F2:F99" xr:uid="{004C193A-F839-444C-805E-E05113404E26}">
      <formula1>"text,label-data"</formula1>
    </dataValidation>
    <dataValidation type="whole" sqref="E2:E134" xr:uid="{30631BBC-0369-034A-85AD-D6132EDDF154}">
      <formula1>1</formula1>
      <formula2>2</formula2>
    </dataValidation>
    <dataValidation type="list" sqref="L2:L134" xr:uid="{C4C3FEF5-BEE0-F94E-8CF2-7ADD9E355503}">
      <formula1>"none,label,data,highlight,all"</formula1>
    </dataValidation>
    <dataValidation type="list" sqref="J2:J134" xr:uid="{8DB65C8D-1C04-7441-BDCF-3601349FF1BA}">
      <formula1>"none,plan,available,avai,shortage"</formula1>
    </dataValidation>
    <dataValidation type="list" sqref="F2:F134" xr:uid="{2AA6AFB4-1C34-C14F-A238-301953C47CF5}">
      <formula1>"text,text-inline,label-data,grid-item"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4" workbookViewId="0">
      <selection activeCell="I28" sqref="I2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152</v>
      </c>
      <c r="H2" s="8">
        <v>151</v>
      </c>
      <c r="I2" s="8">
        <v>150</v>
      </c>
      <c r="J2" s="8">
        <v>150</v>
      </c>
      <c r="K2" s="8">
        <v>150</v>
      </c>
      <c r="L2" s="8">
        <v>150</v>
      </c>
      <c r="M2" s="8">
        <v>150</v>
      </c>
      <c r="N2" s="8">
        <v>150</v>
      </c>
      <c r="O2" s="8">
        <v>150</v>
      </c>
      <c r="P2" s="8">
        <v>150</v>
      </c>
      <c r="Q2" s="8">
        <v>150</v>
      </c>
    </row>
    <row r="3" spans="1:17" x14ac:dyDescent="0.2">
      <c r="A3" s="12" t="s">
        <v>22</v>
      </c>
      <c r="B3" s="9" t="s">
        <v>17</v>
      </c>
      <c r="C3" s="8">
        <v>150</v>
      </c>
      <c r="D3" s="8">
        <v>150</v>
      </c>
      <c r="E3" s="8">
        <v>150</v>
      </c>
      <c r="F3" s="8">
        <v>150</v>
      </c>
      <c r="G3" s="8">
        <v>150</v>
      </c>
      <c r="H3" s="8">
        <v>150</v>
      </c>
      <c r="I3" s="8">
        <v>150</v>
      </c>
      <c r="J3" s="8">
        <v>150</v>
      </c>
      <c r="K3" s="8">
        <v>150</v>
      </c>
      <c r="L3" s="8">
        <v>150</v>
      </c>
      <c r="M3" s="8">
        <v>150</v>
      </c>
      <c r="N3" s="8">
        <v>150</v>
      </c>
      <c r="O3" s="8">
        <v>150</v>
      </c>
      <c r="P3" s="8">
        <v>150</v>
      </c>
      <c r="Q3" s="8">
        <v>150</v>
      </c>
    </row>
    <row r="4" spans="1:17" x14ac:dyDescent="0.2">
      <c r="A4" s="13" t="s">
        <v>22</v>
      </c>
      <c r="B4" s="10" t="s">
        <v>18</v>
      </c>
      <c r="C4" s="8">
        <v>130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131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0.88139999999999996</v>
      </c>
      <c r="D6" s="19">
        <v>0.93569999999999998</v>
      </c>
      <c r="E6" s="19">
        <v>0.95509999999999995</v>
      </c>
      <c r="F6" s="19">
        <v>0.94579999999999997</v>
      </c>
      <c r="G6" s="19">
        <v>0.96530000000000005</v>
      </c>
      <c r="H6" s="19">
        <v>0.95079999999999998</v>
      </c>
      <c r="I6" s="19">
        <v>0.95050000000000001</v>
      </c>
      <c r="J6" s="19">
        <v>0.93310000000000004</v>
      </c>
      <c r="K6" s="19">
        <v>0.92679999999999996</v>
      </c>
      <c r="L6" s="19">
        <v>0.88319999999999999</v>
      </c>
      <c r="M6" s="19">
        <v>0.87150000000000005</v>
      </c>
      <c r="N6" s="19">
        <v>0.86650000000000005</v>
      </c>
      <c r="O6" s="19">
        <v>0.6976</v>
      </c>
      <c r="P6" s="19">
        <v>0.6956</v>
      </c>
      <c r="Q6" s="19">
        <v>0.6956</v>
      </c>
    </row>
    <row r="7" spans="1:17" x14ac:dyDescent="0.2">
      <c r="A7" s="17"/>
      <c r="B7" s="18" t="s">
        <v>24</v>
      </c>
      <c r="C7" s="20">
        <v>18</v>
      </c>
      <c r="D7" s="20">
        <v>10</v>
      </c>
      <c r="E7" s="20">
        <v>7</v>
      </c>
      <c r="F7" s="20">
        <v>8</v>
      </c>
      <c r="G7" s="20">
        <v>5</v>
      </c>
      <c r="H7" s="20">
        <v>7</v>
      </c>
      <c r="I7" s="20">
        <v>7</v>
      </c>
      <c r="J7" s="20">
        <v>10</v>
      </c>
      <c r="K7" s="20">
        <v>11</v>
      </c>
      <c r="L7" s="20">
        <v>18</v>
      </c>
      <c r="M7" s="20">
        <v>19</v>
      </c>
      <c r="N7" s="20">
        <v>20</v>
      </c>
      <c r="O7" s="20">
        <v>45</v>
      </c>
      <c r="P7" s="20">
        <v>46</v>
      </c>
      <c r="Q7" s="20">
        <v>46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119</v>
      </c>
      <c r="H9" s="8">
        <v>118</v>
      </c>
      <c r="I9" s="8">
        <v>117</v>
      </c>
      <c r="J9" s="8">
        <v>117</v>
      </c>
      <c r="K9" s="8">
        <v>117</v>
      </c>
      <c r="L9" s="8">
        <v>117</v>
      </c>
      <c r="M9" s="8">
        <v>117</v>
      </c>
      <c r="N9" s="8">
        <v>117</v>
      </c>
      <c r="O9" s="8">
        <v>117</v>
      </c>
      <c r="P9" s="8">
        <v>117</v>
      </c>
      <c r="Q9" s="8">
        <v>117</v>
      </c>
    </row>
    <row r="10" spans="1:17" x14ac:dyDescent="0.2">
      <c r="A10" s="9" t="s">
        <v>17</v>
      </c>
      <c r="B10" s="12" t="s">
        <v>19</v>
      </c>
      <c r="C10" s="8">
        <v>118</v>
      </c>
      <c r="D10" s="8">
        <v>118</v>
      </c>
      <c r="E10" s="8">
        <v>118</v>
      </c>
      <c r="F10" s="8">
        <v>117</v>
      </c>
      <c r="G10" s="8">
        <v>117</v>
      </c>
      <c r="H10" s="8">
        <v>117</v>
      </c>
      <c r="I10" s="8">
        <v>117</v>
      </c>
      <c r="J10" s="8">
        <v>117</v>
      </c>
      <c r="K10" s="8">
        <v>117</v>
      </c>
      <c r="L10" s="8">
        <v>117</v>
      </c>
      <c r="M10" s="8">
        <v>117</v>
      </c>
      <c r="N10" s="8">
        <v>117</v>
      </c>
      <c r="O10" s="8">
        <v>117</v>
      </c>
      <c r="P10" s="8">
        <v>117</v>
      </c>
      <c r="Q10" s="8">
        <v>117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106</v>
      </c>
      <c r="K11" s="8">
        <v>104</v>
      </c>
      <c r="L11" s="8">
        <v>101</v>
      </c>
      <c r="M11" s="8">
        <v>99</v>
      </c>
      <c r="N11" s="8">
        <v>99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19</v>
      </c>
      <c r="J15" s="8">
        <v>19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70">
        <v>11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  <c r="G23" s="70">
        <v>132.74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137</v>
      </c>
      <c r="D34" s="21">
        <v>144</v>
      </c>
      <c r="E34" s="21">
        <v>141</v>
      </c>
      <c r="F34" s="21">
        <v>131</v>
      </c>
      <c r="G34" s="21">
        <v>104</v>
      </c>
      <c r="H34" s="21"/>
    </row>
    <row r="35" spans="1:8" x14ac:dyDescent="0.2">
      <c r="A35" s="17"/>
      <c r="B35" s="8"/>
      <c r="C35" s="27">
        <v>7.5899999999999995E-2</v>
      </c>
      <c r="D35" s="28">
        <v>4.5999999999999999E-2</v>
      </c>
      <c r="E35" s="28">
        <v>6.3200000000000006E-2</v>
      </c>
      <c r="F35" s="28">
        <v>0.1263</v>
      </c>
      <c r="G35" s="28">
        <v>0.30370000000000003</v>
      </c>
      <c r="H35" s="8"/>
    </row>
    <row r="36" spans="1:8" x14ac:dyDescent="0.2">
      <c r="A36" s="8"/>
      <c r="B36" s="18" t="s">
        <v>23</v>
      </c>
      <c r="C36" s="29">
        <v>0.92410000000000003</v>
      </c>
      <c r="D36" s="19">
        <v>0.95399999999999996</v>
      </c>
      <c r="E36" s="19">
        <v>0.93679999999999997</v>
      </c>
      <c r="F36" s="19">
        <v>0.87380000000000002</v>
      </c>
      <c r="G36" s="19">
        <v>0.69630000000000003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106</v>
      </c>
      <c r="F41" s="21">
        <v>100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19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B6" sqref="B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130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131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106</v>
      </c>
      <c r="J5">
        <f>IF(ALL!K11&gt;0,ALL!K11,"")</f>
        <v>104</v>
      </c>
      <c r="K5">
        <f>IF(ALL!L11&gt;0,ALL!L11,"")</f>
        <v>101</v>
      </c>
      <c r="L5">
        <f>IF(ALL!M11&gt;0,ALL!M11,"")</f>
        <v>99</v>
      </c>
      <c r="M5">
        <f>IF(ALL!N11&gt;0,ALL!N11,"")</f>
        <v>99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19</v>
      </c>
      <c r="I6">
        <f>IF(ALL!J15&gt;0,ALL!J15,"")</f>
        <v>19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106</v>
      </c>
      <c r="J14">
        <f>IF(ALL!K11&gt;0,ALL!K11,"")</f>
        <v>104</v>
      </c>
      <c r="K14">
        <f>IF(ALL!L11&gt;0,ALL!L11,"")</f>
        <v>101</v>
      </c>
      <c r="L14">
        <f>IF(ALL!M11&gt;0,ALL!M11,"")</f>
        <v>99</v>
      </c>
      <c r="M14">
        <f>IF(ALL!N11&gt;0,ALL!N11,"")</f>
        <v>99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19</v>
      </c>
      <c r="I24">
        <f>IF(ALL!J15&gt;0,ALL!J15,"")</f>
        <v>19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137</v>
      </c>
      <c r="C44">
        <f>IF(ALL!D34&gt;0,ALL!D34,"")</f>
        <v>144</v>
      </c>
      <c r="D44">
        <f>IF(ALL!E34&gt;0,ALL!E34,"")</f>
        <v>141</v>
      </c>
      <c r="E44">
        <f>IF(ALL!F34&gt;0,ALL!F34,"")</f>
        <v>131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106</v>
      </c>
      <c r="E45">
        <f>IF(ALL!F41&gt;0,ALL!F41,"")</f>
        <v>100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19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88.14</v>
      </c>
      <c r="C152">
        <f>ALL!D6*100</f>
        <v>93.57</v>
      </c>
      <c r="D152">
        <f>ALL!E6*100</f>
        <v>95.509999999999991</v>
      </c>
      <c r="E152">
        <f>ALL!F6*100</f>
        <v>94.58</v>
      </c>
      <c r="F152">
        <f>ALL!G6*100</f>
        <v>96.53</v>
      </c>
      <c r="G152">
        <f>ALL!H6*100</f>
        <v>95.08</v>
      </c>
      <c r="H152">
        <f>ALL!I6*100</f>
        <v>95.05</v>
      </c>
      <c r="I152">
        <f>ALL!J6*100</f>
        <v>93.31</v>
      </c>
      <c r="J152">
        <f>ALL!K6*100</f>
        <v>92.679999999999993</v>
      </c>
      <c r="K152">
        <f>ALL!L6*100</f>
        <v>88.32</v>
      </c>
      <c r="L152">
        <f>ALL!M6*100</f>
        <v>87.15</v>
      </c>
      <c r="M152">
        <f>ALL!N6*100</f>
        <v>86.65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18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19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92.41</v>
      </c>
      <c r="C156">
        <f>ALL!D36*100</f>
        <v>95.399999999999991</v>
      </c>
      <c r="D156">
        <f>ALL!E36*100</f>
        <v>93.679999999999993</v>
      </c>
      <c r="E156">
        <f>ALL!F36*100</f>
        <v>87.38</v>
      </c>
      <c r="F156">
        <f>ALL!G36*100</f>
        <v>69.63000000000001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131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topLeftCell="A45" workbookViewId="0">
      <selection activeCell="H23" sqref="H2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106</v>
      </c>
      <c r="D2" s="8">
        <v>108</v>
      </c>
      <c r="E2" s="8">
        <v>109</v>
      </c>
      <c r="F2" s="8">
        <v>111</v>
      </c>
      <c r="G2" s="8">
        <v>112</v>
      </c>
      <c r="H2" s="8">
        <v>111</v>
      </c>
      <c r="I2" s="8">
        <v>111</v>
      </c>
      <c r="J2" s="8">
        <v>111</v>
      </c>
      <c r="K2" s="8">
        <v>111</v>
      </c>
      <c r="L2" s="8">
        <v>111</v>
      </c>
      <c r="M2" s="8">
        <v>111</v>
      </c>
      <c r="N2" s="8">
        <v>111</v>
      </c>
      <c r="O2" s="8">
        <v>111</v>
      </c>
      <c r="P2" s="8">
        <v>111</v>
      </c>
      <c r="Q2" s="8">
        <v>111</v>
      </c>
    </row>
    <row r="3" spans="1:17" x14ac:dyDescent="0.2">
      <c r="A3" s="12" t="s">
        <v>22</v>
      </c>
      <c r="B3" s="9" t="s">
        <v>17</v>
      </c>
      <c r="C3" s="8">
        <v>110</v>
      </c>
      <c r="D3" s="8">
        <v>110</v>
      </c>
      <c r="E3" s="8">
        <v>110</v>
      </c>
      <c r="F3" s="8">
        <v>110</v>
      </c>
      <c r="G3" s="8">
        <v>110</v>
      </c>
      <c r="H3" s="8">
        <v>110</v>
      </c>
      <c r="I3" s="8">
        <v>110</v>
      </c>
      <c r="J3" s="8">
        <v>110</v>
      </c>
      <c r="K3" s="8">
        <v>110</v>
      </c>
      <c r="L3" s="8">
        <v>110</v>
      </c>
      <c r="M3" s="8">
        <v>110</v>
      </c>
      <c r="N3" s="8">
        <v>110</v>
      </c>
      <c r="O3" s="8">
        <v>110</v>
      </c>
      <c r="P3" s="8">
        <v>110</v>
      </c>
      <c r="Q3" s="8">
        <v>110</v>
      </c>
    </row>
    <row r="4" spans="1:17" x14ac:dyDescent="0.2">
      <c r="A4" s="13" t="s">
        <v>22</v>
      </c>
      <c r="B4" s="10" t="s">
        <v>18</v>
      </c>
      <c r="C4" s="8">
        <v>98</v>
      </c>
      <c r="D4" s="8">
        <v>105</v>
      </c>
      <c r="E4" s="8">
        <v>109</v>
      </c>
      <c r="F4" s="8">
        <v>106</v>
      </c>
      <c r="G4" s="8">
        <v>110</v>
      </c>
      <c r="H4" s="8">
        <v>108</v>
      </c>
      <c r="I4" s="8">
        <v>109</v>
      </c>
      <c r="J4" s="8">
        <v>107</v>
      </c>
      <c r="K4" s="8">
        <v>107</v>
      </c>
      <c r="L4" s="8">
        <v>101</v>
      </c>
      <c r="M4" s="8">
        <v>99</v>
      </c>
      <c r="N4" s="8">
        <v>99</v>
      </c>
      <c r="O4" s="8">
        <v>78</v>
      </c>
      <c r="P4" s="8">
        <v>78</v>
      </c>
      <c r="Q4" s="8">
        <v>78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0.92010000000000003</v>
      </c>
      <c r="D6" s="19">
        <v>0.97289999999999999</v>
      </c>
      <c r="E6" s="19">
        <v>0.99839999999999995</v>
      </c>
      <c r="F6" s="19">
        <v>0.95720000000000005</v>
      </c>
      <c r="G6" s="19">
        <v>0.98509999999999998</v>
      </c>
      <c r="H6" s="19">
        <v>0.96940000000000004</v>
      </c>
      <c r="I6" s="19">
        <v>0.97970000000000002</v>
      </c>
      <c r="J6" s="19">
        <v>0.96389999999999998</v>
      </c>
      <c r="K6" s="19">
        <v>0.96079999999999999</v>
      </c>
      <c r="L6" s="19">
        <v>0.90900000000000003</v>
      </c>
      <c r="M6" s="19">
        <v>0.89270000000000005</v>
      </c>
      <c r="N6" s="19">
        <v>0.88870000000000005</v>
      </c>
      <c r="O6" s="19">
        <v>0.70509999999999995</v>
      </c>
      <c r="P6" s="19">
        <v>0.70240000000000002</v>
      </c>
      <c r="Q6" s="19">
        <v>0.70240000000000002</v>
      </c>
    </row>
    <row r="7" spans="1:17" x14ac:dyDescent="0.2">
      <c r="A7" s="17"/>
      <c r="B7" s="18" t="s">
        <v>24</v>
      </c>
      <c r="C7" s="20">
        <v>8</v>
      </c>
      <c r="D7" s="20">
        <v>3</v>
      </c>
      <c r="E7" s="20">
        <v>0</v>
      </c>
      <c r="F7" s="20">
        <v>5</v>
      </c>
      <c r="G7" s="20">
        <v>2</v>
      </c>
      <c r="H7" s="20">
        <v>3</v>
      </c>
      <c r="I7" s="20">
        <v>2</v>
      </c>
      <c r="J7" s="20">
        <v>4</v>
      </c>
      <c r="K7" s="20">
        <v>4</v>
      </c>
      <c r="L7" s="20">
        <v>10</v>
      </c>
      <c r="M7" s="20">
        <v>12</v>
      </c>
      <c r="N7" s="20">
        <v>12</v>
      </c>
      <c r="O7" s="20">
        <v>33</v>
      </c>
      <c r="P7" s="20">
        <v>33</v>
      </c>
      <c r="Q7" s="20">
        <v>33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81</v>
      </c>
      <c r="D9" s="8">
        <v>81</v>
      </c>
      <c r="E9" s="8">
        <v>80</v>
      </c>
      <c r="F9" s="8">
        <v>80</v>
      </c>
      <c r="G9" s="8">
        <v>81</v>
      </c>
      <c r="H9" s="8">
        <v>80</v>
      </c>
      <c r="I9" s="8">
        <v>80</v>
      </c>
      <c r="J9" s="8">
        <v>80</v>
      </c>
      <c r="K9" s="8">
        <v>80</v>
      </c>
      <c r="L9" s="8">
        <v>80</v>
      </c>
      <c r="M9" s="8">
        <v>80</v>
      </c>
      <c r="N9" s="8">
        <v>80</v>
      </c>
      <c r="O9" s="8">
        <v>80</v>
      </c>
      <c r="P9" s="8">
        <v>80</v>
      </c>
      <c r="Q9" s="8">
        <v>80</v>
      </c>
    </row>
    <row r="10" spans="1:17" x14ac:dyDescent="0.2">
      <c r="A10" s="9" t="s">
        <v>17</v>
      </c>
      <c r="B10" s="12" t="s">
        <v>19</v>
      </c>
      <c r="C10" s="8">
        <v>80</v>
      </c>
      <c r="D10" s="8">
        <v>80</v>
      </c>
      <c r="E10" s="8">
        <v>80</v>
      </c>
      <c r="F10" s="8">
        <v>80</v>
      </c>
      <c r="G10" s="8">
        <v>80</v>
      </c>
      <c r="H10" s="8">
        <v>80</v>
      </c>
      <c r="I10" s="8">
        <v>80</v>
      </c>
      <c r="J10" s="8">
        <v>80</v>
      </c>
      <c r="K10" s="8">
        <v>80</v>
      </c>
      <c r="L10" s="8">
        <v>80</v>
      </c>
      <c r="M10" s="8">
        <v>80</v>
      </c>
      <c r="N10" s="8">
        <v>80</v>
      </c>
      <c r="O10" s="8">
        <v>80</v>
      </c>
      <c r="P10" s="8">
        <v>80</v>
      </c>
      <c r="Q10" s="8">
        <v>80</v>
      </c>
    </row>
    <row r="11" spans="1:17" x14ac:dyDescent="0.2">
      <c r="A11" s="16" t="s">
        <v>18</v>
      </c>
      <c r="B11" s="13" t="s">
        <v>19</v>
      </c>
      <c r="C11" s="8">
        <v>74</v>
      </c>
      <c r="D11" s="8">
        <v>79</v>
      </c>
      <c r="E11" s="8">
        <v>79</v>
      </c>
      <c r="F11" s="8">
        <v>77</v>
      </c>
      <c r="G11" s="8">
        <v>79</v>
      </c>
      <c r="H11" s="8">
        <v>77</v>
      </c>
      <c r="I11" s="8">
        <v>76</v>
      </c>
      <c r="J11" s="8">
        <v>75</v>
      </c>
      <c r="K11" s="8">
        <v>74</v>
      </c>
      <c r="L11" s="8">
        <v>72</v>
      </c>
      <c r="M11" s="8">
        <v>70</v>
      </c>
      <c r="N11" s="8">
        <v>69</v>
      </c>
      <c r="O11" s="8">
        <v>57</v>
      </c>
      <c r="P11" s="8">
        <v>56</v>
      </c>
      <c r="Q11" s="8">
        <v>56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19</v>
      </c>
      <c r="D13" s="8">
        <v>19</v>
      </c>
      <c r="E13" s="8">
        <v>19</v>
      </c>
      <c r="F13" s="8">
        <v>19</v>
      </c>
      <c r="G13" s="8">
        <v>19</v>
      </c>
      <c r="H13" s="8">
        <v>19</v>
      </c>
      <c r="I13" s="8">
        <v>19</v>
      </c>
      <c r="J13" s="8">
        <v>19</v>
      </c>
      <c r="K13" s="8">
        <v>19</v>
      </c>
      <c r="L13" s="8">
        <v>19</v>
      </c>
      <c r="M13" s="8">
        <v>19</v>
      </c>
      <c r="N13" s="8">
        <v>19</v>
      </c>
      <c r="O13" s="8">
        <v>19</v>
      </c>
      <c r="P13" s="8">
        <v>19</v>
      </c>
      <c r="Q13" s="8">
        <v>19</v>
      </c>
    </row>
    <row r="14" spans="1:17" x14ac:dyDescent="0.2">
      <c r="A14" s="9" t="s">
        <v>17</v>
      </c>
      <c r="B14" s="12" t="s">
        <v>20</v>
      </c>
      <c r="C14" s="8">
        <v>19</v>
      </c>
      <c r="D14" s="8">
        <v>19</v>
      </c>
      <c r="E14" s="8">
        <v>19</v>
      </c>
      <c r="F14" s="8">
        <v>19</v>
      </c>
      <c r="G14" s="8">
        <v>19</v>
      </c>
      <c r="H14" s="8">
        <v>19</v>
      </c>
      <c r="I14" s="8">
        <v>19</v>
      </c>
      <c r="J14" s="8">
        <v>19</v>
      </c>
      <c r="K14" s="8">
        <v>19</v>
      </c>
      <c r="L14" s="8">
        <v>19</v>
      </c>
      <c r="M14" s="8">
        <v>19</v>
      </c>
      <c r="N14" s="8">
        <v>19</v>
      </c>
      <c r="O14" s="8">
        <v>19</v>
      </c>
      <c r="P14" s="8">
        <v>19</v>
      </c>
      <c r="Q14" s="8">
        <v>19</v>
      </c>
    </row>
    <row r="15" spans="1:17" x14ac:dyDescent="0.2">
      <c r="A15" s="16" t="s">
        <v>18</v>
      </c>
      <c r="B15" s="13" t="s">
        <v>20</v>
      </c>
      <c r="C15" s="8">
        <v>18</v>
      </c>
      <c r="D15" s="8">
        <v>18</v>
      </c>
      <c r="E15" s="14">
        <v>20</v>
      </c>
      <c r="F15" s="8">
        <v>19</v>
      </c>
      <c r="G15" s="8">
        <v>19</v>
      </c>
      <c r="H15" s="8">
        <v>18</v>
      </c>
      <c r="I15" s="8">
        <v>17</v>
      </c>
      <c r="J15" s="8">
        <v>17</v>
      </c>
      <c r="K15" s="8">
        <v>18</v>
      </c>
      <c r="L15" s="8">
        <v>17</v>
      </c>
      <c r="M15" s="8">
        <v>17</v>
      </c>
      <c r="N15" s="8">
        <v>17</v>
      </c>
      <c r="O15" s="8">
        <v>15</v>
      </c>
      <c r="P15" s="8">
        <v>15</v>
      </c>
      <c r="Q15" s="8">
        <v>15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6</v>
      </c>
      <c r="D22" s="70">
        <v>6</v>
      </c>
      <c r="E22" s="70">
        <v>6</v>
      </c>
      <c r="F22" s="70">
        <v>6</v>
      </c>
      <c r="G22" s="70">
        <v>6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86.27</v>
      </c>
      <c r="D23" s="71">
        <v>91.07</v>
      </c>
      <c r="E23" s="70">
        <v>93.43</v>
      </c>
      <c r="F23" s="70">
        <v>94.74</v>
      </c>
      <c r="G23" s="70">
        <v>99.94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108</v>
      </c>
      <c r="D32" s="21">
        <v>111</v>
      </c>
      <c r="E32" s="21">
        <v>111</v>
      </c>
      <c r="F32" s="21">
        <v>111</v>
      </c>
      <c r="G32" s="21">
        <v>111</v>
      </c>
      <c r="H32" s="21"/>
    </row>
    <row r="33" spans="1:8" x14ac:dyDescent="0.2">
      <c r="A33" s="12" t="s">
        <v>22</v>
      </c>
      <c r="B33" s="9" t="s">
        <v>17</v>
      </c>
      <c r="C33" s="26">
        <v>110</v>
      </c>
      <c r="D33" s="21">
        <v>110</v>
      </c>
      <c r="E33" s="21">
        <v>110</v>
      </c>
      <c r="F33" s="21">
        <v>110</v>
      </c>
      <c r="G33" s="21">
        <v>110</v>
      </c>
      <c r="H33" s="21"/>
    </row>
    <row r="34" spans="1:8" x14ac:dyDescent="0.2">
      <c r="A34" s="13" t="s">
        <v>22</v>
      </c>
      <c r="B34" s="10" t="s">
        <v>18</v>
      </c>
      <c r="C34" s="26">
        <v>104</v>
      </c>
      <c r="D34" s="21">
        <v>108</v>
      </c>
      <c r="E34" s="21">
        <v>107</v>
      </c>
      <c r="F34" s="21">
        <v>100</v>
      </c>
      <c r="G34" s="21">
        <v>78</v>
      </c>
      <c r="H34" s="21"/>
    </row>
    <row r="35" spans="1:8" x14ac:dyDescent="0.2">
      <c r="A35" s="17"/>
      <c r="B35" s="8"/>
      <c r="C35" s="27">
        <v>3.5799999999999998E-2</v>
      </c>
      <c r="D35" s="28">
        <v>2.9399999999999999E-2</v>
      </c>
      <c r="E35" s="28">
        <v>3.1899999999999998E-2</v>
      </c>
      <c r="F35" s="28">
        <v>0.1032</v>
      </c>
      <c r="G35" s="28">
        <v>0.29670000000000002</v>
      </c>
      <c r="H35" s="8"/>
    </row>
    <row r="36" spans="1:8" x14ac:dyDescent="0.2">
      <c r="A36" s="8"/>
      <c r="B36" s="18" t="s">
        <v>23</v>
      </c>
      <c r="C36" s="29">
        <v>0.96419999999999995</v>
      </c>
      <c r="D36" s="19">
        <v>0.97060000000000002</v>
      </c>
      <c r="E36" s="19">
        <v>0.96809999999999996</v>
      </c>
      <c r="F36" s="19">
        <v>0.89680000000000004</v>
      </c>
      <c r="G36" s="19">
        <v>0.70330000000000004</v>
      </c>
      <c r="H36" s="20"/>
    </row>
    <row r="37" spans="1:8" x14ac:dyDescent="0.2">
      <c r="A37" s="17"/>
      <c r="B37" s="18" t="s">
        <v>24</v>
      </c>
      <c r="C37" s="30">
        <v>4</v>
      </c>
      <c r="D37" s="20">
        <v>3</v>
      </c>
      <c r="E37" s="20">
        <v>4</v>
      </c>
      <c r="F37" s="20">
        <v>11</v>
      </c>
      <c r="G37" s="20">
        <v>19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81</v>
      </c>
      <c r="D39" s="21">
        <v>80</v>
      </c>
      <c r="E39" s="21">
        <v>80</v>
      </c>
      <c r="F39" s="21">
        <v>80</v>
      </c>
      <c r="G39" s="21">
        <v>80</v>
      </c>
      <c r="H39" s="21"/>
    </row>
    <row r="40" spans="1:8" x14ac:dyDescent="0.2">
      <c r="A40" s="9" t="s">
        <v>17</v>
      </c>
      <c r="B40" s="12" t="s">
        <v>19</v>
      </c>
      <c r="C40" s="26">
        <v>80</v>
      </c>
      <c r="D40" s="21">
        <v>80</v>
      </c>
      <c r="E40" s="21">
        <v>80</v>
      </c>
      <c r="F40" s="21">
        <v>80</v>
      </c>
      <c r="G40" s="21">
        <v>80</v>
      </c>
      <c r="H40" s="21"/>
    </row>
    <row r="41" spans="1:8" x14ac:dyDescent="0.2">
      <c r="A41" s="16" t="s">
        <v>18</v>
      </c>
      <c r="B41" s="13" t="s">
        <v>19</v>
      </c>
      <c r="C41" s="26">
        <v>77</v>
      </c>
      <c r="D41" s="21">
        <v>78</v>
      </c>
      <c r="E41" s="21">
        <v>75</v>
      </c>
      <c r="F41" s="21">
        <v>70</v>
      </c>
      <c r="G41" s="21">
        <v>57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19</v>
      </c>
      <c r="D43" s="21">
        <v>19</v>
      </c>
      <c r="E43" s="21">
        <v>19</v>
      </c>
      <c r="F43" s="21">
        <v>19</v>
      </c>
      <c r="G43" s="21">
        <v>19</v>
      </c>
      <c r="H43" s="21"/>
    </row>
    <row r="44" spans="1:8" x14ac:dyDescent="0.2">
      <c r="A44" s="9" t="s">
        <v>17</v>
      </c>
      <c r="B44" s="12" t="s">
        <v>20</v>
      </c>
      <c r="C44" s="26">
        <v>19</v>
      </c>
      <c r="D44" s="21">
        <v>19</v>
      </c>
      <c r="E44" s="21">
        <v>19</v>
      </c>
      <c r="F44" s="21">
        <v>19</v>
      </c>
      <c r="G44" s="21">
        <v>19</v>
      </c>
      <c r="H44" s="21"/>
    </row>
    <row r="45" spans="1:8" x14ac:dyDescent="0.2">
      <c r="A45" s="16" t="s">
        <v>18</v>
      </c>
      <c r="B45" s="13" t="s">
        <v>20</v>
      </c>
      <c r="C45" s="26">
        <v>19</v>
      </c>
      <c r="D45" s="21">
        <v>19</v>
      </c>
      <c r="E45" s="21">
        <v>17</v>
      </c>
      <c r="F45" s="21">
        <v>17</v>
      </c>
      <c r="G45" s="21">
        <v>15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2" workbookViewId="0">
      <selection activeCell="H157" sqref="H15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JAN</v>
      </c>
      <c r="C1" t="str">
        <f>IF(DV!D1&gt;0,DV!D1,"")</f>
        <v>FEB</v>
      </c>
      <c r="D1" t="str">
        <f>IF(DV!E1&gt;0,DV!E1,"")</f>
        <v>MAR</v>
      </c>
      <c r="E1" t="str">
        <f>IF(DV!F1&gt;0,DV!F1,"")</f>
        <v>APR</v>
      </c>
      <c r="F1" t="str">
        <f>IF(DV!G1&gt;0,DV!G1,"")</f>
        <v>MAY</v>
      </c>
      <c r="G1" t="str">
        <f>IF(DV!H1&gt;0,DV!H1,"")</f>
        <v>JUN</v>
      </c>
      <c r="H1" t="str">
        <f>IF(DV!I1&gt;0,DV!I1,"")</f>
        <v>JUL</v>
      </c>
      <c r="I1" t="str">
        <f>IF(DV!J1&gt;0,DV!J1,"")</f>
        <v>AUG</v>
      </c>
      <c r="J1" t="str">
        <f>IF(DV!K1&gt;0,DV!K1,"")</f>
        <v>SEP</v>
      </c>
      <c r="K1" t="str">
        <f>IF(DV!L1&gt;0,DV!L1,"")</f>
        <v>OCT</v>
      </c>
      <c r="L1" t="str">
        <f>IF(DV!M1&gt;0,DV!M1,"")</f>
        <v>NOV</v>
      </c>
      <c r="M1" t="str">
        <f>IF(DV!N1&gt;0,DV!N1,"")</f>
        <v>DEC</v>
      </c>
      <c r="N1" t="str">
        <f>IF(DV!O1&gt;0,DV!O1,"")</f>
        <v>JAN'27</v>
      </c>
      <c r="O1" t="str">
        <f>IF(DV!P1&gt;0,DV!P1,"")</f>
        <v>FEB'27</v>
      </c>
      <c r="P1" t="str">
        <f>IF(DV!Q1&gt;0,DV!Q1,"")</f>
        <v>MAR'27</v>
      </c>
    </row>
    <row r="2" spans="1:16" x14ac:dyDescent="0.2">
      <c r="A2" t="str">
        <f>IF(DV!B2&gt;0,DV!B2,"")</f>
        <v>Staff</v>
      </c>
      <c r="B2">
        <f>IF(DV!C2&gt;0,DV!C2,"")</f>
        <v>106</v>
      </c>
      <c r="C2">
        <f>IF(DV!D2&gt;0,DV!D2,"")</f>
        <v>108</v>
      </c>
      <c r="D2">
        <f>IF(DV!E2&gt;0,DV!E2,"")</f>
        <v>109</v>
      </c>
      <c r="E2">
        <f>IF(DV!F2&gt;0,DV!F2,"")</f>
        <v>111</v>
      </c>
      <c r="F2">
        <f>IF(DV!G2&gt;0,DV!G2,"")</f>
        <v>112</v>
      </c>
      <c r="G2">
        <f>IF(DV!H2&gt;0,DV!H2,"")</f>
        <v>111</v>
      </c>
      <c r="H2">
        <f>IF(DV!I2&gt;0,DV!I2,"")</f>
        <v>111</v>
      </c>
      <c r="I2">
        <f>IF(DV!J2&gt;0,DV!J2,"")</f>
        <v>111</v>
      </c>
      <c r="J2">
        <f>IF(DV!K2&gt;0,DV!K2,"")</f>
        <v>111</v>
      </c>
      <c r="K2">
        <f>IF(DV!L2&gt;0,DV!L2,"")</f>
        <v>111</v>
      </c>
      <c r="L2">
        <f>IF(DV!M2&gt;0,DV!M2,"")</f>
        <v>111</v>
      </c>
      <c r="M2">
        <f>IF(DV!N2&gt;0,DV!N2,"")</f>
        <v>111</v>
      </c>
      <c r="N2">
        <f>IF(DV!O2&gt;0,DV!O2,"")</f>
        <v>111</v>
      </c>
      <c r="O2">
        <f>IF(DV!P2&gt;0,DV!P2,"")</f>
        <v>111</v>
      </c>
      <c r="P2">
        <f>IF(DV!Q2&gt;0,DV!Q2,"")</f>
        <v>111</v>
      </c>
    </row>
    <row r="3" spans="1:16" x14ac:dyDescent="0.2">
      <c r="A3" t="str">
        <f>IF(DV!B3&gt;0,DV!B3,"")</f>
        <v>Staff AVG</v>
      </c>
      <c r="B3">
        <f>IF(DV!C3&gt;0,DV!C3,"")</f>
        <v>110</v>
      </c>
      <c r="C3">
        <f>IF(DV!D3&gt;0,DV!D3,"")</f>
        <v>110</v>
      </c>
      <c r="D3">
        <f>IF(DV!E3&gt;0,DV!E3,"")</f>
        <v>110</v>
      </c>
      <c r="E3">
        <f>IF(DV!F3&gt;0,DV!F3,"")</f>
        <v>110</v>
      </c>
      <c r="F3">
        <f>IF(DV!G3&gt;0,DV!G3,"")</f>
        <v>110</v>
      </c>
      <c r="G3">
        <f>IF(DV!H3&gt;0,DV!H3,"")</f>
        <v>110</v>
      </c>
      <c r="H3">
        <f>IF(DV!I3&gt;0,DV!I3,"")</f>
        <v>110</v>
      </c>
      <c r="I3">
        <f>IF(DV!J3&gt;0,DV!J3,"")</f>
        <v>110</v>
      </c>
      <c r="J3">
        <f>IF(DV!K3&gt;0,DV!K3,"")</f>
        <v>110</v>
      </c>
      <c r="K3">
        <f>IF(DV!L3&gt;0,DV!L3,"")</f>
        <v>110</v>
      </c>
      <c r="L3">
        <f>IF(DV!M3&gt;0,DV!M3,"")</f>
        <v>110</v>
      </c>
      <c r="M3">
        <f>IF(DV!N3&gt;0,DV!N3,"")</f>
        <v>110</v>
      </c>
      <c r="N3">
        <f>IF(DV!O3&gt;0,DV!O3,"")</f>
        <v>110</v>
      </c>
      <c r="O3">
        <f>IF(DV!P3&gt;0,DV!P3,"")</f>
        <v>110</v>
      </c>
      <c r="P3">
        <f>IF(DV!Q3&gt;0,DV!Q3,"")</f>
        <v>110</v>
      </c>
    </row>
    <row r="4" spans="1:16" x14ac:dyDescent="0.2">
      <c r="A4" t="str">
        <f>IF(DV!B4&gt;0,DV!B4,"")</f>
        <v>Plan</v>
      </c>
      <c r="B4">
        <f>IF(DV!C4&gt;0,DV!C4,"")</f>
        <v>98</v>
      </c>
      <c r="C4">
        <f>IF(DV!D4&gt;0,DV!D4,"")</f>
        <v>105</v>
      </c>
      <c r="D4">
        <f>IF(DV!E4&gt;0,DV!E4,"")</f>
        <v>109</v>
      </c>
      <c r="E4">
        <f>IF(DV!F4&gt;0,DV!F4,"")</f>
        <v>106</v>
      </c>
      <c r="F4">
        <f>IF(DV!G4&gt;0,DV!G4,"")</f>
        <v>110</v>
      </c>
      <c r="G4">
        <f>IF(DV!H4&gt;0,DV!H4,"")</f>
        <v>108</v>
      </c>
      <c r="H4">
        <f>IF(DV!I4&gt;0,DV!I4,"")</f>
        <v>109</v>
      </c>
      <c r="I4">
        <f>IF(DV!J4&gt;0,DV!J4,"")</f>
        <v>107</v>
      </c>
      <c r="J4">
        <f>IF(DV!K4&gt;0,DV!K4,"")</f>
        <v>107</v>
      </c>
      <c r="K4">
        <f>IF(DV!L4&gt;0,DV!L4,"")</f>
        <v>101</v>
      </c>
      <c r="L4">
        <f>IF(DV!M4&gt;0,DV!M4,"")</f>
        <v>99</v>
      </c>
      <c r="M4">
        <f>IF(DV!N4&gt;0,DV!N4,"")</f>
        <v>99</v>
      </c>
      <c r="N4">
        <f>IF(DV!O4&gt;0,DV!O4,"")</f>
        <v>78</v>
      </c>
      <c r="O4">
        <f>IF(DV!P4&gt;0,DV!P4,"")</f>
        <v>78</v>
      </c>
      <c r="P4">
        <f>IF(DV!Q4&gt;0,DV!Q4,"")</f>
        <v>78</v>
      </c>
    </row>
    <row r="5" spans="1:16" x14ac:dyDescent="0.2">
      <c r="A5" t="str">
        <f>IF(DV!B11&gt;0,DV!B11,"")</f>
        <v>PAYROLL</v>
      </c>
      <c r="B5">
        <f>IF(DV!C11&gt;0,DV!C11,"")</f>
        <v>74</v>
      </c>
      <c r="C5">
        <f>IF(DV!D11&gt;0,DV!D11,"")</f>
        <v>79</v>
      </c>
      <c r="D5">
        <f>IF(DV!E11&gt;0,DV!E11,"")</f>
        <v>79</v>
      </c>
      <c r="E5">
        <f>IF(DV!F11&gt;0,DV!F11,"")</f>
        <v>77</v>
      </c>
      <c r="F5">
        <f>IF(DV!G11&gt;0,DV!G11,"")</f>
        <v>79</v>
      </c>
      <c r="G5">
        <f>IF(DV!H11&gt;0,DV!H11,"")</f>
        <v>77</v>
      </c>
      <c r="H5">
        <f>IF(DV!I11&gt;0,DV!I11,"")</f>
        <v>76</v>
      </c>
      <c r="I5">
        <f>IF(DV!J11&gt;0,DV!J11,"")</f>
        <v>75</v>
      </c>
      <c r="J5">
        <f>IF(DV!K11&gt;0,DV!K11,"")</f>
        <v>74</v>
      </c>
      <c r="K5">
        <f>IF(DV!L11&gt;0,DV!L11,"")</f>
        <v>72</v>
      </c>
      <c r="L5">
        <f>IF(DV!M11&gt;0,DV!M11,"")</f>
        <v>70</v>
      </c>
      <c r="M5">
        <f>IF(DV!N11&gt;0,DV!N11,"")</f>
        <v>69</v>
      </c>
      <c r="N5">
        <f>IF(DV!O11&gt;0,DV!O11,"")</f>
        <v>57</v>
      </c>
      <c r="O5">
        <f>IF(DV!P11&gt;0,DV!P11,"")</f>
        <v>56</v>
      </c>
      <c r="P5">
        <f>IF(DV!Q11&gt;0,DV!Q11,"")</f>
        <v>56</v>
      </c>
    </row>
    <row r="6" spans="1:16" x14ac:dyDescent="0.2">
      <c r="A6" t="str">
        <f>IF(DV!B15&gt;0,DV!B15,"")</f>
        <v>CONTRACTOR</v>
      </c>
      <c r="B6">
        <f>IF(DV!C15&gt;0,DV!C15,"")</f>
        <v>18</v>
      </c>
      <c r="C6">
        <f>IF(DV!D15&gt;0,DV!D15,"")</f>
        <v>18</v>
      </c>
      <c r="D6">
        <f>IF(DV!E15&gt;0,DV!E15,"")</f>
        <v>20</v>
      </c>
      <c r="E6">
        <f>IF(DV!F15&gt;0,DV!F15,"")</f>
        <v>19</v>
      </c>
      <c r="F6">
        <f>IF(DV!G15&gt;0,DV!G15,"")</f>
        <v>19</v>
      </c>
      <c r="G6">
        <f>IF(DV!H15&gt;0,DV!H15,"")</f>
        <v>18</v>
      </c>
      <c r="H6">
        <f>IF(DV!I15&gt;0,DV!I15,"")</f>
        <v>17</v>
      </c>
      <c r="I6">
        <f>IF(DV!J15&gt;0,DV!J15,"")</f>
        <v>17</v>
      </c>
      <c r="J6">
        <f>IF(DV!K15&gt;0,DV!K15,"")</f>
        <v>18</v>
      </c>
      <c r="K6">
        <f>IF(DV!L15&gt;0,DV!L15,"")</f>
        <v>17</v>
      </c>
      <c r="L6">
        <f>IF(DV!M15&gt;0,DV!M15,"")</f>
        <v>17</v>
      </c>
      <c r="M6">
        <f>IF(DV!N15&gt;0,DV!N15,"")</f>
        <v>17</v>
      </c>
      <c r="N6">
        <f>IF(DV!O15&gt;0,DV!O15,"")</f>
        <v>15</v>
      </c>
      <c r="O6">
        <f>IF(DV!P15&gt;0,DV!P15,"")</f>
        <v>15</v>
      </c>
      <c r="P6">
        <f>IF(DV!Q15&gt;0,DV!Q15,"")</f>
        <v>15</v>
      </c>
    </row>
    <row r="7" spans="1:16" x14ac:dyDescent="0.2">
      <c r="A7" t="str">
        <f>IF(DV!B19&gt;0,DV!B19,"")</f>
        <v>OUTSOURCE</v>
      </c>
      <c r="B7">
        <f>IF(DV!C19&gt;0,DV!C19,"")</f>
        <v>6</v>
      </c>
      <c r="C7">
        <f>IF(DV!D19&gt;0,DV!D19,"")</f>
        <v>8</v>
      </c>
      <c r="D7">
        <f>IF(DV!E19&gt;0,DV!E19,"")</f>
        <v>10</v>
      </c>
      <c r="E7">
        <f>IF(DV!F19&gt;0,DV!F19,"")</f>
        <v>10</v>
      </c>
      <c r="F7">
        <f>IF(DV!G19&gt;0,DV!G19,"")</f>
        <v>12</v>
      </c>
      <c r="G7">
        <f>IF(DV!H19&gt;0,DV!H19,"")</f>
        <v>14</v>
      </c>
      <c r="H7">
        <f>IF(DV!I19&gt;0,DV!I19,"")</f>
        <v>15</v>
      </c>
      <c r="I7">
        <f>IF(DV!J19&gt;0,DV!J19,"")</f>
        <v>15</v>
      </c>
      <c r="J7">
        <f>IF(DV!K19&gt;0,DV!K19,"")</f>
        <v>16</v>
      </c>
      <c r="K7">
        <f>IF(DV!L19&gt;0,DV!L19,"")</f>
        <v>12</v>
      </c>
      <c r="L7">
        <f>IF(DV!M19&gt;0,DV!M19,"")</f>
        <v>12</v>
      </c>
      <c r="M7">
        <f>IF(DV!N19&gt;0,DV!N19,"")</f>
        <v>12</v>
      </c>
      <c r="N7">
        <f>IF(DV!O19&gt;0,DV!O19,"")</f>
        <v>7</v>
      </c>
      <c r="O7">
        <f>IF(DV!P19&gt;0,DV!P19,"")</f>
        <v>7</v>
      </c>
      <c r="P7">
        <f>IF(DV!Q19&gt;0,DV!Q19,"")</f>
        <v>7</v>
      </c>
    </row>
    <row r="11" spans="1:16" x14ac:dyDescent="0.2">
      <c r="B11" t="str">
        <f>IF(DV!C1&gt;0,DV!C1,"")</f>
        <v>JAN</v>
      </c>
      <c r="C11" t="str">
        <f>IF(DV!D1&gt;0,DV!D1,"")</f>
        <v>FEB</v>
      </c>
      <c r="D11" t="str">
        <f>IF(DV!E1&gt;0,DV!E1,"")</f>
        <v>MAR</v>
      </c>
      <c r="E11" t="str">
        <f>IF(DV!F1&gt;0,DV!F1,"")</f>
        <v>APR</v>
      </c>
      <c r="F11" t="str">
        <f>IF(DV!G1&gt;0,DV!G1,"")</f>
        <v>MAY</v>
      </c>
      <c r="G11" t="str">
        <f>IF(DV!H1&gt;0,DV!H1,"")</f>
        <v>JUN</v>
      </c>
      <c r="H11" t="str">
        <f>IF(DV!I1&gt;0,DV!I1,"")</f>
        <v>JUL</v>
      </c>
      <c r="I11" t="str">
        <f>IF(DV!J1&gt;0,DV!J1,"")</f>
        <v>AUG</v>
      </c>
      <c r="J11" t="str">
        <f>IF(DV!K1&gt;0,DV!K1,"")</f>
        <v>SEP</v>
      </c>
      <c r="K11" t="str">
        <f>IF(DV!L1&gt;0,DV!L1,"")</f>
        <v>OCT</v>
      </c>
      <c r="L11" t="str">
        <f>IF(DV!M1&gt;0,DV!M1,"")</f>
        <v>NOV</v>
      </c>
      <c r="M11" t="str">
        <f>IF(DV!N1&gt;0,DV!N1,"")</f>
        <v>DEC</v>
      </c>
      <c r="N11" t="str">
        <f>IF(DV!O1&gt;0,DV!O1,"")</f>
        <v>JAN'27</v>
      </c>
      <c r="O11" t="str">
        <f>IF(DV!P1&gt;0,DV!P1,"")</f>
        <v>FEB'27</v>
      </c>
      <c r="P11" t="str">
        <f>IF(DV!Q1&gt;0,DV!Q1,"")</f>
        <v>MAR'27</v>
      </c>
    </row>
    <row r="12" spans="1:16" x14ac:dyDescent="0.2">
      <c r="A12" t="str">
        <f>IF(DV!A9&gt;0,DV!A9,"")</f>
        <v>Staff</v>
      </c>
      <c r="B12">
        <f>IF(DV!C9&gt;0,DV!C9,"")</f>
        <v>81</v>
      </c>
      <c r="C12">
        <f>IF(DV!D9&gt;0,DV!D9,"")</f>
        <v>81</v>
      </c>
      <c r="D12">
        <f>IF(DV!E9&gt;0,DV!E9,"")</f>
        <v>80</v>
      </c>
      <c r="E12">
        <f>IF(DV!F9&gt;0,DV!F9,"")</f>
        <v>80</v>
      </c>
      <c r="F12">
        <f>IF(DV!G9&gt;0,DV!G9,"")</f>
        <v>81</v>
      </c>
      <c r="G12">
        <f>IF(DV!H9&gt;0,DV!H9,"")</f>
        <v>80</v>
      </c>
      <c r="H12">
        <f>IF(DV!I9&gt;0,DV!I9,"")</f>
        <v>80</v>
      </c>
      <c r="I12">
        <f>IF(DV!J9&gt;0,DV!J9,"")</f>
        <v>80</v>
      </c>
      <c r="J12">
        <f>IF(DV!K9&gt;0,DV!K9,"")</f>
        <v>80</v>
      </c>
      <c r="K12">
        <f>IF(DV!L9&gt;0,DV!L9,"")</f>
        <v>80</v>
      </c>
      <c r="L12">
        <f>IF(DV!M9&gt;0,DV!M9,"")</f>
        <v>80</v>
      </c>
      <c r="M12">
        <f>IF(DV!N9&gt;0,DV!N9,"")</f>
        <v>80</v>
      </c>
      <c r="N12">
        <f>IF(DV!O9&gt;0,DV!O9,"")</f>
        <v>80</v>
      </c>
      <c r="O12">
        <f>IF(DV!P9&gt;0,DV!P9,"")</f>
        <v>80</v>
      </c>
      <c r="P12">
        <f>IF(DV!Q9&gt;0,DV!Q9,"")</f>
        <v>80</v>
      </c>
    </row>
    <row r="13" spans="1:16" x14ac:dyDescent="0.2">
      <c r="A13" t="str">
        <f>IF(DV!A10&gt;0,DV!A10,"")</f>
        <v>Staff AVG</v>
      </c>
      <c r="B13">
        <f>IF(DV!C10&gt;0,DV!C10,"")</f>
        <v>80</v>
      </c>
      <c r="C13">
        <f>IF(DV!D10&gt;0,DV!D10,"")</f>
        <v>80</v>
      </c>
      <c r="D13">
        <f>IF(DV!E10&gt;0,DV!E10,"")</f>
        <v>80</v>
      </c>
      <c r="E13">
        <f>IF(DV!F10&gt;0,DV!F10,"")</f>
        <v>80</v>
      </c>
      <c r="F13">
        <f>IF(DV!G10&gt;0,DV!G10,"")</f>
        <v>80</v>
      </c>
      <c r="G13">
        <f>IF(DV!H10&gt;0,DV!H10,"")</f>
        <v>80</v>
      </c>
      <c r="H13">
        <f>IF(DV!I10&gt;0,DV!I10,"")</f>
        <v>80</v>
      </c>
      <c r="I13">
        <f>IF(DV!J10&gt;0,DV!J10,"")</f>
        <v>80</v>
      </c>
      <c r="J13">
        <f>IF(DV!K10&gt;0,DV!K10,"")</f>
        <v>80</v>
      </c>
      <c r="K13">
        <f>IF(DV!L10&gt;0,DV!L10,"")</f>
        <v>80</v>
      </c>
      <c r="L13">
        <f>IF(DV!M10&gt;0,DV!M10,"")</f>
        <v>80</v>
      </c>
      <c r="M13">
        <f>IF(DV!N10&gt;0,DV!N10,"")</f>
        <v>80</v>
      </c>
      <c r="N13">
        <f>IF(DV!O10&gt;0,DV!O10,"")</f>
        <v>80</v>
      </c>
      <c r="O13">
        <f>IF(DV!P10&gt;0,DV!P10,"")</f>
        <v>80</v>
      </c>
      <c r="P13">
        <f>IF(DV!Q10&gt;0,DV!Q10,"")</f>
        <v>80</v>
      </c>
    </row>
    <row r="14" spans="1:16" x14ac:dyDescent="0.2">
      <c r="A14" t="str">
        <f>IF(DV!A11&gt;0,DV!A11,"")</f>
        <v>Plan</v>
      </c>
      <c r="B14">
        <f>IF(DV!C11&gt;0,DV!C11,"")</f>
        <v>74</v>
      </c>
      <c r="C14">
        <f>IF(DV!D11&gt;0,DV!D11,"")</f>
        <v>79</v>
      </c>
      <c r="D14">
        <f>IF(DV!E11&gt;0,DV!E11,"")</f>
        <v>79</v>
      </c>
      <c r="E14">
        <f>IF(DV!F11&gt;0,DV!F11,"")</f>
        <v>77</v>
      </c>
      <c r="F14">
        <f>IF(DV!G11&gt;0,DV!G11,"")</f>
        <v>79</v>
      </c>
      <c r="G14">
        <f>IF(DV!H11&gt;0,DV!H11,"")</f>
        <v>77</v>
      </c>
      <c r="H14">
        <f>IF(DV!I11&gt;0,DV!I11,"")</f>
        <v>76</v>
      </c>
      <c r="I14">
        <f>IF(DV!J11&gt;0,DV!J11,"")</f>
        <v>75</v>
      </c>
      <c r="J14">
        <f>IF(DV!K11&gt;0,DV!K11,"")</f>
        <v>74</v>
      </c>
      <c r="K14">
        <f>IF(DV!L11&gt;0,DV!L11,"")</f>
        <v>72</v>
      </c>
      <c r="L14">
        <f>IF(DV!M11&gt;0,DV!M11,"")</f>
        <v>70</v>
      </c>
      <c r="M14">
        <f>IF(DV!N11&gt;0,DV!N11,"")</f>
        <v>69</v>
      </c>
      <c r="N14">
        <f>IF(DV!O11&gt;0,DV!O11,"")</f>
        <v>57</v>
      </c>
      <c r="O14">
        <f>IF(DV!P11&gt;0,DV!P11,"")</f>
        <v>56</v>
      </c>
      <c r="P14">
        <f>IF(DV!Q11&gt;0,DV!Q11,"")</f>
        <v>56</v>
      </c>
    </row>
    <row r="21" spans="1:16" x14ac:dyDescent="0.2">
      <c r="B21" t="str">
        <f>IF(DV!C1&gt;0,DV!C1,"")</f>
        <v>JAN</v>
      </c>
      <c r="C21" t="str">
        <f>IF(DV!D1&gt;0,DV!D1,"")</f>
        <v>FEB</v>
      </c>
      <c r="D21" t="str">
        <f>IF(DV!E1&gt;0,DV!E1,"")</f>
        <v>MAR</v>
      </c>
      <c r="E21" t="str">
        <f>IF(DV!F1&gt;0,DV!F1,"")</f>
        <v>APR</v>
      </c>
      <c r="F21" t="str">
        <f>IF(DV!G1&gt;0,DV!G1,"")</f>
        <v>MAY</v>
      </c>
      <c r="G21" t="str">
        <f>IF(DV!H1&gt;0,DV!H1,"")</f>
        <v>JUN</v>
      </c>
      <c r="H21" t="str">
        <f>IF(DV!I1&gt;0,DV!I1,"")</f>
        <v>JUL</v>
      </c>
      <c r="I21" t="str">
        <f>IF(DV!J1&gt;0,DV!J1,"")</f>
        <v>AUG</v>
      </c>
      <c r="J21" t="str">
        <f>IF(DV!K1&gt;0,DV!K1,"")</f>
        <v>SEP</v>
      </c>
      <c r="K21" t="str">
        <f>IF(DV!L1&gt;0,DV!L1,"")</f>
        <v>OCT</v>
      </c>
      <c r="L21" t="str">
        <f>IF(DV!M1&gt;0,DV!M1,"")</f>
        <v>NOV</v>
      </c>
      <c r="M21" t="str">
        <f>IF(DV!N1&gt;0,DV!N1,"")</f>
        <v>DEC</v>
      </c>
      <c r="N21" t="str">
        <f>IF(DV!O1&gt;0,DV!O1,"")</f>
        <v>JAN'27</v>
      </c>
      <c r="O21" t="str">
        <f>IF(DV!P1&gt;0,DV!P1,"")</f>
        <v>FEB'27</v>
      </c>
      <c r="P21" t="str">
        <f>IF(DV!Q1&gt;0,DV!Q1,"")</f>
        <v>MAR'27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18</v>
      </c>
      <c r="C24">
        <f>IF(DV!D15&gt;0,DV!D15,"")</f>
        <v>18</v>
      </c>
      <c r="D24">
        <f>IF(DV!E15&gt;0,DV!E15,"")</f>
        <v>20</v>
      </c>
      <c r="E24">
        <f>IF(DV!F15&gt;0,DV!F15,"")</f>
        <v>19</v>
      </c>
      <c r="F24">
        <f>IF(DV!G15&gt;0,DV!G15,"")</f>
        <v>19</v>
      </c>
      <c r="G24">
        <f>IF(DV!H15&gt;0,DV!H15,"")</f>
        <v>18</v>
      </c>
      <c r="H24">
        <f>IF(DV!I15&gt;0,DV!I15,"")</f>
        <v>17</v>
      </c>
      <c r="I24">
        <f>IF(DV!J15&gt;0,DV!J15,"")</f>
        <v>17</v>
      </c>
      <c r="J24">
        <f>IF(DV!K15&gt;0,DV!K15,"")</f>
        <v>18</v>
      </c>
      <c r="K24">
        <f>IF(DV!L15&gt;0,DV!L15,"")</f>
        <v>17</v>
      </c>
      <c r="L24">
        <f>IF(DV!M15&gt;0,DV!M15,"")</f>
        <v>17</v>
      </c>
      <c r="M24">
        <f>IF(DV!N15&gt;0,DV!N15,"")</f>
        <v>17</v>
      </c>
      <c r="N24">
        <f>IF(DV!O15&gt;0,DV!O15,"")</f>
        <v>15</v>
      </c>
      <c r="O24">
        <f>IF(DV!P15&gt;0,DV!P15,"")</f>
        <v>15</v>
      </c>
      <c r="P24">
        <f>IF(DV!Q15&gt;0,DV!Q15,"")</f>
        <v>15</v>
      </c>
    </row>
    <row r="31" spans="1:16" x14ac:dyDescent="0.2">
      <c r="B31" t="str">
        <f>IF(DV!C1&gt;0,DV!C1,"")</f>
        <v>JAN</v>
      </c>
      <c r="C31" t="str">
        <f>IF(DV!D1&gt;0,DV!D1,"")</f>
        <v>FEB</v>
      </c>
      <c r="D31" t="str">
        <f>IF(DV!E1&gt;0,DV!E1,"")</f>
        <v>MAR</v>
      </c>
      <c r="E31" t="str">
        <f>IF(DV!F1&gt;0,DV!F1,"")</f>
        <v>APR</v>
      </c>
      <c r="F31" t="str">
        <f>IF(DV!G1&gt;0,DV!G1,"")</f>
        <v>MAY</v>
      </c>
      <c r="G31" t="str">
        <f>IF(DV!H1&gt;0,DV!H1,"")</f>
        <v>JUN</v>
      </c>
      <c r="H31" t="str">
        <f>IF(DV!I1&gt;0,DV!I1,"")</f>
        <v>JUL</v>
      </c>
      <c r="I31" t="str">
        <f>IF(DV!J1&gt;0,DV!J1,"")</f>
        <v>AUG</v>
      </c>
      <c r="J31" t="str">
        <f>IF(DV!K1&gt;0,DV!K1,"")</f>
        <v>SEP</v>
      </c>
      <c r="K31" t="str">
        <f>IF(DV!L1&gt;0,DV!L1,"")</f>
        <v>OCT</v>
      </c>
      <c r="L31" t="str">
        <f>IF(DV!M1&gt;0,DV!M1,"")</f>
        <v>NOV</v>
      </c>
      <c r="M31" t="str">
        <f>IF(DV!N1&gt;0,DV!N1,"")</f>
        <v>DEC</v>
      </c>
      <c r="N31" t="str">
        <f>IF(DV!O1&gt;0,DV!O1,"")</f>
        <v>JAN'27</v>
      </c>
      <c r="O31" t="str">
        <f>IF(DV!P1&gt;0,DV!P1,"")</f>
        <v>FEB'27</v>
      </c>
      <c r="P31" t="str">
        <f>IF(DV!Q1&gt;0,DV!Q1,"")</f>
        <v>MAR'27</v>
      </c>
    </row>
    <row r="32" spans="1:16" x14ac:dyDescent="0.2">
      <c r="A32" t="str">
        <f>IF(DV!A17&gt;0,DV!A17,"")</f>
        <v>Staff</v>
      </c>
      <c r="B32">
        <f>IF(DV!C17&gt;0,DV!C17,"")</f>
        <v>6</v>
      </c>
      <c r="C32">
        <f>IF(DV!D17&gt;0,DV!D17,"")</f>
        <v>8</v>
      </c>
      <c r="D32">
        <f>IF(DV!E17&gt;0,DV!E17,"")</f>
        <v>10</v>
      </c>
      <c r="E32">
        <f>IF(DV!F17&gt;0,DV!F17,"")</f>
        <v>12</v>
      </c>
      <c r="F32">
        <f>IF(DV!G17&gt;0,DV!G17,"")</f>
        <v>12</v>
      </c>
      <c r="G32">
        <f>IF(DV!H17&gt;0,DV!H17,"")</f>
        <v>12</v>
      </c>
      <c r="H32">
        <f>IF(DV!I17&gt;0,DV!I17,"")</f>
        <v>12</v>
      </c>
      <c r="I32">
        <f>IF(DV!J17&gt;0,DV!J17,"")</f>
        <v>12</v>
      </c>
      <c r="J32">
        <f>IF(DV!K17&gt;0,DV!K17,"")</f>
        <v>12</v>
      </c>
      <c r="K32">
        <f>IF(DV!L17&gt;0,DV!L17,"")</f>
        <v>12</v>
      </c>
      <c r="L32">
        <f>IF(DV!M17&gt;0,DV!M17,"")</f>
        <v>12</v>
      </c>
      <c r="M32">
        <f>IF(DV!N17&gt;0,DV!N17,"")</f>
        <v>12</v>
      </c>
      <c r="N32">
        <f>IF(DV!O17&gt;0,DV!O17,"")</f>
        <v>12</v>
      </c>
      <c r="O32">
        <f>IF(DV!P17&gt;0,DV!P17,"")</f>
        <v>12</v>
      </c>
      <c r="P32">
        <f>IF(DV!Q17&gt;0,DV!Q17,"")</f>
        <v>12</v>
      </c>
    </row>
    <row r="33" spans="1:16" x14ac:dyDescent="0.2">
      <c r="A33" t="str">
        <f>IF(DV!A18&gt;0,DV!A18,"")</f>
        <v>Staff AVG</v>
      </c>
      <c r="B33">
        <f>IF(DV!C18&gt;0,DV!C18,"")</f>
        <v>11</v>
      </c>
      <c r="C33">
        <f>IF(DV!D18&gt;0,DV!D18,"")</f>
        <v>11</v>
      </c>
      <c r="D33">
        <f>IF(DV!E18&gt;0,DV!E18,"")</f>
        <v>11</v>
      </c>
      <c r="E33">
        <f>IF(DV!F18&gt;0,DV!F18,"")</f>
        <v>11</v>
      </c>
      <c r="F33">
        <f>IF(DV!G18&gt;0,DV!G18,"")</f>
        <v>11</v>
      </c>
      <c r="G33">
        <f>IF(DV!H18&gt;0,DV!H18,"")</f>
        <v>11</v>
      </c>
      <c r="H33">
        <f>IF(DV!I18&gt;0,DV!I18,"")</f>
        <v>11</v>
      </c>
      <c r="I33">
        <f>IF(DV!J18&gt;0,DV!J18,"")</f>
        <v>11</v>
      </c>
      <c r="J33">
        <f>IF(DV!K18&gt;0,DV!K18,"")</f>
        <v>11</v>
      </c>
      <c r="K33">
        <f>IF(DV!L18&gt;0,DV!L18,"")</f>
        <v>11</v>
      </c>
      <c r="L33">
        <f>IF(DV!M18&gt;0,DV!M18,"")</f>
        <v>11</v>
      </c>
      <c r="M33">
        <f>IF(DV!N18&gt;0,DV!N18,"")</f>
        <v>11</v>
      </c>
      <c r="N33">
        <f>IF(DV!O18&gt;0,DV!O18,"")</f>
        <v>11</v>
      </c>
      <c r="O33">
        <f>IF(DV!P18&gt;0,DV!P18,"")</f>
        <v>11</v>
      </c>
      <c r="P33">
        <f>IF(DV!Q18&gt;0,DV!Q18,"")</f>
        <v>11</v>
      </c>
    </row>
    <row r="34" spans="1:16" x14ac:dyDescent="0.2">
      <c r="A34" t="str">
        <f>IF(DV!A19&gt;0,DV!A19,"")</f>
        <v>Plan</v>
      </c>
      <c r="B34">
        <f>IF(DV!C19&gt;0,DV!C19,"")</f>
        <v>6</v>
      </c>
      <c r="C34">
        <f>IF(DV!D19&gt;0,DV!D19,"")</f>
        <v>8</v>
      </c>
      <c r="D34">
        <f>IF(DV!E19&gt;0,DV!E19,"")</f>
        <v>10</v>
      </c>
      <c r="E34">
        <f>IF(DV!F19&gt;0,DV!F19,"")</f>
        <v>10</v>
      </c>
      <c r="F34">
        <f>IF(DV!G19&gt;0,DV!G19,"")</f>
        <v>12</v>
      </c>
      <c r="G34">
        <f>IF(DV!H19&gt;0,DV!H19,"")</f>
        <v>14</v>
      </c>
      <c r="H34">
        <f>IF(DV!I19&gt;0,DV!I19,"")</f>
        <v>15</v>
      </c>
      <c r="I34">
        <f>IF(DV!J19&gt;0,DV!J19,"")</f>
        <v>15</v>
      </c>
      <c r="J34">
        <f>IF(DV!K19&gt;0,DV!K19,"")</f>
        <v>16</v>
      </c>
      <c r="K34">
        <f>IF(DV!L19&gt;0,DV!L19,"")</f>
        <v>12</v>
      </c>
      <c r="L34">
        <f>IF(DV!M19&gt;0,DV!M19,"")</f>
        <v>12</v>
      </c>
      <c r="M34">
        <f>IF(DV!N19&gt;0,DV!N19,"")</f>
        <v>12</v>
      </c>
      <c r="N34">
        <f>IF(DV!O19&gt;0,DV!O19,"")</f>
        <v>7</v>
      </c>
      <c r="O34">
        <f>IF(DV!P19&gt;0,DV!P19,"")</f>
        <v>7</v>
      </c>
      <c r="P34">
        <f>IF(DV!Q19&gt;0,DV!Q19,"")</f>
        <v>7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JAN</v>
      </c>
      <c r="C151" t="str">
        <f>DV!D1</f>
        <v>FEB</v>
      </c>
      <c r="D151" t="str">
        <f>DV!E1</f>
        <v>MAR</v>
      </c>
      <c r="E151" t="str">
        <f>DV!F1</f>
        <v>APR</v>
      </c>
      <c r="F151" t="str">
        <f>DV!G1</f>
        <v>MAY</v>
      </c>
      <c r="G151" t="str">
        <f>DV!H1</f>
        <v>JUN</v>
      </c>
      <c r="H151" t="str">
        <f>DV!I1</f>
        <v>JUL</v>
      </c>
      <c r="I151" t="str">
        <f>DV!J1</f>
        <v>AUG</v>
      </c>
      <c r="J151" t="str">
        <f>DV!K1</f>
        <v>SEP</v>
      </c>
      <c r="K151" t="str">
        <f>DV!L1</f>
        <v>OCT</v>
      </c>
      <c r="L151" t="str">
        <f>DV!M1</f>
        <v>NOV</v>
      </c>
      <c r="M151" t="str">
        <f>DV!N1</f>
        <v>DEC</v>
      </c>
      <c r="N151" t="str">
        <f>DV!O1</f>
        <v>JAN'27</v>
      </c>
      <c r="O151" t="str">
        <f>DV!P1</f>
        <v>FEB'27</v>
      </c>
      <c r="P151" t="str">
        <f>DV!Q1</f>
        <v>MAR'27</v>
      </c>
    </row>
    <row r="152" spans="1:16" x14ac:dyDescent="0.2">
      <c r="A152" t="str">
        <f>DV!B6</f>
        <v>% Plan</v>
      </c>
      <c r="B152">
        <f>DV!C6*100</f>
        <v>92.01</v>
      </c>
      <c r="C152">
        <f>DV!D6*100</f>
        <v>97.289999999999992</v>
      </c>
      <c r="D152">
        <f>DV!E6*100</f>
        <v>99.839999999999989</v>
      </c>
      <c r="E152">
        <f>DV!F6*100</f>
        <v>95.72</v>
      </c>
      <c r="F152">
        <f>DV!G6*100</f>
        <v>98.509999999999991</v>
      </c>
      <c r="G152">
        <f>DV!H6*100</f>
        <v>96.94</v>
      </c>
      <c r="H152">
        <f>DV!I6*100</f>
        <v>97.97</v>
      </c>
      <c r="I152">
        <f>DV!J6*100</f>
        <v>96.39</v>
      </c>
      <c r="J152">
        <f>DV!K6*100</f>
        <v>96.08</v>
      </c>
      <c r="K152">
        <f>DV!L6*100</f>
        <v>90.9</v>
      </c>
      <c r="L152">
        <f>DV!M6*100</f>
        <v>89.27000000000001</v>
      </c>
      <c r="M152">
        <f>DV!N6*100</f>
        <v>88.87</v>
      </c>
      <c r="N152">
        <f>DV!O6*100</f>
        <v>70.509999999999991</v>
      </c>
      <c r="O152">
        <f>DV!P6*100</f>
        <v>70.240000000000009</v>
      </c>
      <c r="P152">
        <f>DV!Q6*100</f>
        <v>70.240000000000009</v>
      </c>
    </row>
    <row r="153" spans="1:16" x14ac:dyDescent="0.2">
      <c r="A153" t="str">
        <f>DV!B7</f>
        <v>Available FTE</v>
      </c>
      <c r="B153">
        <f>DV!C7</f>
        <v>8</v>
      </c>
      <c r="C153">
        <f>DV!D7</f>
        <v>3</v>
      </c>
      <c r="D153">
        <f>DV!E7</f>
        <v>0</v>
      </c>
      <c r="E153">
        <f>DV!F7</f>
        <v>5</v>
      </c>
      <c r="F153">
        <f>DV!G7</f>
        <v>2</v>
      </c>
      <c r="G153">
        <f>DV!H7</f>
        <v>3</v>
      </c>
      <c r="H153">
        <f>DV!I7</f>
        <v>2</v>
      </c>
      <c r="I153">
        <f>DV!J7</f>
        <v>4</v>
      </c>
      <c r="J153">
        <f>DV!K7</f>
        <v>4</v>
      </c>
      <c r="K153">
        <f>DV!L7</f>
        <v>10</v>
      </c>
      <c r="L153">
        <f>DV!M7</f>
        <v>12</v>
      </c>
      <c r="M153">
        <f>DV!N7</f>
        <v>12</v>
      </c>
      <c r="N153">
        <f>DV!O7</f>
        <v>33</v>
      </c>
      <c r="O153">
        <f>DV!P7</f>
        <v>33</v>
      </c>
      <c r="P153">
        <f>DV!Q7</f>
        <v>33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JAN</v>
      </c>
      <c r="C161" t="str">
        <f>DV!D1</f>
        <v>FEB</v>
      </c>
      <c r="D161" t="str">
        <f>DV!E1</f>
        <v>MAR</v>
      </c>
      <c r="E161" t="str">
        <f>DV!F1</f>
        <v>APR</v>
      </c>
      <c r="F161" t="str">
        <f>DV!G1</f>
        <v>MAY</v>
      </c>
      <c r="G161" t="str">
        <f>DV!H1</f>
        <v>JUN</v>
      </c>
      <c r="H161" t="str">
        <f>DV!I1</f>
        <v>JUL</v>
      </c>
      <c r="I161" t="str">
        <f>DV!J1</f>
        <v>AUG</v>
      </c>
      <c r="J161" t="str">
        <f>DV!K1</f>
        <v>SEP</v>
      </c>
      <c r="K161" t="str">
        <f>DV!L1</f>
        <v>OCT</v>
      </c>
      <c r="L161" t="str">
        <f>DV!M1</f>
        <v>NOV</v>
      </c>
      <c r="M161" t="str">
        <f>DV!N1</f>
        <v>DEC</v>
      </c>
      <c r="N161" t="str">
        <f>DV!O1</f>
        <v>JAN'27</v>
      </c>
      <c r="O161" t="str">
        <f>DV!P1</f>
        <v>FEB'27</v>
      </c>
      <c r="P161" t="str">
        <f>DV!Q1</f>
        <v>MAR'27</v>
      </c>
    </row>
    <row r="162" spans="1:16" x14ac:dyDescent="0.2">
      <c r="A162" t="str">
        <f>A2</f>
        <v>Staff</v>
      </c>
      <c r="B162">
        <f t="shared" ref="B162:P162" si="0">B2</f>
        <v>106</v>
      </c>
      <c r="C162">
        <f t="shared" si="0"/>
        <v>108</v>
      </c>
      <c r="D162">
        <f t="shared" si="0"/>
        <v>109</v>
      </c>
      <c r="E162">
        <f t="shared" si="0"/>
        <v>111</v>
      </c>
      <c r="F162">
        <f t="shared" si="0"/>
        <v>112</v>
      </c>
      <c r="G162">
        <f t="shared" si="0"/>
        <v>111</v>
      </c>
      <c r="H162">
        <f t="shared" si="0"/>
        <v>111</v>
      </c>
      <c r="I162">
        <f t="shared" si="0"/>
        <v>111</v>
      </c>
      <c r="J162">
        <f t="shared" si="0"/>
        <v>111</v>
      </c>
      <c r="K162">
        <f t="shared" si="0"/>
        <v>111</v>
      </c>
      <c r="L162">
        <f t="shared" si="0"/>
        <v>111</v>
      </c>
      <c r="M162">
        <f t="shared" si="0"/>
        <v>111</v>
      </c>
      <c r="N162">
        <f t="shared" si="0"/>
        <v>111</v>
      </c>
      <c r="O162">
        <f t="shared" si="0"/>
        <v>111</v>
      </c>
      <c r="P162">
        <f t="shared" si="0"/>
        <v>111</v>
      </c>
    </row>
    <row r="163" spans="1:16" x14ac:dyDescent="0.2">
      <c r="A163" t="str">
        <f>A4</f>
        <v>Plan</v>
      </c>
      <c r="E163">
        <f t="shared" ref="E163:P163" si="1">E4</f>
        <v>106</v>
      </c>
      <c r="F163">
        <f t="shared" si="1"/>
        <v>110</v>
      </c>
      <c r="G163">
        <f t="shared" si="1"/>
        <v>108</v>
      </c>
      <c r="H163">
        <f t="shared" si="1"/>
        <v>109</v>
      </c>
      <c r="I163">
        <f t="shared" si="1"/>
        <v>107</v>
      </c>
      <c r="J163">
        <f t="shared" si="1"/>
        <v>107</v>
      </c>
      <c r="K163">
        <f t="shared" si="1"/>
        <v>101</v>
      </c>
      <c r="L163">
        <f t="shared" si="1"/>
        <v>99</v>
      </c>
      <c r="M163">
        <f t="shared" si="1"/>
        <v>99</v>
      </c>
      <c r="N163">
        <f t="shared" si="1"/>
        <v>78</v>
      </c>
      <c r="O163">
        <f t="shared" si="1"/>
        <v>78</v>
      </c>
      <c r="P163">
        <f t="shared" si="1"/>
        <v>78</v>
      </c>
    </row>
    <row r="164" spans="1:16" x14ac:dyDescent="0.2">
      <c r="A164" t="s">
        <v>127</v>
      </c>
      <c r="B164">
        <f>SUM(DV!C22:C23)</f>
        <v>92.27</v>
      </c>
      <c r="C164">
        <f>SUM(DV!D22:D23)</f>
        <v>97.07</v>
      </c>
      <c r="D164">
        <f>SUM(DV!E22:E23)</f>
        <v>99.43</v>
      </c>
      <c r="E164">
        <f>SUM(DV!F22:F23)</f>
        <v>100.74</v>
      </c>
    </row>
    <row r="165" spans="1:16" x14ac:dyDescent="0.2">
      <c r="A165" s="83" t="s">
        <v>130</v>
      </c>
      <c r="B165" s="83">
        <v>97</v>
      </c>
      <c r="C165" s="83">
        <v>103</v>
      </c>
      <c r="D165" s="83">
        <v>103</v>
      </c>
      <c r="E165" s="83">
        <v>100</v>
      </c>
      <c r="F165" s="83">
        <v>101</v>
      </c>
      <c r="G165" s="83">
        <v>99</v>
      </c>
      <c r="H165" s="83">
        <v>92</v>
      </c>
      <c r="I165" s="83">
        <v>87</v>
      </c>
      <c r="J165" s="83">
        <v>85</v>
      </c>
      <c r="K165" s="83">
        <v>83</v>
      </c>
      <c r="L165" s="83">
        <v>79</v>
      </c>
      <c r="M165" s="83">
        <v>79</v>
      </c>
      <c r="N165" s="83"/>
      <c r="O165" s="83"/>
      <c r="P165" s="8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48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17.2</v>
      </c>
      <c r="D33" s="21">
        <v>17.2</v>
      </c>
      <c r="E33" s="21">
        <v>17.2</v>
      </c>
      <c r="F33" s="21">
        <v>17.2</v>
      </c>
      <c r="G33" s="21">
        <v>17.2</v>
      </c>
    </row>
    <row r="34" spans="1:7" x14ac:dyDescent="0.2">
      <c r="A34" s="13" t="s">
        <v>31</v>
      </c>
      <c r="B34" s="10" t="s">
        <v>18</v>
      </c>
      <c r="C34" s="26">
        <v>16.81666667</v>
      </c>
      <c r="D34" s="14">
        <v>17.43333333</v>
      </c>
      <c r="E34" s="21">
        <v>16.06666667</v>
      </c>
      <c r="F34" s="21">
        <v>15.766666669999999</v>
      </c>
      <c r="G34" s="21">
        <v>14.2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16.81666667</v>
      </c>
      <c r="C44">
        <f>IF(CPS!D34&gt;0,CPS!D34,"")</f>
        <v>17.43333333</v>
      </c>
      <c r="D44">
        <f>IF(CPS!E34&gt;0,CPS!E34,"")</f>
        <v>16.06666667</v>
      </c>
      <c r="E44">
        <f>IF(CPS!F34&gt;0,CPS!F34,"")</f>
        <v>15.766666669999999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56"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0.91439999999999999</v>
      </c>
      <c r="I6" s="19">
        <v>0.93520000000000003</v>
      </c>
      <c r="J6" s="19">
        <v>0.93130000000000002</v>
      </c>
      <c r="K6" s="19">
        <v>0.94169999999999998</v>
      </c>
      <c r="L6" s="19">
        <v>0.88439999999999996</v>
      </c>
      <c r="M6" s="19">
        <v>0.86250000000000004</v>
      </c>
      <c r="N6" s="19">
        <v>0.86250000000000004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27</v>
      </c>
      <c r="K11" s="8">
        <v>27</v>
      </c>
      <c r="L11" s="8">
        <v>26</v>
      </c>
      <c r="M11" s="8">
        <v>25</v>
      </c>
      <c r="N11" s="8">
        <v>25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15</v>
      </c>
      <c r="J15" s="8">
        <v>15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42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5.4899999999999997E-2</v>
      </c>
      <c r="E35" s="28">
        <v>6.4000000000000001E-2</v>
      </c>
      <c r="F35" s="28">
        <v>0.13020000000000001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0.94510000000000005</v>
      </c>
      <c r="E36" s="19">
        <v>0.93600000000000005</v>
      </c>
      <c r="F36" s="19">
        <v>0.86980000000000002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6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27</v>
      </c>
      <c r="F41" s="21">
        <v>25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15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43.89</v>
      </c>
      <c r="I63" s="38">
        <v>44.89</v>
      </c>
      <c r="J63" s="38">
        <v>44.7</v>
      </c>
      <c r="K63" s="38">
        <v>45.2</v>
      </c>
      <c r="L63" s="38">
        <v>42.45</v>
      </c>
      <c r="M63" s="38">
        <v>41.4</v>
      </c>
      <c r="N63" s="38">
        <v>41.4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36.89</v>
      </c>
      <c r="I73" s="8">
        <v>37.89</v>
      </c>
      <c r="J73" s="8">
        <v>37.700000000000003</v>
      </c>
      <c r="K73" s="8">
        <v>38.200000000000003</v>
      </c>
      <c r="L73" s="8">
        <v>35.450000000000003</v>
      </c>
      <c r="M73" s="8">
        <v>34.4</v>
      </c>
      <c r="N73" s="8">
        <v>34.4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19.34</v>
      </c>
      <c r="I75" s="41">
        <v>20.89</v>
      </c>
      <c r="J75" s="41">
        <v>20.7</v>
      </c>
      <c r="K75" s="41">
        <v>20.7</v>
      </c>
      <c r="L75" s="41">
        <v>19.55</v>
      </c>
      <c r="M75" s="41">
        <v>18.5</v>
      </c>
      <c r="N75" s="41">
        <v>18.5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</v>
      </c>
      <c r="J77" s="41">
        <v>14</v>
      </c>
      <c r="K77" s="41">
        <v>14.5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27</v>
      </c>
      <c r="J5">
        <f>IF(PSE!K11&gt;0,PSE!K11,"")</f>
        <v>27</v>
      </c>
      <c r="K5">
        <f>IF(PSE!L11&gt;0,PSE!L11,"")</f>
        <v>26</v>
      </c>
      <c r="L5">
        <f>IF(PSE!M11&gt;0,PSE!M11,"")</f>
        <v>25</v>
      </c>
      <c r="M5">
        <f>IF(PSE!N11&gt;0,PSE!N11,"")</f>
        <v>25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15</v>
      </c>
      <c r="I6">
        <f>IF(PSE!J15&gt;0,PSE!J15,"")</f>
        <v>15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27</v>
      </c>
      <c r="J14">
        <f>IF(PSE!K11&gt;0,PSE!K11,"")</f>
        <v>27</v>
      </c>
      <c r="K14">
        <f>IF(PSE!L11&gt;0,PSE!L11,"")</f>
        <v>26</v>
      </c>
      <c r="L14">
        <f>IF(PSE!M11&gt;0,PSE!M11,"")</f>
        <v>25</v>
      </c>
      <c r="M14">
        <f>IF(PSE!N11&gt;0,PSE!N11,"")</f>
        <v>25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15</v>
      </c>
      <c r="I24">
        <f>PSE!J15</f>
        <v>15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42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27</v>
      </c>
      <c r="E45">
        <f>IF(PSE!F41&gt;0,PSE!F41,"")</f>
        <v>25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15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36.89</v>
      </c>
      <c r="H63">
        <f>PSE!I73</f>
        <v>37.89</v>
      </c>
      <c r="I63">
        <f>PSE!J73</f>
        <v>37.700000000000003</v>
      </c>
      <c r="J63">
        <f>PSE!K73</f>
        <v>38.200000000000003</v>
      </c>
      <c r="K63">
        <f>PSE!L73</f>
        <v>35.450000000000003</v>
      </c>
      <c r="L63">
        <f>PSE!M73</f>
        <v>34.4</v>
      </c>
      <c r="M63">
        <f>PSE!N73</f>
        <v>34.4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4.1099999999999994</v>
      </c>
      <c r="H64" s="67">
        <f t="shared" si="2"/>
        <v>3.1099999999999994</v>
      </c>
      <c r="I64" s="67">
        <f t="shared" si="2"/>
        <v>3.2999999999999972</v>
      </c>
      <c r="J64" s="67">
        <f t="shared" si="2"/>
        <v>2.7999999999999972</v>
      </c>
      <c r="K64" s="67">
        <f t="shared" si="2"/>
        <v>5.5499999999999972</v>
      </c>
      <c r="L64" s="67">
        <f t="shared" si="2"/>
        <v>6.6000000000000014</v>
      </c>
      <c r="M64" s="67">
        <f t="shared" si="2"/>
        <v>6.6000000000000014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93.577235772357724</v>
      </c>
      <c r="D66" s="59">
        <f>(AVERAGE(H63:J63)/AVERAGE(H62:J62))*100</f>
        <v>92.512195121951223</v>
      </c>
      <c r="E66" s="59">
        <f>(AVERAGE(K63:M63)/AVERAGE(K62:M62))*100</f>
        <v>84.756097560975604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91.44</v>
      </c>
      <c r="H152">
        <f>PSE!I6*100</f>
        <v>93.52000000000001</v>
      </c>
      <c r="I152">
        <f>PSE!J6*100</f>
        <v>93.13</v>
      </c>
      <c r="J152">
        <f>PSE!K6*100</f>
        <v>94.17</v>
      </c>
      <c r="K152">
        <f>PSE!L6*100</f>
        <v>88.44</v>
      </c>
      <c r="L152">
        <f>PSE!M6*100</f>
        <v>86.25</v>
      </c>
      <c r="M152">
        <f>PSE!N6*100</f>
        <v>86.25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94.51</v>
      </c>
      <c r="D156">
        <f>PSE!E36*100</f>
        <v>93.600000000000009</v>
      </c>
      <c r="E156">
        <f>PSE!F36*100</f>
        <v>86.98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6</v>
      </c>
      <c r="F157">
        <f>PSE!G37</f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71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43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43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0.93679999999999997</v>
      </c>
      <c r="D6" s="19">
        <v>1.0169999999999999</v>
      </c>
      <c r="E6" s="19">
        <v>1.0371999999999999</v>
      </c>
      <c r="F6" s="19">
        <v>0.94389999999999996</v>
      </c>
      <c r="G6" s="19">
        <v>0.9798</v>
      </c>
      <c r="H6" s="19">
        <v>1.0068999999999999</v>
      </c>
      <c r="I6" s="19">
        <v>1.0361</v>
      </c>
      <c r="J6" s="19">
        <v>1.0063</v>
      </c>
      <c r="K6" s="19">
        <v>0.98809999999999998</v>
      </c>
      <c r="L6" s="19">
        <v>0.92490000000000006</v>
      </c>
      <c r="M6" s="19">
        <v>0.91290000000000004</v>
      </c>
      <c r="N6" s="19">
        <v>0.90310000000000001</v>
      </c>
      <c r="O6" s="19">
        <v>0.7046</v>
      </c>
      <c r="P6" s="19">
        <v>0.69810000000000005</v>
      </c>
      <c r="Q6" s="19">
        <v>0.69810000000000005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3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3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32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26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1.8E-3</v>
      </c>
      <c r="D35" s="28">
        <v>2.3099999999999999E-2</v>
      </c>
      <c r="E35" s="28">
        <v>-1.0200000000000001E-2</v>
      </c>
      <c r="F35" s="28">
        <v>8.6400000000000005E-2</v>
      </c>
      <c r="G35" s="28">
        <v>0.29980000000000001</v>
      </c>
    </row>
    <row r="36" spans="1:7" x14ac:dyDescent="0.2">
      <c r="A36" s="8"/>
      <c r="B36" s="18" t="s">
        <v>23</v>
      </c>
      <c r="C36" s="29">
        <v>0.99819999999999998</v>
      </c>
      <c r="D36" s="19">
        <v>0.97689999999999999</v>
      </c>
      <c r="E36" s="19">
        <v>1.0102</v>
      </c>
      <c r="F36" s="19">
        <v>0.91359999999999997</v>
      </c>
      <c r="G36" s="19">
        <v>0.70020000000000004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40.282499999999999</v>
      </c>
      <c r="D63" s="48">
        <v>45.765000000000001</v>
      </c>
      <c r="E63" s="48">
        <v>47.71</v>
      </c>
      <c r="F63" s="48">
        <v>43.42</v>
      </c>
      <c r="G63" s="48">
        <v>46.052500000000002</v>
      </c>
      <c r="H63" s="48">
        <v>46.317500000000003</v>
      </c>
      <c r="I63" s="48">
        <v>47.658749999999998</v>
      </c>
      <c r="J63" s="48">
        <v>46.291249999999998</v>
      </c>
      <c r="K63" s="48">
        <v>45.453749999999999</v>
      </c>
      <c r="L63" s="48">
        <v>42.547499999999999</v>
      </c>
      <c r="M63" s="48">
        <v>41.9925</v>
      </c>
      <c r="N63" s="48">
        <v>41.542499999999997</v>
      </c>
      <c r="O63" s="48">
        <v>32.411250000000003</v>
      </c>
      <c r="P63" s="48">
        <v>32.111249999999998</v>
      </c>
      <c r="Q63" s="48">
        <v>32.111249999999998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4.125</v>
      </c>
      <c r="H67" s="8">
        <v>4.125</v>
      </c>
      <c r="I67" s="8">
        <v>4.03125</v>
      </c>
      <c r="J67" s="8">
        <v>3.34375</v>
      </c>
      <c r="K67" s="8">
        <v>3.03125</v>
      </c>
      <c r="L67" s="8">
        <v>2.8125</v>
      </c>
      <c r="M67" s="8">
        <v>2.6875</v>
      </c>
      <c r="N67" s="8">
        <v>2.4375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3.89</v>
      </c>
      <c r="G75" s="8">
        <v>3.4750000000000001</v>
      </c>
      <c r="H75" s="8">
        <v>3.4249999999999998</v>
      </c>
      <c r="I75" s="8">
        <v>3.3250000000000002</v>
      </c>
      <c r="J75" s="8">
        <v>3.58</v>
      </c>
      <c r="K75" s="8">
        <v>3.13</v>
      </c>
      <c r="L75" s="8">
        <v>3.13</v>
      </c>
      <c r="M75" s="8">
        <v>3.13</v>
      </c>
      <c r="N75" s="8">
        <v>3.0550000000000002</v>
      </c>
      <c r="O75" s="8">
        <v>2.79</v>
      </c>
      <c r="P75" s="8">
        <v>2.79</v>
      </c>
      <c r="Q75" s="8">
        <v>2.79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3.2349999999999999</v>
      </c>
      <c r="D77" s="8">
        <v>3.0249999999999999</v>
      </c>
      <c r="E77" s="8">
        <v>4.12</v>
      </c>
      <c r="F77" s="8">
        <v>2.5550000000000002</v>
      </c>
      <c r="G77" s="8">
        <v>2.585</v>
      </c>
      <c r="H77" s="8">
        <v>2.3650000000000002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3.25</v>
      </c>
      <c r="D79" s="8">
        <v>3.25</v>
      </c>
      <c r="E79" s="8">
        <v>3.2</v>
      </c>
      <c r="F79" s="8">
        <v>2.85</v>
      </c>
      <c r="G79" s="8">
        <v>3.1</v>
      </c>
      <c r="H79" s="8">
        <v>2.85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4.0999999999999996</v>
      </c>
      <c r="H81" s="8">
        <v>4</v>
      </c>
      <c r="I81" s="8">
        <v>4.125</v>
      </c>
      <c r="J81" s="8">
        <v>4.07</v>
      </c>
      <c r="K81" s="8">
        <v>3.8450000000000002</v>
      </c>
      <c r="L81" s="8">
        <v>3.645</v>
      </c>
      <c r="M81" s="8">
        <v>3.4449999999999998</v>
      </c>
      <c r="N81" s="8">
        <v>2.67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5.0999999999999996</v>
      </c>
      <c r="G83" s="8">
        <v>5.95</v>
      </c>
      <c r="H83" s="8">
        <v>5.45</v>
      </c>
      <c r="I83" s="8">
        <v>5.17</v>
      </c>
      <c r="J83" s="8">
        <v>4.72</v>
      </c>
      <c r="K83" s="8">
        <v>4.5199999999999996</v>
      </c>
      <c r="L83" s="8">
        <v>4.5199999999999996</v>
      </c>
      <c r="M83" s="8">
        <v>4.5199999999999996</v>
      </c>
      <c r="N83" s="8">
        <v>4.5199999999999996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43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43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4.125</v>
      </c>
      <c r="G53">
        <f>SD!H67</f>
        <v>4.125</v>
      </c>
      <c r="H53">
        <f>SD!I67</f>
        <v>4.03125</v>
      </c>
      <c r="I53">
        <f>SD!J67</f>
        <v>3.34375</v>
      </c>
      <c r="J53">
        <f>SD!K67</f>
        <v>3.03125</v>
      </c>
      <c r="K53">
        <f>SD!L67</f>
        <v>2.8125</v>
      </c>
      <c r="L53">
        <f>SD!M67</f>
        <v>2.6875</v>
      </c>
      <c r="M53">
        <f>SD!N67</f>
        <v>2.4375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-0.125</v>
      </c>
      <c r="G54" s="67">
        <f t="shared" si="0"/>
        <v>-0.125</v>
      </c>
      <c r="H54" s="67">
        <f t="shared" si="0"/>
        <v>-3.125E-2</v>
      </c>
      <c r="I54" s="67">
        <f t="shared" si="0"/>
        <v>0.65625</v>
      </c>
      <c r="J54" s="67">
        <f t="shared" si="0"/>
        <v>0.96875</v>
      </c>
      <c r="K54" s="67">
        <f t="shared" si="0"/>
        <v>1.1875</v>
      </c>
      <c r="L54" s="67">
        <f t="shared" si="0"/>
        <v>1.3125</v>
      </c>
      <c r="M54" s="67">
        <f t="shared" si="0"/>
        <v>1.5625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96.25</v>
      </c>
      <c r="D56" s="59">
        <f>(AVERAGE(H53:J53)/AVERAGE(H52:J52))*100</f>
        <v>86.71875</v>
      </c>
      <c r="E56" s="59">
        <f>(AVERAGE(K53:M53)/AVERAGE(K52:M52))*100</f>
        <v>66.145833333333343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3.89</v>
      </c>
      <c r="F73">
        <f>SD!G75</f>
        <v>3.4750000000000001</v>
      </c>
      <c r="G73">
        <f>SD!H75</f>
        <v>3.4249999999999998</v>
      </c>
      <c r="H73">
        <f>SD!I75</f>
        <v>3.3250000000000002</v>
      </c>
      <c r="I73">
        <f>SD!J75</f>
        <v>3.58</v>
      </c>
      <c r="J73">
        <f>SD!K75</f>
        <v>3.13</v>
      </c>
      <c r="K73">
        <f>SD!L75</f>
        <v>3.13</v>
      </c>
      <c r="L73">
        <f>SD!M75</f>
        <v>3.13</v>
      </c>
      <c r="M73">
        <f>SD!N75</f>
        <v>3.0550000000000002</v>
      </c>
      <c r="N73">
        <f>SD!O75</f>
        <v>2.79</v>
      </c>
      <c r="O73">
        <f>SD!P75</f>
        <v>2.79</v>
      </c>
      <c r="P73">
        <f>SD!Q75</f>
        <v>2.79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0.10999999999999988</v>
      </c>
      <c r="F74" s="67">
        <f t="shared" si="4"/>
        <v>0.52499999999999991</v>
      </c>
      <c r="G74" s="67">
        <f t="shared" si="4"/>
        <v>0.57500000000000018</v>
      </c>
      <c r="H74" s="67">
        <f t="shared" si="4"/>
        <v>0.67499999999999982</v>
      </c>
      <c r="I74" s="67">
        <f t="shared" si="4"/>
        <v>0.41999999999999993</v>
      </c>
      <c r="J74" s="67">
        <f t="shared" si="4"/>
        <v>0.87000000000000011</v>
      </c>
      <c r="K74" s="67">
        <f t="shared" si="4"/>
        <v>0.87000000000000011</v>
      </c>
      <c r="L74" s="67">
        <f t="shared" si="4"/>
        <v>0.87000000000000011</v>
      </c>
      <c r="M74" s="67">
        <f t="shared" si="4"/>
        <v>0.94499999999999984</v>
      </c>
      <c r="N74" s="67">
        <f t="shared" si="4"/>
        <v>1.21</v>
      </c>
      <c r="O74" s="67">
        <f t="shared" si="4"/>
        <v>1.21</v>
      </c>
      <c r="P74" s="67">
        <f t="shared" si="4"/>
        <v>1.21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89.916666666666657</v>
      </c>
      <c r="D76" s="59">
        <f>(AVERAGE(H73:J73)/AVERAGE(H72:J72))*100</f>
        <v>83.625</v>
      </c>
      <c r="E76" s="59">
        <f>(AVERAGE(K73:M73)/AVERAGE(K72:M72))*100</f>
        <v>77.625</v>
      </c>
      <c r="F76" s="59">
        <f>(AVERAGE(N73:P73)/AVERAGE(N72:P72))*100</f>
        <v>69.750000000000014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3.2349999999999999</v>
      </c>
      <c r="C83">
        <f>SD!D77</f>
        <v>3.0249999999999999</v>
      </c>
      <c r="D83">
        <f>SD!E77</f>
        <v>4.12</v>
      </c>
      <c r="E83">
        <f>SD!F77</f>
        <v>2.5550000000000002</v>
      </c>
      <c r="F83">
        <f>SD!G77</f>
        <v>2.585</v>
      </c>
      <c r="G83">
        <f>SD!H77</f>
        <v>2.3650000000000002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-1.2349999999999999</v>
      </c>
      <c r="C84" s="67">
        <f t="shared" ref="C84:P84" si="6">C82-C83</f>
        <v>-1.0249999999999999</v>
      </c>
      <c r="D84" s="67">
        <f t="shared" si="6"/>
        <v>-2.12</v>
      </c>
      <c r="E84" s="67">
        <f t="shared" si="6"/>
        <v>-0.55500000000000016</v>
      </c>
      <c r="F84" s="67">
        <f t="shared" si="6"/>
        <v>-0.58499999999999996</v>
      </c>
      <c r="G84" s="67">
        <f t="shared" si="6"/>
        <v>-0.36500000000000021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172.99999999999997</v>
      </c>
      <c r="C86" s="59">
        <f>(AVERAGE(E83:G83)/AVERAGE(E82:G82))*100</f>
        <v>125.08333333333334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3.25</v>
      </c>
      <c r="C93">
        <f>SD!D79</f>
        <v>3.25</v>
      </c>
      <c r="D93">
        <f>SD!E79</f>
        <v>3.2</v>
      </c>
      <c r="E93">
        <f>SD!F79</f>
        <v>2.85</v>
      </c>
      <c r="F93">
        <f>SD!G79</f>
        <v>3.1</v>
      </c>
      <c r="G93">
        <f>SD!H79</f>
        <v>2.85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-0.25</v>
      </c>
      <c r="C94" s="67">
        <f t="shared" ref="C94:P94" si="8">C92-C93</f>
        <v>-0.25</v>
      </c>
      <c r="D94" s="67">
        <f t="shared" si="8"/>
        <v>-0.20000000000000018</v>
      </c>
      <c r="E94" s="67">
        <f t="shared" si="8"/>
        <v>0.14999999999999991</v>
      </c>
      <c r="F94" s="67">
        <f t="shared" si="8"/>
        <v>-0.10000000000000009</v>
      </c>
      <c r="G94" s="67">
        <f t="shared" si="8"/>
        <v>0.14999999999999991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107.77777777777777</v>
      </c>
      <c r="C96" s="59">
        <f>(AVERAGE(E93:G93)/AVERAGE(E92:G92))*100</f>
        <v>97.777777777777786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4.0999999999999996</v>
      </c>
      <c r="G103">
        <f>SD!H81</f>
        <v>4</v>
      </c>
      <c r="H103">
        <f>SD!I81</f>
        <v>4.125</v>
      </c>
      <c r="I103">
        <f>SD!J81</f>
        <v>4.07</v>
      </c>
      <c r="J103">
        <f>SD!K81</f>
        <v>3.8450000000000002</v>
      </c>
      <c r="K103">
        <f>SD!L81</f>
        <v>3.645</v>
      </c>
      <c r="L103">
        <f>SD!M81</f>
        <v>3.4449999999999998</v>
      </c>
      <c r="M103">
        <f>SD!N81</f>
        <v>2.67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-9.9999999999999645E-2</v>
      </c>
      <c r="G104" s="67">
        <f t="shared" si="10"/>
        <v>0</v>
      </c>
      <c r="H104" s="67">
        <f t="shared" si="10"/>
        <v>-0.125</v>
      </c>
      <c r="I104" s="67">
        <f t="shared" si="10"/>
        <v>-7.0000000000000284E-2</v>
      </c>
      <c r="J104" s="67">
        <f t="shared" si="10"/>
        <v>0.1549999999999998</v>
      </c>
      <c r="K104" s="67">
        <f t="shared" si="10"/>
        <v>0.35499999999999998</v>
      </c>
      <c r="L104" s="67">
        <f t="shared" si="10"/>
        <v>0.55500000000000016</v>
      </c>
      <c r="M104" s="67">
        <f t="shared" si="10"/>
        <v>1.33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99.583333333333329</v>
      </c>
      <c r="D106" s="59">
        <f>(AVERAGE(H103:J103)/AVERAGE(H102:J102))*100</f>
        <v>100.33333333333334</v>
      </c>
      <c r="E106" s="59">
        <f>(AVERAGE(K103:M103)/AVERAGE(K102:M102))*100</f>
        <v>81.333333333333329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5.0999999999999996</v>
      </c>
      <c r="F113">
        <f>SD!G83</f>
        <v>5.95</v>
      </c>
      <c r="G113">
        <f>SD!H83</f>
        <v>5.45</v>
      </c>
      <c r="H113">
        <f>SD!I83</f>
        <v>5.17</v>
      </c>
      <c r="I113">
        <f>SD!J83</f>
        <v>4.72</v>
      </c>
      <c r="J113">
        <f>SD!K83</f>
        <v>4.5199999999999996</v>
      </c>
      <c r="K113">
        <f>SD!L83</f>
        <v>4.5199999999999996</v>
      </c>
      <c r="L113">
        <f>SD!M83</f>
        <v>4.5199999999999996</v>
      </c>
      <c r="M113">
        <f>SD!N83</f>
        <v>4.5199999999999996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-9.9999999999999645E-2</v>
      </c>
      <c r="F114" s="67">
        <f t="shared" si="12"/>
        <v>4.9999999999999822E-2</v>
      </c>
      <c r="G114" s="67">
        <f t="shared" si="12"/>
        <v>-0.45000000000000018</v>
      </c>
      <c r="H114" s="67">
        <f t="shared" si="12"/>
        <v>-0.16999999999999993</v>
      </c>
      <c r="I114" s="67">
        <f t="shared" si="12"/>
        <v>0.28000000000000025</v>
      </c>
      <c r="J114" s="67">
        <f t="shared" si="12"/>
        <v>0.48000000000000043</v>
      </c>
      <c r="K114" s="67">
        <f t="shared" si="12"/>
        <v>0.48000000000000043</v>
      </c>
      <c r="L114" s="67">
        <f t="shared" si="12"/>
        <v>0.48000000000000043</v>
      </c>
      <c r="M114" s="67">
        <f t="shared" si="12"/>
        <v>0.48000000000000043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103.125</v>
      </c>
      <c r="D116" s="59">
        <f>(AVERAGE(H113:J113)/AVERAGE(H112:J112))*100</f>
        <v>96.066666666666677</v>
      </c>
      <c r="E116" s="59">
        <f>(AVERAGE(K113:M113)/AVERAGE(K112:M112))*100</f>
        <v>90.399999999999991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93.679999999999993</v>
      </c>
      <c r="C152">
        <f>SD!D6*100</f>
        <v>101.69999999999999</v>
      </c>
      <c r="D152">
        <f>SD!E6*100</f>
        <v>103.71999999999998</v>
      </c>
      <c r="E152">
        <f>SD!F6*100</f>
        <v>94.39</v>
      </c>
      <c r="F152">
        <f>SD!G6*100</f>
        <v>97.98</v>
      </c>
      <c r="G152">
        <f>SD!H6*100</f>
        <v>100.69</v>
      </c>
      <c r="H152">
        <f>SD!I6*100</f>
        <v>103.61</v>
      </c>
      <c r="I152">
        <f>SD!J6*100</f>
        <v>100.63</v>
      </c>
      <c r="J152">
        <f>SD!K6*100</f>
        <v>98.81</v>
      </c>
      <c r="K152">
        <f>SD!L6*100</f>
        <v>92.490000000000009</v>
      </c>
      <c r="L152">
        <f>SD!M6*100</f>
        <v>91.29</v>
      </c>
      <c r="M152">
        <f>SD!N6*100</f>
        <v>90.31</v>
      </c>
      <c r="N152">
        <f>SD!O6*100</f>
        <v>70.459999999999994</v>
      </c>
      <c r="O152">
        <f>SD!P6*100</f>
        <v>69.81</v>
      </c>
      <c r="P152">
        <f>SD!Q6*100</f>
        <v>69.81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3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3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99.82</v>
      </c>
      <c r="C156">
        <f>SD!D36*100</f>
        <v>97.69</v>
      </c>
      <c r="D156">
        <f>SD!E36*100</f>
        <v>101.02</v>
      </c>
      <c r="E156">
        <f>SD!F36*100</f>
        <v>91.36</v>
      </c>
      <c r="F156">
        <f>SD!G36*100</f>
        <v>70.02000000000001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50" activePane="bottomLeft" state="frozen"/>
      <selection pane="bottomLeft" activeCell="B66" sqref="B66:P66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64.02</v>
      </c>
      <c r="C62" s="8">
        <v>70.39</v>
      </c>
      <c r="D62" s="8">
        <v>74.349999999999994</v>
      </c>
      <c r="E62" s="8">
        <v>72.650000000000006</v>
      </c>
      <c r="F62" s="8">
        <v>78.16</v>
      </c>
      <c r="G62" s="8">
        <v>74.239999999999995</v>
      </c>
      <c r="H62" s="8">
        <v>77.010000000000005</v>
      </c>
      <c r="I62" s="8">
        <v>75.19</v>
      </c>
      <c r="J62" s="8">
        <v>74.180000000000007</v>
      </c>
      <c r="K62" s="8">
        <v>68.94</v>
      </c>
      <c r="L62" s="8">
        <v>67.36</v>
      </c>
      <c r="M62" s="8">
        <v>67.180000000000007</v>
      </c>
      <c r="N62" s="8">
        <v>48.3</v>
      </c>
      <c r="O62" s="8">
        <v>48.12</v>
      </c>
      <c r="P62" s="8">
        <v>48.12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H25" sqref="H25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64.02</v>
      </c>
      <c r="C42" s="8">
        <f>Project!C62</f>
        <v>70.39</v>
      </c>
      <c r="D42" s="8">
        <f>Project!D62</f>
        <v>74.349999999999994</v>
      </c>
      <c r="E42" s="8">
        <f>Project!E62</f>
        <v>72.650000000000006</v>
      </c>
      <c r="F42" s="8">
        <f>Project!F62</f>
        <v>78.16</v>
      </c>
      <c r="G42" s="8">
        <f>Project!G62</f>
        <v>74.239999999999995</v>
      </c>
      <c r="H42" s="8">
        <f>Project!H62</f>
        <v>77.010000000000005</v>
      </c>
      <c r="I42" s="8">
        <f>Project!I62</f>
        <v>75.19</v>
      </c>
      <c r="J42" s="8">
        <f>Project!J62</f>
        <v>74.180000000000007</v>
      </c>
      <c r="K42" s="8">
        <f>Project!K62</f>
        <v>68.94</v>
      </c>
      <c r="L42" s="8">
        <f>Project!L62</f>
        <v>67.36</v>
      </c>
      <c r="M42" s="8">
        <f>Project!M62</f>
        <v>67.180000000000007</v>
      </c>
      <c r="N42" s="8">
        <f>Project!N62</f>
        <v>48.3</v>
      </c>
      <c r="O42" s="8">
        <f>Project!O62</f>
        <v>48.12</v>
      </c>
      <c r="P42" s="8">
        <f>Project!P62</f>
        <v>48.12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2026-07-18T19:27:47Z</dcterms:modified>
</cp:coreProperties>
</file>