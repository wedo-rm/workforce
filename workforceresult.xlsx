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iiintra/Documents/Documents - miintra*’s MacBook Pro 🐰/miintra*'s work/2026/RM/Dashboard/07 July/"/>
    </mc:Choice>
  </mc:AlternateContent>
  <xr:revisionPtr revIDLastSave="0" documentId="13_ncr:1_{13C4DA9E-E73A-2C4D-A004-DFCDBC789833}" xr6:coauthVersionLast="47" xr6:coauthVersionMax="47" xr10:uidLastSave="{00000000-0000-0000-0000-000000000000}"/>
  <bookViews>
    <workbookView xWindow="960" yWindow="1660" windowWidth="40720" windowHeight="15880" activeTab="16" xr2:uid="{9B62DE01-5AE9-7A46-A5D4-95A9ED94E5A6}"/>
  </bookViews>
  <sheets>
    <sheet name="Summary" sheetId="17" r:id="rId1"/>
    <sheet name="ALL" sheetId="1" r:id="rId2"/>
    <sheet name="GraphAll" sheetId="3" r:id="rId3"/>
    <sheet name="DV" sheetId="15" r:id="rId4"/>
    <sheet name="GraphDV" sheetId="16" r:id="rId5"/>
    <sheet name="CPS" sheetId="2" r:id="rId6"/>
    <sheet name="GraphCPS" sheetId="4" r:id="rId7"/>
    <sheet name="PSE" sheetId="5" r:id="rId8"/>
    <sheet name="GraphPSE" sheetId="6" r:id="rId9"/>
    <sheet name="SD" sheetId="7" r:id="rId10"/>
    <sheet name="GraphSD" sheetId="8" r:id="rId11"/>
    <sheet name="AIC" sheetId="9" r:id="rId12"/>
    <sheet name="GraphAIC" sheetId="10" r:id="rId13"/>
    <sheet name="TDE" sheetId="11" r:id="rId14"/>
    <sheet name="GraphTDE" sheetId="12" r:id="rId15"/>
    <sheet name="Project" sheetId="13" r:id="rId16"/>
    <sheet name="GraphPJ" sheetId="14" r:id="rId17"/>
  </sheets>
  <definedNames>
    <definedName name="_xlnm._FilterDatabase" localSheetId="0" hidden="1">Summary!$A$1:$N$1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4" l="1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O163" i="16" s="1"/>
  <c r="N4" i="16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N163" i="16"/>
  <c r="F163" i="16"/>
  <c r="A163" i="16"/>
  <c r="H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F135" i="8"/>
  <c r="B135" i="8"/>
  <c r="A126" i="8"/>
  <c r="F125" i="8"/>
  <c r="D125" i="8"/>
  <c r="C125" i="8"/>
  <c r="B125" i="8"/>
  <c r="A116" i="8"/>
  <c r="D115" i="8"/>
  <c r="C115" i="8"/>
  <c r="B115" i="8"/>
  <c r="A106" i="8"/>
  <c r="F105" i="8"/>
  <c r="D105" i="8"/>
  <c r="A96" i="8"/>
  <c r="F95" i="8"/>
  <c r="E95" i="8"/>
  <c r="D95" i="8"/>
  <c r="C95" i="8"/>
  <c r="B95" i="8"/>
  <c r="A86" i="8"/>
  <c r="F85" i="8"/>
  <c r="B85" i="8"/>
  <c r="A76" i="8"/>
  <c r="F75" i="8"/>
  <c r="D75" i="8"/>
  <c r="C75" i="8"/>
  <c r="B75" i="8"/>
  <c r="A66" i="8"/>
  <c r="D65" i="8"/>
  <c r="C65" i="8"/>
  <c r="B65" i="8"/>
  <c r="A56" i="8"/>
  <c r="F55" i="8"/>
  <c r="D55" i="8"/>
  <c r="A66" i="6"/>
  <c r="F65" i="6"/>
  <c r="E65" i="6"/>
  <c r="D65" i="6"/>
  <c r="A56" i="6"/>
  <c r="F55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H74" i="10" s="1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F64" i="10" s="1"/>
  <c r="G62" i="10"/>
  <c r="H62" i="10"/>
  <c r="I62" i="10"/>
  <c r="J62" i="10"/>
  <c r="K62" i="10"/>
  <c r="L62" i="10"/>
  <c r="M62" i="10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D62" i="8"/>
  <c r="E62" i="8"/>
  <c r="F62" i="8"/>
  <c r="G62" i="8"/>
  <c r="H62" i="8"/>
  <c r="I62" i="8"/>
  <c r="J62" i="8"/>
  <c r="K62" i="8"/>
  <c r="L62" i="8"/>
  <c r="L64" i="8" s="1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E54" i="12" l="1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<sst xmlns="http://schemas.openxmlformats.org/spreadsheetml/2006/main" count="1990" uniqueCount="377">
  <si>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</si>
  <si>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</si>
  <si>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</si>
  <si>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</si>
  <si>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</si>
  <si>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</si>
  <si>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</si>
  <si>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</si>
  <si>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</si>
  <si>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</si>
  <si>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</si>
  <si>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</si>
  <si>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</si>
  <si>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</si>
  <si>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</si>
  <si>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</si>
  <si>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</si>
  <si>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</si>
  <si>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</si>
  <si>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</si>
  <si>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</si>
  <si>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</si>
  <si>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</si>
  <si>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</si>
  <si>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</si>
  <si>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</si>
  <si>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</si>
  <si>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</si>
  <si>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</si>
  <si>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</si>
  <si>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</si>
  <si>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</si>
  <si>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</si>
  <si>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</si>
  <si>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</si>
  <si>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</si>
  <si>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</si>
  <si>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</si>
  <si>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</si>
  <si>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</si>
  <si>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</si>
  <si>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</si>
  <si>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</si>
  <si>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</si>
  <si>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</si>
  <si>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</si>
  <si>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</si>
  <si>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</si>
  <si>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</si>
  <si>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</si>
  <si>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</si>
  <si>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</si>
  <si>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</si>
  <si>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</si>
  <si>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</si>
  <si>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</si>
  <si>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</si>
  <si>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</si>
  <si>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</si>
  <si>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</si>
  <si>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</si>
  <si>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</si>
  <si>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</si>
  <si>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</si>
  <si>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</si>
  <si>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</si>
  <si>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</si>
  <si>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</si>
  <si>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</si>
  <si>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</si>
  <si>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</si>
  <si>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</si>
  <si>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</si>
  <si>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</si>
  <si>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</si>
  <si>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</si>
  <si>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</si>
  <si>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</si>
  <si>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</si>
  <si>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</si>
  <si>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</si>
  <si>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</si>
  <si>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</si>
  <si>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</si>
  <si>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</si>
  <si>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</si>
  <si>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</si>
  <si>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</si>
  <si>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</si>
  <si>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</si>
  <si>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</si>
  <si>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</si>
  <si>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</si>
  <si>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</si>
  <si>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</si>
  <si>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</si>
  <si>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</si>
  <si>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</si>
  <si>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</si>
  <si>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</si>
  <si>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</si>
  <si>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</si>
  <si>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</si>
  <si>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</si>
  <si>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</si>
  <si>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</si>
  <si>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</si>
  <si>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</si>
  <si>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</si>
  <si>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</si>
  <si>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</si>
  <si>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</si>
  <si>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</si>
  <si>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</si>
  <si>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</si>
  <si>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</si>
  <si>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</si>
  <si>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</si>
  <si>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</si>
  <si>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</si>
  <si>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</si>
  <si>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</si>
  <si>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</si>
  <si>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</si>
  <si>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</si>
  <si>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</si>
  <si>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</si>
  <si>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</si>
  <si>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</si>
  <si>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</si>
  <si>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</si>
  <si>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</si>
  <si>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</si>
  <si>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</si>
  <si>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</si>
  <si>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</si>
  <si>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</si>
  <si>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</si>
  <si>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</si>
  <si>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</si>
  <si>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</si>
  <si>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</si>
  <si>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</si>
  <si>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</si>
  <si>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</si>
  <si>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</si>
  <si>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</si>
  <si>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</si>
  <si>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</si>
  <si>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</si>
  <si>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</si>
  <si>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</si>
  <si>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</si>
  <si>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</si>
  <si>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</si>
  <si>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</si>
  <si>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</si>
  <si>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</si>
  <si>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</si>
  <si>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</si>
  <si>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aic#aic-sect-iot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</si>
  <si>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</si>
  <si>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</si>
  <si>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</si>
  <si>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</si>
  <si>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</si>
  <si>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</si>
  <si>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</si>
  <si>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</si>
  <si>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</si>
  <si>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</si>
  <si>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</si>
  <si>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</si>
  <si>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</si>
  <si>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</si>
  <si>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</si>
  <si>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</si>
  <si>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</si>
  <si>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</si>
  <si>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</si>
  <si>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</si>
  <si>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</si>
  <si>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</si>
  <si>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</si>
  <si>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</si>
  <si>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</si>
  <si>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[Plan 75.66%]</t>
  </si>
  <si>
    <t>Plan FTE = Deal FTE × win rate; ตัวเลขอนาคตที่ลดลงอาจสะท้อน pipeline visibility ไม่ใช่ข้อสรุปว่าไม่มีงาน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</si>
  <si>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</si>
  <si>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</si>
  <si>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</si>
  <si>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</si>
  <si>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</si>
  <si>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</si>
  <si>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</si>
  <si>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</si>
  <si>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</si>
  <si>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[Plan 71.79%]</t>
  </si>
  <si>
    <t>aic#aic-sect-ra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</si>
  <si>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</si>
  <si>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</si>
  <si>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</si>
  <si>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</si>
  <si>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</si>
  <si>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</si>
  <si>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</si>
  <si>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</si>
  <si>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</si>
  <si>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</si>
  <si>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</si>
  <si>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</si>
  <si>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ไม่พบ Section ที่มี Plan FTE มากกว่า Staff FTE</t>
  </si>
  <si>
    <t>[Plan 54.94%]</t>
  </si>
  <si>
    <t>แรงกดดันกระจุกใน SD โดยกลุ่ม QA, BA และ Design มี Plan FTE สูงกว่า Staff FTE</t>
  </si>
  <si>
    <t>PSE-SE มี Available FTE สูงสุด และเป็น capacity หลักที่ควรตรวจสอบร่วมกับ delivery pipeline</t>
  </si>
  <si>
    <t>CPS-BD เริ่มมี Available FTE; ควรทบทวน pipeline และ win-rate assumption ก่อนปรับกำลังคน</t>
  </si>
  <si>
    <t>Top %Available</t>
  </si>
  <si>
    <t>SD-Design มี gap สูงสุด ขณะที่ SD-QA และ SD-PM ยังมี Plan FTE สูงกว่า Staff FTE</t>
  </si>
  <si>
    <t>PSE-SE เป็นแหล่ง Available FTE หลัก และ gap เพิ่มขึ้นจากไตรมาสก่อน</t>
  </si>
  <si>
    <t>%Plan รวมลดลงต่อเนื่อง จึงควรใช้ Q4 เป็นจุดทบทวน pipeline ก่อนเข้าสู่ปี 2027</t>
  </si>
  <si>
    <t>[Plan 69%]</t>
  </si>
  <si>
    <t>ไม่พบ Section ที่มี Plan FTE มากกว่า Staff FTE ในภาพรวมไตรมาส</t>
  </si>
  <si>
    <t>PSE-SE มี Available FTE สูงสุด ตามด้วย CPS-BD และ SD-Data</t>
  </si>
  <si>
    <t>%Plan ที่ลดลงควรตรวจสอบร่วมกับ weighted pipeline และ visibility ของงานปี 2027</t>
  </si>
  <si>
    <t>พบ Plan FTE มากกว่า Staff FTE เฉพาะ SD-TM ขณะที่ Section อื่นมี capacity เหลือ</t>
  </si>
  <si>
    <t>PSE-SE มี Available FTE สูงสุดและเป็นจุดที่ต้องยืนยัน demand ก่อนพิจารณาปรับ capacity</t>
  </si>
  <si>
    <t>%Plan รวมอยู่ที่ระดับต่ำสุดของรอบ จึงควร refresh pipeline ในรอบ replan ถัดไป</t>
  </si>
  <si>
    <t>%Plan ลดจาก 91.56% ใน Q3/2026 เหลือ 54.94% ใน Q2/2027; ควร refresh weighted pipeline ก่อนสรุป capacity ระยะยาว</t>
  </si>
  <si>
    <t>แรงกดดันกระจุกใน SD ขณะที่ PSE-SE เป็นแหล่ง Available FTE หลัก</t>
  </si>
  <si>
    <t>CPS-BD เป็นสัญญาณเตือนร่วมของ commercial pipeline; ควรทบทวน pipeline และ win-rate assumption ก่อนปรับกำลังคน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</si>
  <si>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</si>
  <si>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</si>
  <si>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</si>
  <si>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</si>
  <si>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</si>
  <si>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</si>
  <si>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</si>
  <si>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</si>
  <si>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</si>
  <si>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</si>
  <si>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</si>
  <si>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</si>
  <si>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</si>
  <si>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</si>
  <si>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</si>
  <si>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</si>
  <si>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</si>
  <si>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</si>
  <si>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</si>
  <si>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</si>
  <si>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</si>
  <si>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</si>
  <si>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</si>
  <si>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</si>
  <si>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</si>
  <si>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</si>
  <si>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</si>
  <si>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</si>
  <si>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</si>
  <si>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</si>
  <si>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</si>
  <si>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</si>
  <si>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</si>
  <si>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</si>
  <si>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</si>
  <si>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</si>
  <si>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</si>
  <si>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</si>
  <si>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</si>
  <si>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</si>
  <si>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</si>
  <si>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</si>
  <si>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</si>
  <si>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</si>
  <si>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</si>
  <si>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</si>
  <si>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</si>
  <si>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</si>
  <si>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</si>
  <si>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</si>
  <si>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</si>
  <si>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</si>
  <si>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Capacity ส่วนเกินกระจุกใน Business Development &amp; Partnerships</t>
  </si>
  <si>
    <t>[Plan 67%]</t>
  </si>
  <si>
    <t>%Plan ลดจาก 82% เหลือ 53%</t>
  </si>
  <si>
    <t>Available เพิ่มเป็น +5.2 FTE ใน Q2/2027; ควรทบทวน pipeline และ win-rate assumption</t>
  </si>
  <si>
    <t>Plan เท่ากับ Staff ที่ 100% ทุกไตรมาส และไม่มี workforce gap</t>
  </si>
  <si>
    <t>เป็น stable anchor ของ CPS และควรติดตามเฉพาะ demand ใหม่หรือ staffing change</t>
  </si>
  <si>
    <t>%Plan ลดจาก 87.28% เหลือ 49.17%</t>
  </si>
  <si>
    <t>Gap เกือบทั้งหมดกระจุกใน Software Engineering ขณะที่ Platform Engineering ทรงตัว</t>
  </si>
  <si>
    <t>[Plan 62%]</t>
  </si>
  <si>
    <t>%Plan ลดจาก 86% เหลือ 40%</t>
  </si>
  <si>
    <t>Available เพิ่มเป็น +24.4 FTE ใน Q2/2027; ควรยืนยัน sales และ delivery pipeline ก่อนปรับ capacity</t>
  </si>
  <si>
    <t>[Plan 99%]</t>
  </si>
  <si>
    <t>ทรงตัวใกล้ 100% ตลอดรอบ และไม่มี gap ตั้งแต่ Q1/2027</t>
  </si>
  <si>
    <t>เป็น stable anchor ของ PSE สำหรับงาน platform และ infrastructure</t>
  </si>
  <si>
    <t>%Plan ลดจาก 97.27% เหลือ 40.57%</t>
  </si>
  <si>
    <t>แรงกดดันช่วง Q3–Q4/2026 เปลี่ยนเป็น Available FTE สูงในหลาย Section ช่วงปี 2027</t>
  </si>
  <si>
    <t>Technology Management เป็นข้อยกเว้น โดยกลับมามี Plan FTE สูงกว่า Staff ใน Q2/2027</t>
  </si>
  <si>
    <t>งานลดลงชัดเจนจากใกล้เต็มกำลังใน Q3/2026 เหลือ %Plan ระดับต่ำใน Q2/2027</t>
  </si>
  <si>
    <t>ควรยืนยัน architecture pipeline ก่อนปรับกำลังคนระยะยาว</t>
  </si>
  <si>
    <t>[Plan 53%]</t>
  </si>
  <si>
    <t>Available FTE เพิ่มต่อเนื่องและสะท้อน visibility ของงานที่ลดลง</t>
  </si>
  <si>
    <t>ควรตรวจ demand ด้าน reliability และ internal platform ร่วมกับ delivery roadmap</t>
  </si>
  <si>
    <t>[Plan 51%]</t>
  </si>
  <si>
    <t>เริ่มมี Available ตั้งแต่ Q3/2026 และ gap ขยายต่อในปี 2027</t>
  </si>
  <si>
    <t>ควรทบทวน security pipeline และโอกาส support ข้ามทีม</t>
  </si>
  <si>
    <t>[Plan 75%]</t>
  </si>
  <si>
    <t>จากแรงกดดันช่วงต้นรอบเปลี่ยนเป็น Available สูงใน Q1–Q2/2027</t>
  </si>
  <si>
    <t>ควรผูก capacity กับ confirmed project portfolio</t>
  </si>
  <si>
    <t>[Plan 74%]</t>
  </si>
  <si>
    <t>จาก Plan สูงกว่า Staff ในปี 2026 เปลี่ยนเป็น Available สูงในปี 2027</t>
  </si>
  <si>
    <t>เป็น outsource capacity จึงควรบริหารผ่าน vendor capacity และ workload allocation</t>
  </si>
  <si>
    <t>[Plan 97%]</t>
  </si>
  <si>
    <t>เป็น Section เดียวที่มี Plan FTE สูงกว่า Staff ใน Q2/2027</t>
  </si>
  <si>
    <t>ควรติดตามภาระ post-support และ management workload</t>
  </si>
  <si>
    <t>มี shortage สูงสุดใน Q4/2026 ก่อนกลับมามี Available ในปี 2027</t>
  </si>
  <si>
    <t>ควรใช้ demand checkpoint รายไตรมาสเพื่อลดความผันผวน</t>
  </si>
  <si>
    <t>%Plan ลดจาก 81.57% เหลือ 56.77%</t>
  </si>
  <si>
    <t>R&amp;A เป็น stable anchor ขณะที่ gap หลักอยู่ใน AIE และ IoT</t>
  </si>
  <si>
    <t>ควรแยก pipeline visibility ออกจากข้อสรุปเรื่อง capacity ก่อนปรับกำลังคน</t>
  </si>
  <si>
    <t>[Plan 98%]</t>
  </si>
  <si>
    <t>ทรงตัวที่ประมาณ 97–100% ตลอดรอบ และเป็น stable anchor ของ AIC</t>
  </si>
  <si>
    <t>ติดตามเฉพาะ demand ใหม่และ staffing assumption</t>
  </si>
  <si>
    <t>[Plan 70%]</t>
  </si>
  <si>
    <t>Available เพิ่มต่อเนื่อง แต่มีสัญญาณฟื้นตัวเล็กน้อยใน Q2/2027</t>
  </si>
  <si>
    <t>ควรยืนยัน software pipeline ก่อนพิจารณาปรับ capacity</t>
  </si>
  <si>
    <t>[Plan 64%]</t>
  </si>
  <si>
    <t>ลดจาก 85% ใน Q3/2026 เหลือ 37% ใน Q2/2027 โดยยังไม่เห็น rebound</t>
  </si>
  <si>
    <t>ควรทบทวน IoT roadmap และโอกาส reskill ที่สอดคล้องกับ demand</t>
  </si>
  <si>
    <t>มีรูปแบบ post-support และลดลงหลังจุดสูงในช่วงก่อนหน้า</t>
  </si>
  <si>
    <t>ควรตรวจ confirmed project และ support workload ของปี 2027</t>
  </si>
  <si>
    <t>[Plan 0%]</t>
  </si>
  <si>
    <t>aic#aic-sect-pi</t>
  </si>
  <si>
    <t>ไม่มี Staff และ Plan FTE ตลอดช่วงข้อมูล</t>
  </si>
  <si>
    <t>ควรยืนยันสถานะหน่วยงานและวิธีแสดงผลในรอบถัดไป</t>
  </si>
  <si>
    <t>Plan เท่ากับ Staff ที่ 100% ทุกไตรมาส และไม่มี workforce gap ในช่วง 12 เดือน</t>
  </si>
  <si>
    <t>เป็น stable anchor ของภาพรวม แต่ควรติดตาม leave, demand change และ bus-factor risk</t>
  </si>
  <si>
    <t>Plan เท่ากับ Staff ที่ 100% ตลอดรอบ</t>
  </si>
  <si>
    <t>ติดตามเฉพาะการเปลี่ยนแปลง demand และ staffing assumption</t>
  </si>
  <si>
    <t>tde#tde-sect-rm</t>
  </si>
  <si>
    <t>เป็น stable capacity สำหรับงาน resource coordination</t>
  </si>
  <si>
    <t>tde#tde-sect-ted</t>
  </si>
  <si>
    <t>ควรเฝ้าระวัง buffer และ workload concentration</t>
  </si>
  <si>
    <t>tde#tde-sect-coe</t>
  </si>
  <si>
    <t>ควรติดตาม bus-factor risk แม้ไม่มี workforce gap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</si>
  <si>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</si>
  <si>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</si>
  <si>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</si>
  <si>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</si>
  <si>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</si>
  <si>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</si>
  <si>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</si>
  <si>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</si>
  <si>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</si>
  <si>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</si>
  <si>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</si>
  <si>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</si>
  <si>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</si>
  <si>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</si>
  <si>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</si>
  <si>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</si>
  <si>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</si>
  <si>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75.66 % (Available ~ [+37.9 FTE]{available} per month)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</si>
  <si>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</si>
  <si>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</si>
  <si>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</si>
  <si>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</si>
  <si>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</si>
  <si>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78.82 % (Available ~ [+3.6 FTE]{available} per month)</t>
  </si>
  <si>
    <t>67.71 % (Available ~ [+15.5 FTE]{available} per month)</t>
  </si>
  <si>
    <t>75.85 % (Available ~ [+12.8 FTE]{available} per month)</t>
  </si>
  <si>
    <t>71.79 % (Available ~ [+5.5 FTE]{available} per month)</t>
  </si>
  <si>
    <t>100 % (Available ~ [+0 FTE]{available} per month)</t>
  </si>
  <si>
    <t>CDAS</t>
  </si>
  <si>
    <t>Credit &amp; Collateral Management for CBM</t>
  </si>
  <si>
    <t>Credit &amp; Collateral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</si>
</sst>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0"/>
      <color rgb="FF1F2937"/>
      <name val="Aptos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9FBAD0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25" fillId="28" borderId="3" xfId="0" applyFont="1" applyFill="1" applyBorder="1" applyAlignment="1">
      <alignment horizontal="center" vertical="center" wrapText="1"/>
    </xf>
    <xf numFmtId="0" fontId="25" fillId="28" borderId="4" xfId="0" applyFont="1" applyFill="1" applyBorder="1" applyAlignment="1">
      <alignment horizontal="center" vertical="center" wrapText="1"/>
    </xf>
    <xf numFmtId="0" fontId="25" fillId="28" borderId="5" xfId="0" applyFont="1" applyFill="1" applyBorder="1" applyAlignment="1">
      <alignment horizontal="center" vertical="center" wrapText="1"/>
    </xf>
    <xf numFmtId="0" fontId="26" fillId="0" borderId="6" xfId="0" applyFont="1" applyBorder="1" applyAlignment="1">
      <alignment vertical="center" wrapText="1"/>
    </xf>
    <xf numFmtId="0" fontId="26" fillId="0" borderId="7" xfId="0" applyFont="1" applyBorder="1" applyAlignment="1">
      <alignment vertical="center" wrapText="1"/>
    </xf>
    <xf numFmtId="1" fontId="26" fillId="0" borderId="7" xfId="0" applyNumberFormat="1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8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26" fillId="0" borderId="10" xfId="0" applyFont="1" applyBorder="1" applyAlignment="1">
      <alignment vertical="center" wrapText="1"/>
    </xf>
    <xf numFmtId="1" fontId="26" fillId="0" borderId="10" xfId="0" applyNumberFormat="1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11" xfId="0" applyFont="1" applyBorder="1" applyAlignment="1">
      <alignment vertical="center" wrapText="1"/>
    </xf>
    <xf numFmtId="0" fontId="1" fillId="29" borderId="0" xfId="0" applyFont="1" applyFill="1" applyAlignment="1">
      <alignment horizontal="left"/>
    </xf>
    <xf numFmtId="0" fontId="1" fillId="30" borderId="0" xfId="0" applyFont="1" applyFill="1" applyAlignment="1">
      <alignment horizontal="left"/>
    </xf>
    <xf numFmtId="0" fontId="3" fillId="0" borderId="0" xfId="0" applyFont="1"/>
    <xf numFmtId="0" fontId="8" fillId="31" borderId="0" xfId="0" applyFont="1" applyFill="1"/>
    <xf numFmtId="0" fontId="8" fillId="32" borderId="0" xfId="0" applyFont="1" applyFill="1"/>
    <xf numFmtId="0" fontId="4" fillId="6" borderId="0" xfId="0" applyFont="1" applyFill="1"/>
    <xf numFmtId="0" fontId="27" fillId="0" borderId="0" xfId="0" applyFont="1"/>
    <xf numFmtId="0" fontId="0" fillId="33" borderId="0" xfId="0" applyFill="1"/>
    <xf numFmtId="0" fontId="16" fillId="0" borderId="0" xfId="0" applyFont="1" applyFill="1"/>
    <xf numFmtId="0" fontId="0" fillId="0" borderId="0" xfId="0" applyFill="1"/>
  </cellXfs>
  <cellStyles count="1">
    <cellStyle name="Normal" xfId="0" builtinId="0"/>
  </cellStyles>
  <dxfs count="3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7986BE-DF1F-C240-8C1A-92B2DFB1286F}" name="SummaryTable3" displayName="SummaryTable3" ref="A1:N183" totalsRowShown="0">
  <autoFilter ref="A1:N183" xr:uid="{7D7986BE-DF1F-C240-8C1A-92B2DFB1286F}"/>
  <tableColumns count="14">
    <tableColumn id="1" xr3:uid="{609B7D6E-4593-AF4B-BF05-9032DB4B16A2}" name="page"/>
    <tableColumn id="2" xr3:uid="{9AAE2F06-0933-884E-B27D-6AE75FD515F5}" name="summary_title"/>
    <tableColumn id="3" xr3:uid="{824AE97D-F9C0-0A4E-A848-A76510AA6E98}" name="group_order"/>
    <tableColumn id="4" xr3:uid="{0AEC7C90-07BE-1F46-A658-016D744C08E1}" name="item_order"/>
    <tableColumn id="5" xr3:uid="{425992C8-3C13-F748-BF61-0DE02888C068}" name="level"/>
    <tableColumn id="6" xr3:uid="{2A879494-AFC8-D645-9EC3-ACDBD2426247}" name="type"/>
    <tableColumn id="7" xr3:uid="{07659DF8-1234-2E48-B94C-A6CB9FD12BBE}" name="label"/>
    <tableColumn id="8" xr3:uid="{263A8175-19B9-3F46-A835-3CD53D51A7D1}" name="data"/>
    <tableColumn id="9" xr3:uid="{F5AEAF16-C489-E341-8DC1-F51F24F56FDD}" name="highlight"/>
    <tableColumn id="10" xr3:uid="{9A9F189F-261F-F54B-8433-03233841537F}" name="highlight_style"/>
    <tableColumn id="11" xr3:uid="{95E6A6F2-8272-344B-8505-6DF99D2B83CD}" name="href"/>
    <tableColumn id="12" xr3:uid="{08FBBD9A-5D05-AF4F-B505-F03CF0753758}" name="link_target"/>
    <tableColumn id="13" xr3:uid="{58BA3807-F0BC-544D-ADA8-5994F38DD232}" name="enabled"/>
    <tableColumn id="14" xr3:uid="{3C62FB51-7C02-394F-A202-FA275B129FDF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83"/>
  <sheetViews>
    <sheetView workbookViewId="0">
      <pane ySplit="1" topLeftCell="A170" activePane="bottomLeft" state="frozen"/>
      <selection pane="bottomLeft" activeCell="A183" sqref="A183"/>
    </sheetView>
  </sheetViews>
  <sheetFormatPr baseColWidth="10" defaultRowHeight="16" x14ac:dyDescent="0.2"/>
  <cols>
    <col min="1" max="1" width="12" customWidth="1"/>
    <col min="2" max="2" width="40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0" t="s">
        <v>139</v>
      </c>
      <c r="B1" s="81" t="s">
        <v>140</v>
      </c>
      <c r="C1" s="81" t="s">
        <v>141</v>
      </c>
      <c r="D1" s="81" t="s">
        <v>142</v>
      </c>
      <c r="E1" s="81" t="s">
        <v>143</v>
      </c>
      <c r="F1" s="81" t="s">
        <v>144</v>
      </c>
      <c r="G1" s="81" t="s">
        <v>145</v>
      </c>
      <c r="H1" s="81" t="s">
        <v>146</v>
      </c>
      <c r="I1" s="81" t="s">
        <v>147</v>
      </c>
      <c r="J1" s="81" t="s">
        <v>148</v>
      </c>
      <c r="K1" s="81" t="s">
        <v>149</v>
      </c>
      <c r="L1" s="81" t="s">
        <v>150</v>
      </c>
      <c r="M1" s="81" t="s">
        <v>151</v>
      </c>
      <c r="N1" s="82" t="s">
        <v>152</v>
      </c>
    </row>
    <row r="2" spans="1:14" ht="40" customHeight="1" x14ac:dyDescent="0.2">
      <c r="A2" s="83" t="s">
        <v>165</v>
      </c>
      <c r="B2" s="84" t="s">
        <v>346</v>
      </c>
      <c r="C2" s="85">
        <v>1</v>
      </c>
      <c r="D2" s="85">
        <v>1</v>
      </c>
      <c r="E2" s="85">
        <v>1</v>
      </c>
      <c r="F2" s="84" t="s">
        <v>156</v>
      </c>
      <c r="G2" s="84" t="s">
        <v>185</v>
      </c>
      <c r="H2" s="84"/>
      <c r="I2" s="84" t="s">
        <v>186</v>
      </c>
      <c r="J2" s="86" t="s">
        <v>154</v>
      </c>
      <c r="K2" s="84"/>
      <c r="L2" s="86" t="s">
        <v>155</v>
      </c>
      <c r="M2" s="87" t="b">
        <v>1</v>
      </c>
      <c r="N2" s="88"/>
    </row>
    <row r="3" spans="1:14" ht="40" customHeight="1" x14ac:dyDescent="0.2">
      <c r="A3" s="83" t="s">
        <v>165</v>
      </c>
      <c r="B3" s="84"/>
      <c r="C3" s="85">
        <v>1</v>
      </c>
      <c r="D3" s="85">
        <v>2</v>
      </c>
      <c r="E3" s="85">
        <v>2</v>
      </c>
      <c r="F3" s="84" t="s">
        <v>156</v>
      </c>
      <c r="G3" s="84" t="s">
        <v>227</v>
      </c>
      <c r="H3" s="84"/>
      <c r="I3" s="84"/>
      <c r="J3" s="86" t="s">
        <v>155</v>
      </c>
      <c r="K3" s="84"/>
      <c r="L3" s="86" t="s">
        <v>155</v>
      </c>
      <c r="M3" s="87" t="b">
        <v>1</v>
      </c>
      <c r="N3" s="88"/>
    </row>
    <row r="4" spans="1:14" ht="40" customHeight="1" x14ac:dyDescent="0.2">
      <c r="A4" s="83" t="s">
        <v>165</v>
      </c>
      <c r="B4" s="84"/>
      <c r="C4" s="85">
        <v>1</v>
      </c>
      <c r="D4" s="85">
        <v>3</v>
      </c>
      <c r="E4" s="85">
        <v>2</v>
      </c>
      <c r="F4" s="84" t="s">
        <v>156</v>
      </c>
      <c r="G4" s="84" t="s">
        <v>228</v>
      </c>
      <c r="H4" s="84"/>
      <c r="I4" s="84"/>
      <c r="J4" s="86" t="s">
        <v>155</v>
      </c>
      <c r="K4" s="84"/>
      <c r="L4" s="86" t="s">
        <v>155</v>
      </c>
      <c r="M4" s="87" t="b">
        <v>1</v>
      </c>
      <c r="N4" s="88"/>
    </row>
    <row r="5" spans="1:14" ht="40" customHeight="1" x14ac:dyDescent="0.2">
      <c r="A5" s="83" t="s">
        <v>165</v>
      </c>
      <c r="B5" s="84"/>
      <c r="C5" s="85">
        <v>1</v>
      </c>
      <c r="D5" s="85">
        <v>4</v>
      </c>
      <c r="E5" s="85">
        <v>2</v>
      </c>
      <c r="F5" s="84" t="s">
        <v>156</v>
      </c>
      <c r="G5" s="84" t="s">
        <v>229</v>
      </c>
      <c r="H5" s="84"/>
      <c r="I5" s="84"/>
      <c r="J5" s="86" t="s">
        <v>155</v>
      </c>
      <c r="K5" s="84"/>
      <c r="L5" s="86" t="s">
        <v>155</v>
      </c>
      <c r="M5" s="87" t="b">
        <v>1</v>
      </c>
      <c r="N5" s="88"/>
    </row>
    <row r="6" spans="1:14" ht="40" customHeight="1" x14ac:dyDescent="0.2">
      <c r="A6" s="83" t="s">
        <v>165</v>
      </c>
      <c r="B6" s="84"/>
      <c r="C6" s="85">
        <v>1</v>
      </c>
      <c r="D6" s="85">
        <v>5</v>
      </c>
      <c r="E6" s="85">
        <v>2</v>
      </c>
      <c r="F6" s="84" t="s">
        <v>180</v>
      </c>
      <c r="G6" s="84" t="s">
        <v>230</v>
      </c>
      <c r="H6" s="84" t="s">
        <v>363</v>
      </c>
      <c r="I6" s="84"/>
      <c r="J6" s="86" t="s">
        <v>155</v>
      </c>
      <c r="K6" s="84"/>
      <c r="L6" s="86" t="s">
        <v>155</v>
      </c>
      <c r="M6" s="87" t="b">
        <v>1</v>
      </c>
      <c r="N6" s="88"/>
    </row>
    <row r="7" spans="1:14" ht="40" customHeight="1" x14ac:dyDescent="0.2">
      <c r="A7" s="83" t="s">
        <v>165</v>
      </c>
      <c r="B7" s="84"/>
      <c r="C7" s="85">
        <v>1</v>
      </c>
      <c r="D7" s="85">
        <v>6</v>
      </c>
      <c r="E7" s="85">
        <v>2</v>
      </c>
      <c r="F7" s="84" t="s">
        <v>156</v>
      </c>
      <c r="G7" s="84" t="s">
        <v>187</v>
      </c>
      <c r="H7" s="84"/>
      <c r="I7" s="84"/>
      <c r="J7" s="86" t="s">
        <v>155</v>
      </c>
      <c r="K7" s="84"/>
      <c r="L7" s="86" t="s">
        <v>155</v>
      </c>
      <c r="M7" s="87" t="b">
        <v>1</v>
      </c>
      <c r="N7" s="88"/>
    </row>
    <row r="8" spans="1:14" ht="40" customHeight="1" x14ac:dyDescent="0.2">
      <c r="A8" s="83" t="s">
        <v>165</v>
      </c>
      <c r="B8" s="84"/>
      <c r="C8" s="85">
        <v>2</v>
      </c>
      <c r="D8" s="85">
        <v>1</v>
      </c>
      <c r="E8" s="85">
        <v>1</v>
      </c>
      <c r="F8" s="84" t="s">
        <v>156</v>
      </c>
      <c r="G8" s="84" t="s">
        <v>188</v>
      </c>
      <c r="H8" s="84"/>
      <c r="I8" s="84" t="s">
        <v>200</v>
      </c>
      <c r="J8" s="86" t="s">
        <v>154</v>
      </c>
      <c r="K8" s="84"/>
      <c r="L8" s="86" t="s">
        <v>155</v>
      </c>
      <c r="M8" s="87" t="b">
        <v>1</v>
      </c>
      <c r="N8" s="88"/>
    </row>
    <row r="9" spans="1:14" ht="40" customHeight="1" x14ac:dyDescent="0.2">
      <c r="A9" s="83" t="s">
        <v>165</v>
      </c>
      <c r="B9" s="84"/>
      <c r="C9" s="85">
        <v>2</v>
      </c>
      <c r="D9" s="85">
        <v>2</v>
      </c>
      <c r="E9" s="85">
        <v>2</v>
      </c>
      <c r="F9" s="84" t="s">
        <v>156</v>
      </c>
      <c r="G9" s="84" t="s">
        <v>213</v>
      </c>
      <c r="H9" s="84"/>
      <c r="I9" s="84"/>
      <c r="J9" s="86" t="s">
        <v>155</v>
      </c>
      <c r="K9" s="84"/>
      <c r="L9" s="86" t="s">
        <v>155</v>
      </c>
      <c r="M9" s="87" t="b">
        <v>1</v>
      </c>
      <c r="N9" s="88"/>
    </row>
    <row r="10" spans="1:14" ht="40" customHeight="1" x14ac:dyDescent="0.2">
      <c r="A10" s="83" t="s">
        <v>165</v>
      </c>
      <c r="B10" s="84"/>
      <c r="C10" s="85">
        <v>2</v>
      </c>
      <c r="D10" s="85">
        <v>3</v>
      </c>
      <c r="E10" s="85">
        <v>2</v>
      </c>
      <c r="F10" s="84" t="s">
        <v>156</v>
      </c>
      <c r="G10" s="84" t="s">
        <v>214</v>
      </c>
      <c r="H10" s="84"/>
      <c r="I10" s="84"/>
      <c r="J10" s="86" t="s">
        <v>155</v>
      </c>
      <c r="K10" s="84"/>
      <c r="L10" s="86" t="s">
        <v>155</v>
      </c>
      <c r="M10" s="87" t="b">
        <v>1</v>
      </c>
      <c r="N10" s="88"/>
    </row>
    <row r="11" spans="1:14" ht="40" customHeight="1" x14ac:dyDescent="0.2">
      <c r="A11" s="83" t="s">
        <v>165</v>
      </c>
      <c r="B11" s="84"/>
      <c r="C11" s="85">
        <v>2</v>
      </c>
      <c r="D11" s="85">
        <v>4</v>
      </c>
      <c r="E11" s="85">
        <v>2</v>
      </c>
      <c r="F11" s="84" t="s">
        <v>156</v>
      </c>
      <c r="G11" s="84" t="s">
        <v>215</v>
      </c>
      <c r="H11" s="84"/>
      <c r="I11" s="84"/>
      <c r="J11" s="86" t="s">
        <v>155</v>
      </c>
      <c r="K11" s="84"/>
      <c r="L11" s="86" t="s">
        <v>155</v>
      </c>
      <c r="M11" s="87" t="b">
        <v>1</v>
      </c>
      <c r="N11" s="88"/>
    </row>
    <row r="12" spans="1:14" ht="40" customHeight="1" x14ac:dyDescent="0.2">
      <c r="A12" s="83" t="s">
        <v>165</v>
      </c>
      <c r="B12" s="84"/>
      <c r="C12" s="85">
        <v>2</v>
      </c>
      <c r="D12" s="85">
        <v>5</v>
      </c>
      <c r="E12" s="85">
        <v>2</v>
      </c>
      <c r="F12" s="84" t="s">
        <v>180</v>
      </c>
      <c r="G12" s="84" t="s">
        <v>230</v>
      </c>
      <c r="H12" s="84" t="s">
        <v>364</v>
      </c>
      <c r="I12" s="84"/>
      <c r="J12" s="86" t="s">
        <v>155</v>
      </c>
      <c r="K12" s="84"/>
      <c r="L12" s="86" t="s">
        <v>155</v>
      </c>
      <c r="M12" s="87" t="b">
        <v>1</v>
      </c>
      <c r="N12" s="88"/>
    </row>
    <row r="13" spans="1:14" ht="40" customHeight="1" x14ac:dyDescent="0.2">
      <c r="A13" s="83" t="s">
        <v>165</v>
      </c>
      <c r="B13" s="84"/>
      <c r="C13" s="85">
        <v>2</v>
      </c>
      <c r="D13" s="85">
        <v>6</v>
      </c>
      <c r="E13" s="85">
        <v>2</v>
      </c>
      <c r="F13" s="84" t="s">
        <v>156</v>
      </c>
      <c r="G13" s="84" t="s">
        <v>231</v>
      </c>
      <c r="H13" s="84"/>
      <c r="I13" s="84"/>
      <c r="J13" s="86" t="s">
        <v>155</v>
      </c>
      <c r="K13" s="84"/>
      <c r="L13" s="86" t="s">
        <v>155</v>
      </c>
      <c r="M13" s="87" t="b">
        <v>1</v>
      </c>
      <c r="N13" s="88"/>
    </row>
    <row r="14" spans="1:14" ht="40" customHeight="1" x14ac:dyDescent="0.2">
      <c r="A14" s="83" t="s">
        <v>165</v>
      </c>
      <c r="B14" s="84"/>
      <c r="C14" s="85">
        <v>2</v>
      </c>
      <c r="D14" s="85">
        <v>7</v>
      </c>
      <c r="E14" s="85">
        <v>2</v>
      </c>
      <c r="F14" s="84" t="s">
        <v>153</v>
      </c>
      <c r="G14" s="84" t="s">
        <v>111</v>
      </c>
      <c r="H14" s="84" t="s">
        <v>232</v>
      </c>
      <c r="I14" s="84"/>
      <c r="J14" s="86" t="s">
        <v>155</v>
      </c>
      <c r="K14" s="84" t="s">
        <v>170</v>
      </c>
      <c r="L14" s="86" t="s">
        <v>145</v>
      </c>
      <c r="M14" s="87" t="b">
        <v>1</v>
      </c>
      <c r="N14" s="88"/>
    </row>
    <row r="15" spans="1:14" ht="40" customHeight="1" x14ac:dyDescent="0.2">
      <c r="A15" s="83" t="s">
        <v>165</v>
      </c>
      <c r="B15" s="84"/>
      <c r="C15" s="85">
        <v>2</v>
      </c>
      <c r="D15" s="85">
        <v>8</v>
      </c>
      <c r="E15" s="85">
        <v>2</v>
      </c>
      <c r="F15" s="84" t="s">
        <v>153</v>
      </c>
      <c r="G15" s="84" t="s">
        <v>105</v>
      </c>
      <c r="H15" s="84" t="s">
        <v>233</v>
      </c>
      <c r="I15" s="84"/>
      <c r="J15" s="86" t="s">
        <v>155</v>
      </c>
      <c r="K15" s="84" t="s">
        <v>162</v>
      </c>
      <c r="L15" s="86" t="s">
        <v>145</v>
      </c>
      <c r="M15" s="87" t="b">
        <v>1</v>
      </c>
      <c r="N15" s="88"/>
    </row>
    <row r="16" spans="1:14" ht="40" customHeight="1" x14ac:dyDescent="0.2">
      <c r="A16" s="83" t="s">
        <v>165</v>
      </c>
      <c r="B16" s="84"/>
      <c r="C16" s="85">
        <v>2</v>
      </c>
      <c r="D16" s="85">
        <v>9</v>
      </c>
      <c r="E16" s="85">
        <v>2</v>
      </c>
      <c r="F16" s="84" t="s">
        <v>153</v>
      </c>
      <c r="G16" s="84" t="s">
        <v>112</v>
      </c>
      <c r="H16" s="84" t="s">
        <v>234</v>
      </c>
      <c r="I16" s="84"/>
      <c r="J16" s="86" t="s">
        <v>155</v>
      </c>
      <c r="K16" s="84" t="s">
        <v>207</v>
      </c>
      <c r="L16" s="86" t="s">
        <v>145</v>
      </c>
      <c r="M16" s="87" t="b">
        <v>1</v>
      </c>
      <c r="N16" s="88"/>
    </row>
    <row r="17" spans="1:14" ht="40" customHeight="1" x14ac:dyDescent="0.2">
      <c r="A17" s="83" t="s">
        <v>165</v>
      </c>
      <c r="B17" s="84"/>
      <c r="C17" s="85">
        <v>2</v>
      </c>
      <c r="D17" s="85">
        <v>10</v>
      </c>
      <c r="E17" s="85">
        <v>2</v>
      </c>
      <c r="F17" s="84" t="s">
        <v>156</v>
      </c>
      <c r="G17" s="84" t="s">
        <v>216</v>
      </c>
      <c r="H17" s="84"/>
      <c r="I17" s="84"/>
      <c r="J17" s="86" t="s">
        <v>155</v>
      </c>
      <c r="K17" s="84"/>
      <c r="L17" s="86" t="s">
        <v>155</v>
      </c>
      <c r="M17" s="87" t="b">
        <v>1</v>
      </c>
      <c r="N17" s="88"/>
    </row>
    <row r="18" spans="1:14" ht="40" customHeight="1" x14ac:dyDescent="0.2">
      <c r="A18" s="83" t="s">
        <v>165</v>
      </c>
      <c r="B18" s="84"/>
      <c r="C18" s="85">
        <v>2</v>
      </c>
      <c r="D18" s="85">
        <v>11</v>
      </c>
      <c r="E18" s="85">
        <v>2</v>
      </c>
      <c r="F18" s="84" t="s">
        <v>153</v>
      </c>
      <c r="G18" s="84" t="s">
        <v>202</v>
      </c>
      <c r="H18" s="84" t="s">
        <v>235</v>
      </c>
      <c r="I18" s="84" t="s">
        <v>347</v>
      </c>
      <c r="J18" s="86" t="s">
        <v>154</v>
      </c>
      <c r="K18" s="84" t="s">
        <v>203</v>
      </c>
      <c r="L18" s="86" t="s">
        <v>145</v>
      </c>
      <c r="M18" s="87" t="b">
        <v>1</v>
      </c>
      <c r="N18" s="88"/>
    </row>
    <row r="19" spans="1:14" ht="40" customHeight="1" x14ac:dyDescent="0.2">
      <c r="A19" s="83" t="s">
        <v>165</v>
      </c>
      <c r="B19" s="84"/>
      <c r="C19" s="85">
        <v>2</v>
      </c>
      <c r="D19" s="85">
        <v>12</v>
      </c>
      <c r="E19" s="85">
        <v>2</v>
      </c>
      <c r="F19" s="84" t="s">
        <v>153</v>
      </c>
      <c r="G19" s="84" t="s">
        <v>115</v>
      </c>
      <c r="H19" s="84" t="s">
        <v>236</v>
      </c>
      <c r="I19" s="84" t="s">
        <v>348</v>
      </c>
      <c r="J19" s="86" t="s">
        <v>154</v>
      </c>
      <c r="K19" s="84" t="s">
        <v>167</v>
      </c>
      <c r="L19" s="86" t="s">
        <v>145</v>
      </c>
      <c r="M19" s="87" t="b">
        <v>1</v>
      </c>
      <c r="N19" s="88"/>
    </row>
    <row r="20" spans="1:14" ht="40" customHeight="1" x14ac:dyDescent="0.2">
      <c r="A20" s="83" t="s">
        <v>165</v>
      </c>
      <c r="B20" s="84"/>
      <c r="C20" s="85">
        <v>2</v>
      </c>
      <c r="D20" s="85">
        <v>13</v>
      </c>
      <c r="E20" s="85">
        <v>2</v>
      </c>
      <c r="F20" s="84" t="s">
        <v>153</v>
      </c>
      <c r="G20" s="84" t="s">
        <v>204</v>
      </c>
      <c r="H20" s="84" t="s">
        <v>237</v>
      </c>
      <c r="I20" s="84" t="s">
        <v>349</v>
      </c>
      <c r="J20" s="86" t="s">
        <v>154</v>
      </c>
      <c r="K20" s="84" t="s">
        <v>205</v>
      </c>
      <c r="L20" s="86" t="s">
        <v>145</v>
      </c>
      <c r="M20" s="87" t="b">
        <v>1</v>
      </c>
      <c r="N20" s="88"/>
    </row>
    <row r="21" spans="1:14" ht="40" customHeight="1" x14ac:dyDescent="0.2">
      <c r="A21" s="83" t="s">
        <v>165</v>
      </c>
      <c r="B21" s="84"/>
      <c r="C21" s="85">
        <v>2</v>
      </c>
      <c r="D21" s="85">
        <v>14</v>
      </c>
      <c r="E21" s="85">
        <v>2</v>
      </c>
      <c r="F21" s="84" t="s">
        <v>156</v>
      </c>
      <c r="G21" s="84" t="s">
        <v>201</v>
      </c>
      <c r="H21" s="84"/>
      <c r="I21" s="84"/>
      <c r="J21" s="86" t="s">
        <v>155</v>
      </c>
      <c r="K21" s="84"/>
      <c r="L21" s="86" t="s">
        <v>155</v>
      </c>
      <c r="M21" s="87" t="b">
        <v>1</v>
      </c>
      <c r="N21" s="88"/>
    </row>
    <row r="22" spans="1:14" ht="40" customHeight="1" x14ac:dyDescent="0.2">
      <c r="A22" s="83" t="s">
        <v>165</v>
      </c>
      <c r="B22" s="84"/>
      <c r="C22" s="85">
        <v>2</v>
      </c>
      <c r="D22" s="85">
        <v>15</v>
      </c>
      <c r="E22" s="85">
        <v>2</v>
      </c>
      <c r="F22" s="84" t="s">
        <v>153</v>
      </c>
      <c r="G22" s="84" t="s">
        <v>104</v>
      </c>
      <c r="H22" s="84"/>
      <c r="I22" s="84" t="s">
        <v>238</v>
      </c>
      <c r="J22" s="86" t="s">
        <v>159</v>
      </c>
      <c r="K22" s="84" t="s">
        <v>168</v>
      </c>
      <c r="L22" s="86" t="s">
        <v>145</v>
      </c>
      <c r="M22" s="87" t="b">
        <v>1</v>
      </c>
      <c r="N22" s="88"/>
    </row>
    <row r="23" spans="1:14" ht="40" customHeight="1" x14ac:dyDescent="0.2">
      <c r="A23" s="83" t="s">
        <v>165</v>
      </c>
      <c r="B23" s="84"/>
      <c r="C23" s="85">
        <v>2</v>
      </c>
      <c r="D23" s="85">
        <v>16</v>
      </c>
      <c r="E23" s="85">
        <v>2</v>
      </c>
      <c r="F23" s="84" t="s">
        <v>153</v>
      </c>
      <c r="G23" s="84" t="s">
        <v>169</v>
      </c>
      <c r="H23" s="84"/>
      <c r="I23" s="84" t="s">
        <v>239</v>
      </c>
      <c r="J23" s="86" t="s">
        <v>159</v>
      </c>
      <c r="K23" s="84" t="s">
        <v>157</v>
      </c>
      <c r="L23" s="86" t="s">
        <v>145</v>
      </c>
      <c r="M23" s="87" t="b">
        <v>1</v>
      </c>
      <c r="N23" s="88"/>
    </row>
    <row r="24" spans="1:14" ht="40" customHeight="1" x14ac:dyDescent="0.2">
      <c r="A24" s="83" t="s">
        <v>165</v>
      </c>
      <c r="B24" s="84"/>
      <c r="C24" s="85">
        <v>2</v>
      </c>
      <c r="D24" s="85">
        <v>17</v>
      </c>
      <c r="E24" s="85">
        <v>2</v>
      </c>
      <c r="F24" s="84" t="s">
        <v>153</v>
      </c>
      <c r="G24" s="84" t="s">
        <v>115</v>
      </c>
      <c r="H24" s="84"/>
      <c r="I24" s="84" t="s">
        <v>240</v>
      </c>
      <c r="J24" s="86" t="s">
        <v>159</v>
      </c>
      <c r="K24" s="84" t="s">
        <v>167</v>
      </c>
      <c r="L24" s="86" t="s">
        <v>145</v>
      </c>
      <c r="M24" s="87" t="b">
        <v>1</v>
      </c>
      <c r="N24" s="88"/>
    </row>
    <row r="25" spans="1:14" ht="40" customHeight="1" x14ac:dyDescent="0.2">
      <c r="A25" s="83" t="s">
        <v>165</v>
      </c>
      <c r="B25" s="84"/>
      <c r="C25" s="85">
        <v>2</v>
      </c>
      <c r="D25" s="85">
        <v>18</v>
      </c>
      <c r="E25" s="85">
        <v>2</v>
      </c>
      <c r="F25" s="84" t="s">
        <v>156</v>
      </c>
      <c r="G25" s="84" t="s">
        <v>206</v>
      </c>
      <c r="H25" s="84"/>
      <c r="I25" s="84"/>
      <c r="J25" s="86" t="s">
        <v>155</v>
      </c>
      <c r="K25" s="84"/>
      <c r="L25" s="86" t="s">
        <v>155</v>
      </c>
      <c r="M25" s="87" t="b">
        <v>1</v>
      </c>
      <c r="N25" s="88"/>
    </row>
    <row r="26" spans="1:14" ht="40" customHeight="1" x14ac:dyDescent="0.2">
      <c r="A26" s="83" t="s">
        <v>165</v>
      </c>
      <c r="B26" s="84"/>
      <c r="C26" s="85">
        <v>2</v>
      </c>
      <c r="D26" s="85">
        <v>19</v>
      </c>
      <c r="E26" s="85">
        <v>2</v>
      </c>
      <c r="F26" s="84" t="s">
        <v>153</v>
      </c>
      <c r="G26" s="84" t="s">
        <v>112</v>
      </c>
      <c r="H26" s="84"/>
      <c r="I26" s="84" t="s">
        <v>241</v>
      </c>
      <c r="J26" s="86" t="s">
        <v>161</v>
      </c>
      <c r="K26" s="84" t="s">
        <v>207</v>
      </c>
      <c r="L26" s="86" t="s">
        <v>145</v>
      </c>
      <c r="M26" s="87" t="b">
        <v>1</v>
      </c>
      <c r="N26" s="88"/>
    </row>
    <row r="27" spans="1:14" ht="40" customHeight="1" x14ac:dyDescent="0.2">
      <c r="A27" s="83" t="s">
        <v>165</v>
      </c>
      <c r="B27" s="84"/>
      <c r="C27" s="85">
        <v>2</v>
      </c>
      <c r="D27" s="85">
        <v>20</v>
      </c>
      <c r="E27" s="85">
        <v>2</v>
      </c>
      <c r="F27" s="84" t="s">
        <v>153</v>
      </c>
      <c r="G27" s="84" t="s">
        <v>111</v>
      </c>
      <c r="H27" s="84"/>
      <c r="I27" s="84" t="s">
        <v>242</v>
      </c>
      <c r="J27" s="86" t="s">
        <v>161</v>
      </c>
      <c r="K27" s="84" t="s">
        <v>170</v>
      </c>
      <c r="L27" s="86" t="s">
        <v>145</v>
      </c>
      <c r="M27" s="87" t="b">
        <v>1</v>
      </c>
      <c r="N27" s="88"/>
    </row>
    <row r="28" spans="1:14" ht="40" customHeight="1" x14ac:dyDescent="0.2">
      <c r="A28" s="83" t="s">
        <v>165</v>
      </c>
      <c r="B28" s="84"/>
      <c r="C28" s="85">
        <v>2</v>
      </c>
      <c r="D28" s="85">
        <v>21</v>
      </c>
      <c r="E28" s="85">
        <v>2</v>
      </c>
      <c r="F28" s="84" t="s">
        <v>153</v>
      </c>
      <c r="G28" s="84" t="s">
        <v>105</v>
      </c>
      <c r="H28" s="84"/>
      <c r="I28" s="84" t="s">
        <v>243</v>
      </c>
      <c r="J28" s="86" t="s">
        <v>161</v>
      </c>
      <c r="K28" s="84" t="s">
        <v>162</v>
      </c>
      <c r="L28" s="86" t="s">
        <v>145</v>
      </c>
      <c r="M28" s="87" t="b">
        <v>1</v>
      </c>
      <c r="N28" s="88"/>
    </row>
    <row r="29" spans="1:14" ht="40" customHeight="1" x14ac:dyDescent="0.2">
      <c r="A29" s="83" t="s">
        <v>165</v>
      </c>
      <c r="B29" s="84"/>
      <c r="C29" s="85">
        <v>3</v>
      </c>
      <c r="D29" s="85">
        <v>1</v>
      </c>
      <c r="E29" s="85">
        <v>1</v>
      </c>
      <c r="F29" s="84" t="s">
        <v>156</v>
      </c>
      <c r="G29" s="84" t="s">
        <v>189</v>
      </c>
      <c r="H29" s="84"/>
      <c r="I29" s="84" t="s">
        <v>208</v>
      </c>
      <c r="J29" s="86" t="s">
        <v>154</v>
      </c>
      <c r="K29" s="84"/>
      <c r="L29" s="86" t="s">
        <v>155</v>
      </c>
      <c r="M29" s="87" t="b">
        <v>1</v>
      </c>
      <c r="N29" s="88"/>
    </row>
    <row r="30" spans="1:14" ht="40" customHeight="1" x14ac:dyDescent="0.2">
      <c r="A30" s="83" t="s">
        <v>165</v>
      </c>
      <c r="B30" s="84"/>
      <c r="C30" s="85">
        <v>3</v>
      </c>
      <c r="D30" s="85">
        <v>2</v>
      </c>
      <c r="E30" s="85">
        <v>2</v>
      </c>
      <c r="F30" s="84" t="s">
        <v>156</v>
      </c>
      <c r="G30" s="84" t="s">
        <v>217</v>
      </c>
      <c r="H30" s="84"/>
      <c r="I30" s="84"/>
      <c r="J30" s="86" t="s">
        <v>155</v>
      </c>
      <c r="K30" s="84"/>
      <c r="L30" s="86" t="s">
        <v>155</v>
      </c>
      <c r="M30" s="87" t="b">
        <v>1</v>
      </c>
      <c r="N30" s="88"/>
    </row>
    <row r="31" spans="1:14" ht="40" customHeight="1" x14ac:dyDescent="0.2">
      <c r="A31" s="83" t="s">
        <v>165</v>
      </c>
      <c r="B31" s="84"/>
      <c r="C31" s="85">
        <v>3</v>
      </c>
      <c r="D31" s="85">
        <v>3</v>
      </c>
      <c r="E31" s="85">
        <v>2</v>
      </c>
      <c r="F31" s="84" t="s">
        <v>156</v>
      </c>
      <c r="G31" s="84" t="s">
        <v>218</v>
      </c>
      <c r="H31" s="84"/>
      <c r="I31" s="84"/>
      <c r="J31" s="86" t="s">
        <v>155</v>
      </c>
      <c r="K31" s="84"/>
      <c r="L31" s="86" t="s">
        <v>155</v>
      </c>
      <c r="M31" s="87" t="b">
        <v>1</v>
      </c>
      <c r="N31" s="88"/>
    </row>
    <row r="32" spans="1:14" ht="40" customHeight="1" x14ac:dyDescent="0.2">
      <c r="A32" s="83" t="s">
        <v>165</v>
      </c>
      <c r="B32" s="84"/>
      <c r="C32" s="85">
        <v>3</v>
      </c>
      <c r="D32" s="85">
        <v>4</v>
      </c>
      <c r="E32" s="85">
        <v>2</v>
      </c>
      <c r="F32" s="84" t="s">
        <v>156</v>
      </c>
      <c r="G32" s="84" t="s">
        <v>219</v>
      </c>
      <c r="H32" s="84"/>
      <c r="I32" s="84"/>
      <c r="J32" s="86" t="s">
        <v>155</v>
      </c>
      <c r="K32" s="84"/>
      <c r="L32" s="86" t="s">
        <v>155</v>
      </c>
      <c r="M32" s="87" t="b">
        <v>1</v>
      </c>
      <c r="N32" s="88"/>
    </row>
    <row r="33" spans="1:14" ht="40" customHeight="1" x14ac:dyDescent="0.2">
      <c r="A33" s="83" t="s">
        <v>165</v>
      </c>
      <c r="B33" s="84"/>
      <c r="C33" s="85">
        <v>3</v>
      </c>
      <c r="D33" s="85">
        <v>5</v>
      </c>
      <c r="E33" s="85">
        <v>2</v>
      </c>
      <c r="F33" s="84" t="s">
        <v>180</v>
      </c>
      <c r="G33" s="84" t="s">
        <v>230</v>
      </c>
      <c r="H33" s="84" t="s">
        <v>365</v>
      </c>
      <c r="I33" s="84"/>
      <c r="J33" s="86" t="s">
        <v>155</v>
      </c>
      <c r="K33" s="84"/>
      <c r="L33" s="86" t="s">
        <v>155</v>
      </c>
      <c r="M33" s="87" t="b">
        <v>1</v>
      </c>
      <c r="N33" s="88"/>
    </row>
    <row r="34" spans="1:14" ht="40" customHeight="1" x14ac:dyDescent="0.2">
      <c r="A34" s="83" t="s">
        <v>165</v>
      </c>
      <c r="B34" s="84"/>
      <c r="C34" s="85">
        <v>3</v>
      </c>
      <c r="D34" s="85">
        <v>6</v>
      </c>
      <c r="E34" s="85">
        <v>2</v>
      </c>
      <c r="F34" s="84" t="s">
        <v>156</v>
      </c>
      <c r="G34" s="84" t="s">
        <v>231</v>
      </c>
      <c r="H34" s="84"/>
      <c r="I34" s="84"/>
      <c r="J34" s="86" t="s">
        <v>155</v>
      </c>
      <c r="K34" s="84"/>
      <c r="L34" s="86" t="s">
        <v>155</v>
      </c>
      <c r="M34" s="87" t="b">
        <v>1</v>
      </c>
      <c r="N34" s="88"/>
    </row>
    <row r="35" spans="1:14" ht="40" customHeight="1" x14ac:dyDescent="0.2">
      <c r="A35" s="83" t="s">
        <v>165</v>
      </c>
      <c r="B35" s="84"/>
      <c r="C35" s="85">
        <v>3</v>
      </c>
      <c r="D35" s="85">
        <v>7</v>
      </c>
      <c r="E35" s="85">
        <v>2</v>
      </c>
      <c r="F35" s="84" t="s">
        <v>153</v>
      </c>
      <c r="G35" s="84" t="s">
        <v>105</v>
      </c>
      <c r="H35" s="84" t="s">
        <v>244</v>
      </c>
      <c r="I35" s="84"/>
      <c r="J35" s="86" t="s">
        <v>155</v>
      </c>
      <c r="K35" s="84" t="s">
        <v>162</v>
      </c>
      <c r="L35" s="86" t="s">
        <v>145</v>
      </c>
      <c r="M35" s="87" t="b">
        <v>1</v>
      </c>
      <c r="N35" s="88"/>
    </row>
    <row r="36" spans="1:14" ht="40" customHeight="1" x14ac:dyDescent="0.2">
      <c r="A36" s="83" t="s">
        <v>165</v>
      </c>
      <c r="B36" s="84"/>
      <c r="C36" s="85">
        <v>3</v>
      </c>
      <c r="D36" s="85">
        <v>8</v>
      </c>
      <c r="E36" s="85">
        <v>2</v>
      </c>
      <c r="F36" s="84" t="s">
        <v>153</v>
      </c>
      <c r="G36" s="84" t="s">
        <v>110</v>
      </c>
      <c r="H36" s="84" t="s">
        <v>245</v>
      </c>
      <c r="I36" s="84"/>
      <c r="J36" s="86" t="s">
        <v>155</v>
      </c>
      <c r="K36" s="84" t="s">
        <v>172</v>
      </c>
      <c r="L36" s="86" t="s">
        <v>145</v>
      </c>
      <c r="M36" s="87" t="b">
        <v>1</v>
      </c>
      <c r="N36" s="88"/>
    </row>
    <row r="37" spans="1:14" ht="40" customHeight="1" x14ac:dyDescent="0.2">
      <c r="A37" s="83" t="s">
        <v>165</v>
      </c>
      <c r="B37" s="84"/>
      <c r="C37" s="85">
        <v>3</v>
      </c>
      <c r="D37" s="85">
        <v>9</v>
      </c>
      <c r="E37" s="85">
        <v>2</v>
      </c>
      <c r="F37" s="84" t="s">
        <v>153</v>
      </c>
      <c r="G37" s="84" t="s">
        <v>112</v>
      </c>
      <c r="H37" s="84" t="s">
        <v>246</v>
      </c>
      <c r="I37" s="84"/>
      <c r="J37" s="86" t="s">
        <v>155</v>
      </c>
      <c r="K37" s="84" t="s">
        <v>207</v>
      </c>
      <c r="L37" s="86" t="s">
        <v>145</v>
      </c>
      <c r="M37" s="87" t="b">
        <v>1</v>
      </c>
      <c r="N37" s="88"/>
    </row>
    <row r="38" spans="1:14" ht="40" customHeight="1" x14ac:dyDescent="0.2">
      <c r="A38" s="83" t="s">
        <v>165</v>
      </c>
      <c r="B38" s="84"/>
      <c r="C38" s="85">
        <v>3</v>
      </c>
      <c r="D38" s="85">
        <v>10</v>
      </c>
      <c r="E38" s="85">
        <v>2</v>
      </c>
      <c r="F38" s="84" t="s">
        <v>156</v>
      </c>
      <c r="G38" s="84" t="s">
        <v>216</v>
      </c>
      <c r="H38" s="84"/>
      <c r="I38" s="84"/>
      <c r="J38" s="86" t="s">
        <v>155</v>
      </c>
      <c r="K38" s="84"/>
      <c r="L38" s="86" t="s">
        <v>155</v>
      </c>
      <c r="M38" s="87" t="b">
        <v>1</v>
      </c>
      <c r="N38" s="88"/>
    </row>
    <row r="39" spans="1:14" ht="40" customHeight="1" x14ac:dyDescent="0.2">
      <c r="A39" s="83" t="s">
        <v>165</v>
      </c>
      <c r="B39" s="84"/>
      <c r="C39" s="85">
        <v>3</v>
      </c>
      <c r="D39" s="85">
        <v>11</v>
      </c>
      <c r="E39" s="85">
        <v>2</v>
      </c>
      <c r="F39" s="84" t="s">
        <v>153</v>
      </c>
      <c r="G39" s="84" t="s">
        <v>202</v>
      </c>
      <c r="H39" s="84" t="s">
        <v>247</v>
      </c>
      <c r="I39" s="84" t="s">
        <v>220</v>
      </c>
      <c r="J39" s="86" t="s">
        <v>154</v>
      </c>
      <c r="K39" s="84" t="s">
        <v>203</v>
      </c>
      <c r="L39" s="86" t="s">
        <v>145</v>
      </c>
      <c r="M39" s="87" t="b">
        <v>1</v>
      </c>
      <c r="N39" s="88"/>
    </row>
    <row r="40" spans="1:14" ht="40" customHeight="1" x14ac:dyDescent="0.2">
      <c r="A40" s="83" t="s">
        <v>165</v>
      </c>
      <c r="B40" s="84"/>
      <c r="C40" s="85">
        <v>3</v>
      </c>
      <c r="D40" s="85">
        <v>12</v>
      </c>
      <c r="E40" s="85">
        <v>2</v>
      </c>
      <c r="F40" s="84" t="s">
        <v>153</v>
      </c>
      <c r="G40" s="84" t="s">
        <v>169</v>
      </c>
      <c r="H40" s="84" t="s">
        <v>248</v>
      </c>
      <c r="I40" s="84" t="s">
        <v>350</v>
      </c>
      <c r="J40" s="86" t="s">
        <v>154</v>
      </c>
      <c r="K40" s="84" t="s">
        <v>157</v>
      </c>
      <c r="L40" s="86" t="s">
        <v>145</v>
      </c>
      <c r="M40" s="87" t="b">
        <v>1</v>
      </c>
      <c r="N40" s="88"/>
    </row>
    <row r="41" spans="1:14" ht="40" customHeight="1" x14ac:dyDescent="0.2">
      <c r="A41" s="83" t="s">
        <v>165</v>
      </c>
      <c r="B41" s="84"/>
      <c r="C41" s="85">
        <v>3</v>
      </c>
      <c r="D41" s="85">
        <v>13</v>
      </c>
      <c r="E41" s="85">
        <v>2</v>
      </c>
      <c r="F41" s="84" t="s">
        <v>153</v>
      </c>
      <c r="G41" s="84" t="s">
        <v>106</v>
      </c>
      <c r="H41" s="84" t="s">
        <v>235</v>
      </c>
      <c r="I41" s="84" t="s">
        <v>347</v>
      </c>
      <c r="J41" s="86" t="s">
        <v>154</v>
      </c>
      <c r="K41" s="84" t="s">
        <v>163</v>
      </c>
      <c r="L41" s="86" t="s">
        <v>145</v>
      </c>
      <c r="M41" s="87" t="b">
        <v>1</v>
      </c>
      <c r="N41" s="88"/>
    </row>
    <row r="42" spans="1:14" ht="40" customHeight="1" x14ac:dyDescent="0.2">
      <c r="A42" s="83" t="s">
        <v>165</v>
      </c>
      <c r="B42" s="84"/>
      <c r="C42" s="85">
        <v>3</v>
      </c>
      <c r="D42" s="85">
        <v>14</v>
      </c>
      <c r="E42" s="85">
        <v>2</v>
      </c>
      <c r="F42" s="84" t="s">
        <v>156</v>
      </c>
      <c r="G42" s="84" t="s">
        <v>201</v>
      </c>
      <c r="H42" s="84"/>
      <c r="I42" s="84"/>
      <c r="J42" s="86" t="s">
        <v>155</v>
      </c>
      <c r="K42" s="84"/>
      <c r="L42" s="86" t="s">
        <v>155</v>
      </c>
      <c r="M42" s="87" t="b">
        <v>1</v>
      </c>
      <c r="N42" s="88"/>
    </row>
    <row r="43" spans="1:14" ht="40" customHeight="1" x14ac:dyDescent="0.2">
      <c r="A43" s="83" t="s">
        <v>165</v>
      </c>
      <c r="B43" s="84"/>
      <c r="C43" s="85">
        <v>3</v>
      </c>
      <c r="D43" s="85">
        <v>15</v>
      </c>
      <c r="E43" s="85">
        <v>2</v>
      </c>
      <c r="F43" s="84" t="s">
        <v>153</v>
      </c>
      <c r="G43" s="84" t="s">
        <v>104</v>
      </c>
      <c r="H43" s="84"/>
      <c r="I43" s="84" t="s">
        <v>249</v>
      </c>
      <c r="J43" s="86" t="s">
        <v>159</v>
      </c>
      <c r="K43" s="84" t="s">
        <v>168</v>
      </c>
      <c r="L43" s="86" t="s">
        <v>145</v>
      </c>
      <c r="M43" s="87" t="b">
        <v>1</v>
      </c>
      <c r="N43" s="88"/>
    </row>
    <row r="44" spans="1:14" ht="40" customHeight="1" x14ac:dyDescent="0.2">
      <c r="A44" s="83" t="s">
        <v>165</v>
      </c>
      <c r="B44" s="84"/>
      <c r="C44" s="85">
        <v>3</v>
      </c>
      <c r="D44" s="85">
        <v>16</v>
      </c>
      <c r="E44" s="85">
        <v>2</v>
      </c>
      <c r="F44" s="84" t="s">
        <v>153</v>
      </c>
      <c r="G44" s="84" t="s">
        <v>169</v>
      </c>
      <c r="H44" s="84"/>
      <c r="I44" s="84" t="s">
        <v>250</v>
      </c>
      <c r="J44" s="86" t="s">
        <v>159</v>
      </c>
      <c r="K44" s="84" t="s">
        <v>157</v>
      </c>
      <c r="L44" s="86" t="s">
        <v>145</v>
      </c>
      <c r="M44" s="87" t="b">
        <v>1</v>
      </c>
      <c r="N44" s="88"/>
    </row>
    <row r="45" spans="1:14" ht="40" customHeight="1" x14ac:dyDescent="0.2">
      <c r="A45" s="83" t="s">
        <v>165</v>
      </c>
      <c r="B45" s="84"/>
      <c r="C45" s="85">
        <v>3</v>
      </c>
      <c r="D45" s="85">
        <v>17</v>
      </c>
      <c r="E45" s="85">
        <v>2</v>
      </c>
      <c r="F45" s="84" t="s">
        <v>153</v>
      </c>
      <c r="G45" s="84" t="s">
        <v>106</v>
      </c>
      <c r="H45" s="84"/>
      <c r="I45" s="84" t="s">
        <v>251</v>
      </c>
      <c r="J45" s="86" t="s">
        <v>159</v>
      </c>
      <c r="K45" s="84" t="s">
        <v>163</v>
      </c>
      <c r="L45" s="86" t="s">
        <v>145</v>
      </c>
      <c r="M45" s="87" t="b">
        <v>1</v>
      </c>
      <c r="N45" s="88"/>
    </row>
    <row r="46" spans="1:14" ht="40" customHeight="1" x14ac:dyDescent="0.2">
      <c r="A46" s="83" t="s">
        <v>165</v>
      </c>
      <c r="B46" s="84"/>
      <c r="C46" s="85">
        <v>3</v>
      </c>
      <c r="D46" s="85">
        <v>18</v>
      </c>
      <c r="E46" s="85">
        <v>2</v>
      </c>
      <c r="F46" s="84" t="s">
        <v>156</v>
      </c>
      <c r="G46" s="84" t="s">
        <v>206</v>
      </c>
      <c r="H46" s="84"/>
      <c r="I46" s="84"/>
      <c r="J46" s="86" t="s">
        <v>155</v>
      </c>
      <c r="K46" s="84"/>
      <c r="L46" s="86" t="s">
        <v>155</v>
      </c>
      <c r="M46" s="87" t="b">
        <v>1</v>
      </c>
      <c r="N46" s="88"/>
    </row>
    <row r="47" spans="1:14" ht="40" customHeight="1" x14ac:dyDescent="0.2">
      <c r="A47" s="83" t="s">
        <v>165</v>
      </c>
      <c r="B47" s="84"/>
      <c r="C47" s="85">
        <v>3</v>
      </c>
      <c r="D47" s="85">
        <v>19</v>
      </c>
      <c r="E47" s="85">
        <v>2</v>
      </c>
      <c r="F47" s="84" t="s">
        <v>153</v>
      </c>
      <c r="G47" s="84" t="s">
        <v>105</v>
      </c>
      <c r="H47" s="84"/>
      <c r="I47" s="84" t="s">
        <v>252</v>
      </c>
      <c r="J47" s="86" t="s">
        <v>161</v>
      </c>
      <c r="K47" s="84" t="s">
        <v>162</v>
      </c>
      <c r="L47" s="86" t="s">
        <v>145</v>
      </c>
      <c r="M47" s="87" t="b">
        <v>1</v>
      </c>
      <c r="N47" s="88"/>
    </row>
    <row r="48" spans="1:14" ht="40" customHeight="1" x14ac:dyDescent="0.2">
      <c r="A48" s="83" t="s">
        <v>165</v>
      </c>
      <c r="B48" s="84"/>
      <c r="C48" s="85">
        <v>3</v>
      </c>
      <c r="D48" s="85">
        <v>20</v>
      </c>
      <c r="E48" s="85">
        <v>2</v>
      </c>
      <c r="F48" s="84" t="s">
        <v>153</v>
      </c>
      <c r="G48" s="84" t="s">
        <v>112</v>
      </c>
      <c r="H48" s="84"/>
      <c r="I48" s="84" t="s">
        <v>253</v>
      </c>
      <c r="J48" s="86" t="s">
        <v>161</v>
      </c>
      <c r="K48" s="84" t="s">
        <v>207</v>
      </c>
      <c r="L48" s="86" t="s">
        <v>145</v>
      </c>
      <c r="M48" s="87" t="b">
        <v>1</v>
      </c>
      <c r="N48" s="88"/>
    </row>
    <row r="49" spans="1:14" ht="40" customHeight="1" x14ac:dyDescent="0.2">
      <c r="A49" s="83" t="s">
        <v>165</v>
      </c>
      <c r="B49" s="84"/>
      <c r="C49" s="85">
        <v>3</v>
      </c>
      <c r="D49" s="85">
        <v>21</v>
      </c>
      <c r="E49" s="85">
        <v>2</v>
      </c>
      <c r="F49" s="84" t="s">
        <v>153</v>
      </c>
      <c r="G49" s="84" t="s">
        <v>110</v>
      </c>
      <c r="H49" s="84"/>
      <c r="I49" s="84" t="s">
        <v>254</v>
      </c>
      <c r="J49" s="86" t="s">
        <v>161</v>
      </c>
      <c r="K49" s="84" t="s">
        <v>172</v>
      </c>
      <c r="L49" s="86" t="s">
        <v>145</v>
      </c>
      <c r="M49" s="87" t="b">
        <v>1</v>
      </c>
      <c r="N49" s="88"/>
    </row>
    <row r="50" spans="1:14" ht="40" customHeight="1" x14ac:dyDescent="0.2">
      <c r="A50" s="83" t="s">
        <v>165</v>
      </c>
      <c r="B50" s="84"/>
      <c r="C50" s="85">
        <v>4</v>
      </c>
      <c r="D50" s="85">
        <v>1</v>
      </c>
      <c r="E50" s="85">
        <v>1</v>
      </c>
      <c r="F50" s="84" t="s">
        <v>156</v>
      </c>
      <c r="G50" s="84" t="s">
        <v>171</v>
      </c>
      <c r="H50" s="84"/>
      <c r="I50" s="84" t="s">
        <v>209</v>
      </c>
      <c r="J50" s="86" t="s">
        <v>154</v>
      </c>
      <c r="K50" s="84"/>
      <c r="L50" s="86" t="s">
        <v>155</v>
      </c>
      <c r="M50" s="87" t="b">
        <v>1</v>
      </c>
      <c r="N50" s="88"/>
    </row>
    <row r="51" spans="1:14" ht="40" customHeight="1" x14ac:dyDescent="0.2">
      <c r="A51" s="83" t="s">
        <v>165</v>
      </c>
      <c r="B51" s="84"/>
      <c r="C51" s="85">
        <v>4</v>
      </c>
      <c r="D51" s="85">
        <v>2</v>
      </c>
      <c r="E51" s="85">
        <v>2</v>
      </c>
      <c r="F51" s="84" t="s">
        <v>156</v>
      </c>
      <c r="G51" s="84" t="s">
        <v>221</v>
      </c>
      <c r="H51" s="84"/>
      <c r="I51" s="84"/>
      <c r="J51" s="86" t="s">
        <v>155</v>
      </c>
      <c r="K51" s="84"/>
      <c r="L51" s="86" t="s">
        <v>155</v>
      </c>
      <c r="M51" s="87" t="b">
        <v>1</v>
      </c>
      <c r="N51" s="88"/>
    </row>
    <row r="52" spans="1:14" ht="40" customHeight="1" x14ac:dyDescent="0.2">
      <c r="A52" s="83" t="s">
        <v>165</v>
      </c>
      <c r="B52" s="84"/>
      <c r="C52" s="85">
        <v>4</v>
      </c>
      <c r="D52" s="85">
        <v>3</v>
      </c>
      <c r="E52" s="85">
        <v>2</v>
      </c>
      <c r="F52" s="84" t="s">
        <v>156</v>
      </c>
      <c r="G52" s="84" t="s">
        <v>222</v>
      </c>
      <c r="H52" s="84"/>
      <c r="I52" s="84"/>
      <c r="J52" s="86" t="s">
        <v>155</v>
      </c>
      <c r="K52" s="84"/>
      <c r="L52" s="86" t="s">
        <v>155</v>
      </c>
      <c r="M52" s="87" t="b">
        <v>1</v>
      </c>
      <c r="N52" s="88"/>
    </row>
    <row r="53" spans="1:14" ht="40" customHeight="1" x14ac:dyDescent="0.2">
      <c r="A53" s="83" t="s">
        <v>165</v>
      </c>
      <c r="B53" s="84"/>
      <c r="C53" s="85">
        <v>4</v>
      </c>
      <c r="D53" s="85">
        <v>4</v>
      </c>
      <c r="E53" s="85">
        <v>2</v>
      </c>
      <c r="F53" s="84" t="s">
        <v>156</v>
      </c>
      <c r="G53" s="84" t="s">
        <v>223</v>
      </c>
      <c r="H53" s="84"/>
      <c r="I53" s="84"/>
      <c r="J53" s="86" t="s">
        <v>155</v>
      </c>
      <c r="K53" s="84"/>
      <c r="L53" s="86" t="s">
        <v>155</v>
      </c>
      <c r="M53" s="87" t="b">
        <v>1</v>
      </c>
      <c r="N53" s="88"/>
    </row>
    <row r="54" spans="1:14" ht="40" customHeight="1" x14ac:dyDescent="0.2">
      <c r="A54" s="83" t="s">
        <v>165</v>
      </c>
      <c r="B54" s="84"/>
      <c r="C54" s="85">
        <v>4</v>
      </c>
      <c r="D54" s="85">
        <v>5</v>
      </c>
      <c r="E54" s="85">
        <v>2</v>
      </c>
      <c r="F54" s="84" t="s">
        <v>180</v>
      </c>
      <c r="G54" s="84" t="s">
        <v>230</v>
      </c>
      <c r="H54" s="84" t="s">
        <v>366</v>
      </c>
      <c r="I54" s="84"/>
      <c r="J54" s="86" t="s">
        <v>155</v>
      </c>
      <c r="K54" s="84"/>
      <c r="L54" s="86" t="s">
        <v>155</v>
      </c>
      <c r="M54" s="87" t="b">
        <v>1</v>
      </c>
      <c r="N54" s="88"/>
    </row>
    <row r="55" spans="1:14" ht="40" customHeight="1" x14ac:dyDescent="0.2">
      <c r="A55" s="83" t="s">
        <v>165</v>
      </c>
      <c r="B55" s="84"/>
      <c r="C55" s="85">
        <v>4</v>
      </c>
      <c r="D55" s="85">
        <v>6</v>
      </c>
      <c r="E55" s="85">
        <v>2</v>
      </c>
      <c r="F55" s="84" t="s">
        <v>156</v>
      </c>
      <c r="G55" s="84" t="s">
        <v>231</v>
      </c>
      <c r="H55" s="84"/>
      <c r="I55" s="84"/>
      <c r="J55" s="86" t="s">
        <v>155</v>
      </c>
      <c r="K55" s="84"/>
      <c r="L55" s="86" t="s">
        <v>155</v>
      </c>
      <c r="M55" s="87" t="b">
        <v>1</v>
      </c>
      <c r="N55" s="88"/>
    </row>
    <row r="56" spans="1:14" ht="40" customHeight="1" x14ac:dyDescent="0.2">
      <c r="A56" s="83" t="s">
        <v>165</v>
      </c>
      <c r="B56" s="84"/>
      <c r="C56" s="85">
        <v>4</v>
      </c>
      <c r="D56" s="85">
        <v>7</v>
      </c>
      <c r="E56" s="85">
        <v>2</v>
      </c>
      <c r="F56" s="84" t="s">
        <v>153</v>
      </c>
      <c r="G56" s="84" t="s">
        <v>193</v>
      </c>
      <c r="H56" s="84" t="s">
        <v>255</v>
      </c>
      <c r="I56" s="84"/>
      <c r="J56" s="86" t="s">
        <v>155</v>
      </c>
      <c r="K56" s="84" t="s">
        <v>158</v>
      </c>
      <c r="L56" s="86" t="s">
        <v>145</v>
      </c>
      <c r="M56" s="87" t="b">
        <v>1</v>
      </c>
      <c r="N56" s="88"/>
    </row>
    <row r="57" spans="1:14" ht="40" customHeight="1" x14ac:dyDescent="0.2">
      <c r="A57" s="83" t="s">
        <v>165</v>
      </c>
      <c r="B57" s="84"/>
      <c r="C57" s="85">
        <v>4</v>
      </c>
      <c r="D57" s="85">
        <v>8</v>
      </c>
      <c r="E57" s="85">
        <v>2</v>
      </c>
      <c r="F57" s="84" t="s">
        <v>153</v>
      </c>
      <c r="G57" s="84" t="s">
        <v>103</v>
      </c>
      <c r="H57" s="84" t="s">
        <v>255</v>
      </c>
      <c r="I57" s="84"/>
      <c r="J57" s="86" t="s">
        <v>155</v>
      </c>
      <c r="K57" s="84" t="s">
        <v>177</v>
      </c>
      <c r="L57" s="86" t="s">
        <v>145</v>
      </c>
      <c r="M57" s="87" t="b">
        <v>1</v>
      </c>
      <c r="N57" s="88"/>
    </row>
    <row r="58" spans="1:14" ht="40" customHeight="1" x14ac:dyDescent="0.2">
      <c r="A58" s="83" t="s">
        <v>165</v>
      </c>
      <c r="B58" s="84"/>
      <c r="C58" s="85">
        <v>4</v>
      </c>
      <c r="D58" s="85">
        <v>9</v>
      </c>
      <c r="E58" s="85">
        <v>2</v>
      </c>
      <c r="F58" s="84" t="s">
        <v>153</v>
      </c>
      <c r="G58" s="84" t="s">
        <v>256</v>
      </c>
      <c r="H58" s="84" t="s">
        <v>255</v>
      </c>
      <c r="I58" s="84"/>
      <c r="J58" s="86" t="s">
        <v>155</v>
      </c>
      <c r="K58" s="84" t="s">
        <v>257</v>
      </c>
      <c r="L58" s="86" t="s">
        <v>145</v>
      </c>
      <c r="M58" s="87" t="b">
        <v>1</v>
      </c>
      <c r="N58" s="88"/>
    </row>
    <row r="59" spans="1:14" ht="40" customHeight="1" x14ac:dyDescent="0.2">
      <c r="A59" s="83" t="s">
        <v>165</v>
      </c>
      <c r="B59" s="84"/>
      <c r="C59" s="85">
        <v>4</v>
      </c>
      <c r="D59" s="85">
        <v>10</v>
      </c>
      <c r="E59" s="85">
        <v>2</v>
      </c>
      <c r="F59" s="84" t="s">
        <v>156</v>
      </c>
      <c r="G59" s="84" t="s">
        <v>216</v>
      </c>
      <c r="H59" s="84"/>
      <c r="I59" s="84"/>
      <c r="J59" s="86" t="s">
        <v>155</v>
      </c>
      <c r="K59" s="84"/>
      <c r="L59" s="86" t="s">
        <v>155</v>
      </c>
      <c r="M59" s="87" t="b">
        <v>1</v>
      </c>
      <c r="N59" s="88"/>
    </row>
    <row r="60" spans="1:14" ht="40" customHeight="1" x14ac:dyDescent="0.2">
      <c r="A60" s="83" t="s">
        <v>165</v>
      </c>
      <c r="B60" s="84"/>
      <c r="C60" s="85">
        <v>4</v>
      </c>
      <c r="D60" s="85">
        <v>11</v>
      </c>
      <c r="E60" s="85">
        <v>2</v>
      </c>
      <c r="F60" s="84" t="s">
        <v>153</v>
      </c>
      <c r="G60" s="84" t="s">
        <v>108</v>
      </c>
      <c r="H60" s="84" t="s">
        <v>258</v>
      </c>
      <c r="I60" s="84" t="s">
        <v>351</v>
      </c>
      <c r="J60" s="86" t="s">
        <v>154</v>
      </c>
      <c r="K60" s="84" t="s">
        <v>210</v>
      </c>
      <c r="L60" s="86" t="s">
        <v>145</v>
      </c>
      <c r="M60" s="87" t="b">
        <v>1</v>
      </c>
      <c r="N60" s="88"/>
    </row>
    <row r="61" spans="1:14" ht="40" customHeight="1" x14ac:dyDescent="0.2">
      <c r="A61" s="83" t="s">
        <v>165</v>
      </c>
      <c r="B61" s="84"/>
      <c r="C61" s="85">
        <v>4</v>
      </c>
      <c r="D61" s="85">
        <v>12</v>
      </c>
      <c r="E61" s="85">
        <v>2</v>
      </c>
      <c r="F61" s="84" t="s">
        <v>153</v>
      </c>
      <c r="G61" s="84" t="s">
        <v>202</v>
      </c>
      <c r="H61" s="84" t="s">
        <v>259</v>
      </c>
      <c r="I61" s="84" t="s">
        <v>352</v>
      </c>
      <c r="J61" s="86" t="s">
        <v>154</v>
      </c>
      <c r="K61" s="84" t="s">
        <v>203</v>
      </c>
      <c r="L61" s="86" t="s">
        <v>145</v>
      </c>
      <c r="M61" s="87" t="b">
        <v>1</v>
      </c>
      <c r="N61" s="88"/>
    </row>
    <row r="62" spans="1:14" ht="40" customHeight="1" x14ac:dyDescent="0.2">
      <c r="A62" s="83" t="s">
        <v>165</v>
      </c>
      <c r="B62" s="84"/>
      <c r="C62" s="85">
        <v>4</v>
      </c>
      <c r="D62" s="85">
        <v>13</v>
      </c>
      <c r="E62" s="85">
        <v>2</v>
      </c>
      <c r="F62" s="84" t="s">
        <v>153</v>
      </c>
      <c r="G62" s="84" t="s">
        <v>104</v>
      </c>
      <c r="H62" s="84" t="s">
        <v>260</v>
      </c>
      <c r="I62" s="84" t="s">
        <v>353</v>
      </c>
      <c r="J62" s="86" t="s">
        <v>154</v>
      </c>
      <c r="K62" s="84" t="s">
        <v>168</v>
      </c>
      <c r="L62" s="86" t="s">
        <v>145</v>
      </c>
      <c r="M62" s="87" t="b">
        <v>1</v>
      </c>
      <c r="N62" s="88"/>
    </row>
    <row r="63" spans="1:14" ht="40" customHeight="1" x14ac:dyDescent="0.2">
      <c r="A63" s="83" t="s">
        <v>165</v>
      </c>
      <c r="B63" s="84"/>
      <c r="C63" s="85">
        <v>4</v>
      </c>
      <c r="D63" s="85">
        <v>14</v>
      </c>
      <c r="E63" s="85">
        <v>2</v>
      </c>
      <c r="F63" s="84" t="s">
        <v>156</v>
      </c>
      <c r="G63" s="84" t="s">
        <v>201</v>
      </c>
      <c r="H63" s="84"/>
      <c r="I63" s="84"/>
      <c r="J63" s="86" t="s">
        <v>155</v>
      </c>
      <c r="K63" s="84"/>
      <c r="L63" s="86" t="s">
        <v>155</v>
      </c>
      <c r="M63" s="87" t="b">
        <v>1</v>
      </c>
      <c r="N63" s="88"/>
    </row>
    <row r="64" spans="1:14" ht="40" customHeight="1" x14ac:dyDescent="0.2">
      <c r="A64" s="83" t="s">
        <v>165</v>
      </c>
      <c r="B64" s="84"/>
      <c r="C64" s="85">
        <v>4</v>
      </c>
      <c r="D64" s="85">
        <v>15</v>
      </c>
      <c r="E64" s="85">
        <v>2</v>
      </c>
      <c r="F64" s="84" t="s">
        <v>153</v>
      </c>
      <c r="G64" s="84" t="s">
        <v>104</v>
      </c>
      <c r="H64" s="84"/>
      <c r="I64" s="84" t="s">
        <v>261</v>
      </c>
      <c r="J64" s="86" t="s">
        <v>159</v>
      </c>
      <c r="K64" s="84" t="s">
        <v>168</v>
      </c>
      <c r="L64" s="86" t="s">
        <v>145</v>
      </c>
      <c r="M64" s="87" t="b">
        <v>1</v>
      </c>
      <c r="N64" s="88"/>
    </row>
    <row r="65" spans="1:14" ht="40" customHeight="1" x14ac:dyDescent="0.2">
      <c r="A65" s="83" t="s">
        <v>165</v>
      </c>
      <c r="B65" s="84"/>
      <c r="C65" s="85">
        <v>4</v>
      </c>
      <c r="D65" s="85">
        <v>16</v>
      </c>
      <c r="E65" s="85">
        <v>2</v>
      </c>
      <c r="F65" s="84" t="s">
        <v>153</v>
      </c>
      <c r="G65" s="84" t="s">
        <v>112</v>
      </c>
      <c r="H65" s="84"/>
      <c r="I65" s="84" t="s">
        <v>262</v>
      </c>
      <c r="J65" s="86" t="s">
        <v>159</v>
      </c>
      <c r="K65" s="84" t="s">
        <v>207</v>
      </c>
      <c r="L65" s="86" t="s">
        <v>145</v>
      </c>
      <c r="M65" s="87" t="b">
        <v>1</v>
      </c>
      <c r="N65" s="88"/>
    </row>
    <row r="66" spans="1:14" ht="40" customHeight="1" x14ac:dyDescent="0.2">
      <c r="A66" s="83" t="s">
        <v>165</v>
      </c>
      <c r="B66" s="84"/>
      <c r="C66" s="85">
        <v>4</v>
      </c>
      <c r="D66" s="85">
        <v>17</v>
      </c>
      <c r="E66" s="85">
        <v>2</v>
      </c>
      <c r="F66" s="84" t="s">
        <v>153</v>
      </c>
      <c r="G66" s="84" t="s">
        <v>169</v>
      </c>
      <c r="H66" s="84"/>
      <c r="I66" s="84" t="s">
        <v>263</v>
      </c>
      <c r="J66" s="86" t="s">
        <v>159</v>
      </c>
      <c r="K66" s="84" t="s">
        <v>157</v>
      </c>
      <c r="L66" s="86" t="s">
        <v>145</v>
      </c>
      <c r="M66" s="87" t="b">
        <v>1</v>
      </c>
      <c r="N66" s="88"/>
    </row>
    <row r="67" spans="1:14" ht="40" customHeight="1" x14ac:dyDescent="0.2">
      <c r="A67" s="83" t="s">
        <v>165</v>
      </c>
      <c r="B67" s="84"/>
      <c r="C67" s="85">
        <v>4</v>
      </c>
      <c r="D67" s="85">
        <v>18</v>
      </c>
      <c r="E67" s="85">
        <v>2</v>
      </c>
      <c r="F67" s="84" t="s">
        <v>156</v>
      </c>
      <c r="G67" s="84" t="s">
        <v>206</v>
      </c>
      <c r="H67" s="84"/>
      <c r="I67" s="84"/>
      <c r="J67" s="86" t="s">
        <v>155</v>
      </c>
      <c r="K67" s="84"/>
      <c r="L67" s="86" t="s">
        <v>155</v>
      </c>
      <c r="M67" s="87" t="b">
        <v>1</v>
      </c>
      <c r="N67" s="88"/>
    </row>
    <row r="68" spans="1:14" ht="40" customHeight="1" x14ac:dyDescent="0.2">
      <c r="A68" s="83" t="s">
        <v>165</v>
      </c>
      <c r="B68" s="84"/>
      <c r="C68" s="85">
        <v>4</v>
      </c>
      <c r="D68" s="85">
        <v>19</v>
      </c>
      <c r="E68" s="85">
        <v>2</v>
      </c>
      <c r="F68" s="84" t="s">
        <v>156</v>
      </c>
      <c r="G68" s="84" t="s">
        <v>211</v>
      </c>
      <c r="H68" s="84"/>
      <c r="I68" s="84"/>
      <c r="J68" s="86" t="s">
        <v>155</v>
      </c>
      <c r="K68" s="84"/>
      <c r="L68" s="86" t="s">
        <v>155</v>
      </c>
      <c r="M68" s="87" t="b">
        <v>1</v>
      </c>
      <c r="N68" s="88"/>
    </row>
    <row r="69" spans="1:14" ht="40" customHeight="1" x14ac:dyDescent="0.2">
      <c r="A69" s="83" t="s">
        <v>165</v>
      </c>
      <c r="B69" s="84"/>
      <c r="C69" s="85">
        <v>5</v>
      </c>
      <c r="D69" s="85">
        <v>1</v>
      </c>
      <c r="E69" s="85">
        <v>1</v>
      </c>
      <c r="F69" s="84" t="s">
        <v>156</v>
      </c>
      <c r="G69" s="84" t="s">
        <v>190</v>
      </c>
      <c r="H69" s="84"/>
      <c r="I69" s="84" t="s">
        <v>212</v>
      </c>
      <c r="J69" s="86" t="s">
        <v>154</v>
      </c>
      <c r="K69" s="84"/>
      <c r="L69" s="86" t="s">
        <v>155</v>
      </c>
      <c r="M69" s="87" t="b">
        <v>1</v>
      </c>
      <c r="N69" s="88"/>
    </row>
    <row r="70" spans="1:14" ht="40" customHeight="1" x14ac:dyDescent="0.2">
      <c r="A70" s="83" t="s">
        <v>165</v>
      </c>
      <c r="B70" s="84"/>
      <c r="C70" s="85">
        <v>5</v>
      </c>
      <c r="D70" s="85">
        <v>2</v>
      </c>
      <c r="E70" s="85">
        <v>2</v>
      </c>
      <c r="F70" s="84" t="s">
        <v>156</v>
      </c>
      <c r="G70" s="84" t="s">
        <v>224</v>
      </c>
      <c r="H70" s="84"/>
      <c r="I70" s="84"/>
      <c r="J70" s="86" t="s">
        <v>155</v>
      </c>
      <c r="K70" s="84"/>
      <c r="L70" s="86" t="s">
        <v>155</v>
      </c>
      <c r="M70" s="87" t="b">
        <v>1</v>
      </c>
      <c r="N70" s="88"/>
    </row>
    <row r="71" spans="1:14" ht="40" customHeight="1" x14ac:dyDescent="0.2">
      <c r="A71" s="83" t="s">
        <v>165</v>
      </c>
      <c r="B71" s="84"/>
      <c r="C71" s="85">
        <v>5</v>
      </c>
      <c r="D71" s="85">
        <v>3</v>
      </c>
      <c r="E71" s="85">
        <v>2</v>
      </c>
      <c r="F71" s="84" t="s">
        <v>156</v>
      </c>
      <c r="G71" s="84" t="s">
        <v>225</v>
      </c>
      <c r="H71" s="84"/>
      <c r="I71" s="84"/>
      <c r="J71" s="86" t="s">
        <v>155</v>
      </c>
      <c r="K71" s="84"/>
      <c r="L71" s="86" t="s">
        <v>155</v>
      </c>
      <c r="M71" s="87" t="b">
        <v>1</v>
      </c>
      <c r="N71" s="88"/>
    </row>
    <row r="72" spans="1:14" ht="40" customHeight="1" x14ac:dyDescent="0.2">
      <c r="A72" s="83" t="s">
        <v>165</v>
      </c>
      <c r="B72" s="84"/>
      <c r="C72" s="85">
        <v>5</v>
      </c>
      <c r="D72" s="85">
        <v>4</v>
      </c>
      <c r="E72" s="85">
        <v>2</v>
      </c>
      <c r="F72" s="84" t="s">
        <v>156</v>
      </c>
      <c r="G72" s="84" t="s">
        <v>226</v>
      </c>
      <c r="H72" s="84"/>
      <c r="I72" s="84"/>
      <c r="J72" s="86" t="s">
        <v>155</v>
      </c>
      <c r="K72" s="84"/>
      <c r="L72" s="86" t="s">
        <v>155</v>
      </c>
      <c r="M72" s="87" t="b">
        <v>1</v>
      </c>
      <c r="N72" s="88"/>
    </row>
    <row r="73" spans="1:14" ht="40" customHeight="1" x14ac:dyDescent="0.2">
      <c r="A73" s="83" t="s">
        <v>165</v>
      </c>
      <c r="B73" s="84"/>
      <c r="C73" s="85">
        <v>5</v>
      </c>
      <c r="D73" s="85">
        <v>5</v>
      </c>
      <c r="E73" s="85">
        <v>2</v>
      </c>
      <c r="F73" s="84" t="s">
        <v>180</v>
      </c>
      <c r="G73" s="84" t="s">
        <v>230</v>
      </c>
      <c r="H73" s="84" t="s">
        <v>367</v>
      </c>
      <c r="I73" s="84"/>
      <c r="J73" s="86" t="s">
        <v>155</v>
      </c>
      <c r="K73" s="84"/>
      <c r="L73" s="86" t="s">
        <v>155</v>
      </c>
      <c r="M73" s="87" t="b">
        <v>1</v>
      </c>
      <c r="N73" s="88"/>
    </row>
    <row r="74" spans="1:14" ht="40" customHeight="1" x14ac:dyDescent="0.2">
      <c r="A74" s="83" t="s">
        <v>165</v>
      </c>
      <c r="B74" s="84"/>
      <c r="C74" s="85">
        <v>5</v>
      </c>
      <c r="D74" s="85">
        <v>6</v>
      </c>
      <c r="E74" s="85">
        <v>2</v>
      </c>
      <c r="F74" s="84" t="s">
        <v>156</v>
      </c>
      <c r="G74" s="84" t="s">
        <v>231</v>
      </c>
      <c r="H74" s="84"/>
      <c r="I74" s="84"/>
      <c r="J74" s="86" t="s">
        <v>155</v>
      </c>
      <c r="K74" s="84"/>
      <c r="L74" s="86" t="s">
        <v>155</v>
      </c>
      <c r="M74" s="87" t="b">
        <v>1</v>
      </c>
      <c r="N74" s="88"/>
    </row>
    <row r="75" spans="1:14" ht="40" customHeight="1" x14ac:dyDescent="0.2">
      <c r="A75" s="83" t="s">
        <v>165</v>
      </c>
      <c r="B75" s="84"/>
      <c r="C75" s="85">
        <v>5</v>
      </c>
      <c r="D75" s="85">
        <v>7</v>
      </c>
      <c r="E75" s="85">
        <v>2</v>
      </c>
      <c r="F75" s="84" t="s">
        <v>153</v>
      </c>
      <c r="G75" s="84" t="s">
        <v>113</v>
      </c>
      <c r="H75" s="84" t="s">
        <v>264</v>
      </c>
      <c r="I75" s="84"/>
      <c r="J75" s="86" t="s">
        <v>155</v>
      </c>
      <c r="K75" s="84" t="s">
        <v>164</v>
      </c>
      <c r="L75" s="86" t="s">
        <v>145</v>
      </c>
      <c r="M75" s="87" t="b">
        <v>1</v>
      </c>
      <c r="N75" s="88"/>
    </row>
    <row r="76" spans="1:14" ht="40" customHeight="1" x14ac:dyDescent="0.2">
      <c r="A76" s="83" t="s">
        <v>165</v>
      </c>
      <c r="B76" s="84"/>
      <c r="C76" s="85">
        <v>5</v>
      </c>
      <c r="D76" s="85">
        <v>8</v>
      </c>
      <c r="E76" s="85">
        <v>2</v>
      </c>
      <c r="F76" s="84" t="s">
        <v>153</v>
      </c>
      <c r="G76" s="84" t="s">
        <v>193</v>
      </c>
      <c r="H76" s="84" t="s">
        <v>255</v>
      </c>
      <c r="I76" s="84"/>
      <c r="J76" s="86" t="s">
        <v>155</v>
      </c>
      <c r="K76" s="84" t="s">
        <v>158</v>
      </c>
      <c r="L76" s="86" t="s">
        <v>145</v>
      </c>
      <c r="M76" s="87" t="b">
        <v>1</v>
      </c>
      <c r="N76" s="88"/>
    </row>
    <row r="77" spans="1:14" ht="40" customHeight="1" x14ac:dyDescent="0.2">
      <c r="A77" s="83" t="s">
        <v>165</v>
      </c>
      <c r="B77" s="84"/>
      <c r="C77" s="85">
        <v>5</v>
      </c>
      <c r="D77" s="85">
        <v>9</v>
      </c>
      <c r="E77" s="85">
        <v>2</v>
      </c>
      <c r="F77" s="84" t="s">
        <v>153</v>
      </c>
      <c r="G77" s="84" t="s">
        <v>103</v>
      </c>
      <c r="H77" s="84" t="s">
        <v>255</v>
      </c>
      <c r="I77" s="84"/>
      <c r="J77" s="86" t="s">
        <v>155</v>
      </c>
      <c r="K77" s="84" t="s">
        <v>177</v>
      </c>
      <c r="L77" s="86" t="s">
        <v>145</v>
      </c>
      <c r="M77" s="87" t="b">
        <v>1</v>
      </c>
      <c r="N77" s="88"/>
    </row>
    <row r="78" spans="1:14" ht="40" customHeight="1" x14ac:dyDescent="0.2">
      <c r="A78" s="83" t="s">
        <v>165</v>
      </c>
      <c r="B78" s="84"/>
      <c r="C78" s="85">
        <v>5</v>
      </c>
      <c r="D78" s="85">
        <v>10</v>
      </c>
      <c r="E78" s="85">
        <v>2</v>
      </c>
      <c r="F78" s="84" t="s">
        <v>156</v>
      </c>
      <c r="G78" s="84" t="s">
        <v>216</v>
      </c>
      <c r="H78" s="84"/>
      <c r="I78" s="84"/>
      <c r="J78" s="86" t="s">
        <v>155</v>
      </c>
      <c r="K78" s="84"/>
      <c r="L78" s="86" t="s">
        <v>155</v>
      </c>
      <c r="M78" s="87" t="b">
        <v>1</v>
      </c>
      <c r="N78" s="88"/>
    </row>
    <row r="79" spans="1:14" ht="40" customHeight="1" x14ac:dyDescent="0.2">
      <c r="A79" s="83" t="s">
        <v>165</v>
      </c>
      <c r="B79" s="84"/>
      <c r="C79" s="85">
        <v>5</v>
      </c>
      <c r="D79" s="85">
        <v>11</v>
      </c>
      <c r="E79" s="85">
        <v>2</v>
      </c>
      <c r="F79" s="84" t="s">
        <v>153</v>
      </c>
      <c r="G79" s="84" t="s">
        <v>107</v>
      </c>
      <c r="H79" s="84" t="s">
        <v>265</v>
      </c>
      <c r="I79" s="84" t="s">
        <v>354</v>
      </c>
      <c r="J79" s="86" t="s">
        <v>154</v>
      </c>
      <c r="K79" s="84" t="s">
        <v>196</v>
      </c>
      <c r="L79" s="86" t="s">
        <v>145</v>
      </c>
      <c r="M79" s="87" t="b">
        <v>1</v>
      </c>
      <c r="N79" s="88"/>
    </row>
    <row r="80" spans="1:14" ht="40" customHeight="1" x14ac:dyDescent="0.2">
      <c r="A80" s="83" t="s">
        <v>165</v>
      </c>
      <c r="B80" s="84"/>
      <c r="C80" s="85">
        <v>5</v>
      </c>
      <c r="D80" s="85">
        <v>12</v>
      </c>
      <c r="E80" s="85">
        <v>2</v>
      </c>
      <c r="F80" s="84" t="s">
        <v>153</v>
      </c>
      <c r="G80" s="84" t="s">
        <v>112</v>
      </c>
      <c r="H80" s="84" t="s">
        <v>266</v>
      </c>
      <c r="I80" s="84" t="s">
        <v>355</v>
      </c>
      <c r="J80" s="86" t="s">
        <v>154</v>
      </c>
      <c r="K80" s="84" t="s">
        <v>207</v>
      </c>
      <c r="L80" s="86" t="s">
        <v>145</v>
      </c>
      <c r="M80" s="87" t="b">
        <v>1</v>
      </c>
      <c r="N80" s="88"/>
    </row>
    <row r="81" spans="1:14" ht="40" customHeight="1" x14ac:dyDescent="0.2">
      <c r="A81" s="83" t="s">
        <v>165</v>
      </c>
      <c r="B81" s="84"/>
      <c r="C81" s="85">
        <v>5</v>
      </c>
      <c r="D81" s="85">
        <v>13</v>
      </c>
      <c r="E81" s="85">
        <v>2</v>
      </c>
      <c r="F81" s="84" t="s">
        <v>153</v>
      </c>
      <c r="G81" s="84" t="s">
        <v>202</v>
      </c>
      <c r="H81" s="84" t="s">
        <v>267</v>
      </c>
      <c r="I81" s="84" t="s">
        <v>356</v>
      </c>
      <c r="J81" s="86" t="s">
        <v>154</v>
      </c>
      <c r="K81" s="84" t="s">
        <v>203</v>
      </c>
      <c r="L81" s="86" t="s">
        <v>145</v>
      </c>
      <c r="M81" s="87" t="b">
        <v>1</v>
      </c>
      <c r="N81" s="88"/>
    </row>
    <row r="82" spans="1:14" ht="40" customHeight="1" x14ac:dyDescent="0.2">
      <c r="A82" s="83" t="s">
        <v>165</v>
      </c>
      <c r="B82" s="84"/>
      <c r="C82" s="85">
        <v>5</v>
      </c>
      <c r="D82" s="85">
        <v>14</v>
      </c>
      <c r="E82" s="85">
        <v>2</v>
      </c>
      <c r="F82" s="84" t="s">
        <v>156</v>
      </c>
      <c r="G82" s="84" t="s">
        <v>201</v>
      </c>
      <c r="H82" s="84"/>
      <c r="I82" s="84"/>
      <c r="J82" s="86" t="s">
        <v>155</v>
      </c>
      <c r="K82" s="84"/>
      <c r="L82" s="86" t="s">
        <v>155</v>
      </c>
      <c r="M82" s="87" t="b">
        <v>1</v>
      </c>
      <c r="N82" s="88"/>
    </row>
    <row r="83" spans="1:14" ht="40" customHeight="1" x14ac:dyDescent="0.2">
      <c r="A83" s="83" t="s">
        <v>165</v>
      </c>
      <c r="B83" s="84"/>
      <c r="C83" s="85">
        <v>5</v>
      </c>
      <c r="D83" s="85">
        <v>15</v>
      </c>
      <c r="E83" s="85">
        <v>2</v>
      </c>
      <c r="F83" s="84" t="s">
        <v>153</v>
      </c>
      <c r="G83" s="84" t="s">
        <v>104</v>
      </c>
      <c r="H83" s="84"/>
      <c r="I83" s="84" t="s">
        <v>268</v>
      </c>
      <c r="J83" s="86" t="s">
        <v>159</v>
      </c>
      <c r="K83" s="84" t="s">
        <v>168</v>
      </c>
      <c r="L83" s="86" t="s">
        <v>145</v>
      </c>
      <c r="M83" s="87" t="b">
        <v>1</v>
      </c>
      <c r="N83" s="88"/>
    </row>
    <row r="84" spans="1:14" ht="40" customHeight="1" x14ac:dyDescent="0.2">
      <c r="A84" s="83" t="s">
        <v>165</v>
      </c>
      <c r="B84" s="84"/>
      <c r="C84" s="85">
        <v>5</v>
      </c>
      <c r="D84" s="85">
        <v>16</v>
      </c>
      <c r="E84" s="85">
        <v>2</v>
      </c>
      <c r="F84" s="84" t="s">
        <v>153</v>
      </c>
      <c r="G84" s="84" t="s">
        <v>112</v>
      </c>
      <c r="H84" s="84"/>
      <c r="I84" s="84" t="s">
        <v>269</v>
      </c>
      <c r="J84" s="86" t="s">
        <v>159</v>
      </c>
      <c r="K84" s="84" t="s">
        <v>207</v>
      </c>
      <c r="L84" s="86" t="s">
        <v>145</v>
      </c>
      <c r="M84" s="87" t="b">
        <v>1</v>
      </c>
      <c r="N84" s="88"/>
    </row>
    <row r="85" spans="1:14" ht="40" customHeight="1" x14ac:dyDescent="0.2">
      <c r="A85" s="83" t="s">
        <v>165</v>
      </c>
      <c r="B85" s="84"/>
      <c r="C85" s="85">
        <v>5</v>
      </c>
      <c r="D85" s="85">
        <v>17</v>
      </c>
      <c r="E85" s="85">
        <v>2</v>
      </c>
      <c r="F85" s="84" t="s">
        <v>153</v>
      </c>
      <c r="G85" s="84" t="s">
        <v>169</v>
      </c>
      <c r="H85" s="84"/>
      <c r="I85" s="84" t="s">
        <v>270</v>
      </c>
      <c r="J85" s="86" t="s">
        <v>159</v>
      </c>
      <c r="K85" s="84" t="s">
        <v>157</v>
      </c>
      <c r="L85" s="86" t="s">
        <v>145</v>
      </c>
      <c r="M85" s="87" t="b">
        <v>1</v>
      </c>
      <c r="N85" s="88"/>
    </row>
    <row r="86" spans="1:14" ht="40" customHeight="1" x14ac:dyDescent="0.2">
      <c r="A86" s="83" t="s">
        <v>165</v>
      </c>
      <c r="B86" s="84"/>
      <c r="C86" s="85">
        <v>5</v>
      </c>
      <c r="D86" s="85">
        <v>18</v>
      </c>
      <c r="E86" s="85">
        <v>2</v>
      </c>
      <c r="F86" s="84" t="s">
        <v>156</v>
      </c>
      <c r="G86" s="84" t="s">
        <v>206</v>
      </c>
      <c r="H86" s="84"/>
      <c r="I86" s="84"/>
      <c r="J86" s="86" t="s">
        <v>155</v>
      </c>
      <c r="K86" s="84"/>
      <c r="L86" s="86" t="s">
        <v>155</v>
      </c>
      <c r="M86" s="87" t="b">
        <v>1</v>
      </c>
      <c r="N86" s="88"/>
    </row>
    <row r="87" spans="1:14" ht="40" customHeight="1" x14ac:dyDescent="0.2">
      <c r="A87" s="83" t="s">
        <v>165</v>
      </c>
      <c r="B87" s="84"/>
      <c r="C87" s="85">
        <v>5</v>
      </c>
      <c r="D87" s="85">
        <v>19</v>
      </c>
      <c r="E87" s="85">
        <v>2</v>
      </c>
      <c r="F87" s="84" t="s">
        <v>153</v>
      </c>
      <c r="G87" s="84" t="s">
        <v>113</v>
      </c>
      <c r="H87" s="84"/>
      <c r="I87" s="84" t="s">
        <v>271</v>
      </c>
      <c r="J87" s="86" t="s">
        <v>161</v>
      </c>
      <c r="K87" s="84" t="s">
        <v>164</v>
      </c>
      <c r="L87" s="86" t="s">
        <v>145</v>
      </c>
      <c r="M87" s="87" t="b">
        <v>1</v>
      </c>
      <c r="N87" s="88"/>
    </row>
    <row r="88" spans="1:14" ht="40" customHeight="1" x14ac:dyDescent="0.2">
      <c r="A88" s="83" t="s">
        <v>178</v>
      </c>
      <c r="B88" s="84" t="s">
        <v>357</v>
      </c>
      <c r="C88" s="85">
        <v>1</v>
      </c>
      <c r="D88" s="85">
        <v>1</v>
      </c>
      <c r="E88" s="85">
        <v>1</v>
      </c>
      <c r="F88" s="84" t="s">
        <v>156</v>
      </c>
      <c r="G88" s="84" t="s">
        <v>185</v>
      </c>
      <c r="H88" s="84"/>
      <c r="I88" s="84" t="s">
        <v>191</v>
      </c>
      <c r="J88" s="86" t="s">
        <v>154</v>
      </c>
      <c r="K88" s="84"/>
      <c r="L88" s="86" t="s">
        <v>155</v>
      </c>
      <c r="M88" s="87" t="b">
        <v>1</v>
      </c>
      <c r="N88" s="88"/>
    </row>
    <row r="89" spans="1:14" ht="40" customHeight="1" x14ac:dyDescent="0.2">
      <c r="A89" s="83" t="s">
        <v>178</v>
      </c>
      <c r="B89" s="84"/>
      <c r="C89" s="85">
        <v>1</v>
      </c>
      <c r="D89" s="85">
        <v>2</v>
      </c>
      <c r="E89" s="85">
        <v>2</v>
      </c>
      <c r="F89" s="84" t="s">
        <v>156</v>
      </c>
      <c r="G89" s="84" t="s">
        <v>272</v>
      </c>
      <c r="H89" s="84"/>
      <c r="I89" s="84"/>
      <c r="J89" s="86" t="s">
        <v>155</v>
      </c>
      <c r="K89" s="84"/>
      <c r="L89" s="86" t="s">
        <v>155</v>
      </c>
      <c r="M89" s="87" t="b">
        <v>1</v>
      </c>
      <c r="N89" s="88"/>
    </row>
    <row r="90" spans="1:14" ht="40" customHeight="1" x14ac:dyDescent="0.2">
      <c r="A90" s="83" t="s">
        <v>178</v>
      </c>
      <c r="B90" s="84"/>
      <c r="C90" s="85">
        <v>1</v>
      </c>
      <c r="D90" s="85">
        <v>3</v>
      </c>
      <c r="E90" s="85">
        <v>2</v>
      </c>
      <c r="F90" s="84" t="s">
        <v>156</v>
      </c>
      <c r="G90" s="84" t="s">
        <v>273</v>
      </c>
      <c r="H90" s="84"/>
      <c r="I90" s="84"/>
      <c r="J90" s="86" t="s">
        <v>155</v>
      </c>
      <c r="K90" s="84"/>
      <c r="L90" s="86" t="s">
        <v>155</v>
      </c>
      <c r="M90" s="87" t="b">
        <v>1</v>
      </c>
      <c r="N90" s="88"/>
    </row>
    <row r="91" spans="1:14" ht="40" customHeight="1" x14ac:dyDescent="0.2">
      <c r="A91" s="83" t="s">
        <v>178</v>
      </c>
      <c r="B91" s="84"/>
      <c r="C91" s="85">
        <v>1</v>
      </c>
      <c r="D91" s="85">
        <v>4</v>
      </c>
      <c r="E91" s="85">
        <v>2</v>
      </c>
      <c r="F91" s="84" t="s">
        <v>156</v>
      </c>
      <c r="G91" s="84" t="s">
        <v>274</v>
      </c>
      <c r="H91" s="84"/>
      <c r="I91" s="84"/>
      <c r="J91" s="86" t="s">
        <v>155</v>
      </c>
      <c r="K91" s="84"/>
      <c r="L91" s="86" t="s">
        <v>155</v>
      </c>
      <c r="M91" s="87" t="b">
        <v>1</v>
      </c>
      <c r="N91" s="88"/>
    </row>
    <row r="92" spans="1:14" ht="40" customHeight="1" x14ac:dyDescent="0.2">
      <c r="A92" s="83" t="s">
        <v>178</v>
      </c>
      <c r="B92" s="84"/>
      <c r="C92" s="85">
        <v>1</v>
      </c>
      <c r="D92" s="85">
        <v>5</v>
      </c>
      <c r="E92" s="85">
        <v>2</v>
      </c>
      <c r="F92" s="84" t="s">
        <v>180</v>
      </c>
      <c r="G92" s="84" t="s">
        <v>230</v>
      </c>
      <c r="H92" s="84" t="s">
        <v>368</v>
      </c>
      <c r="I92" s="84"/>
      <c r="J92" s="86" t="s">
        <v>155</v>
      </c>
      <c r="K92" s="84"/>
      <c r="L92" s="86" t="s">
        <v>155</v>
      </c>
      <c r="M92" s="87" t="b">
        <v>1</v>
      </c>
      <c r="N92" s="88"/>
    </row>
    <row r="93" spans="1:14" ht="40" customHeight="1" x14ac:dyDescent="0.2">
      <c r="A93" s="83" t="s">
        <v>178</v>
      </c>
      <c r="B93" s="84"/>
      <c r="C93" s="85">
        <v>2</v>
      </c>
      <c r="D93" s="85">
        <v>1</v>
      </c>
      <c r="E93" s="85">
        <v>1</v>
      </c>
      <c r="F93" s="84" t="s">
        <v>156</v>
      </c>
      <c r="G93" s="84" t="s">
        <v>36</v>
      </c>
      <c r="H93" s="84"/>
      <c r="I93" s="84" t="s">
        <v>192</v>
      </c>
      <c r="J93" s="86" t="s">
        <v>154</v>
      </c>
      <c r="K93" s="84" t="s">
        <v>166</v>
      </c>
      <c r="L93" s="86" t="s">
        <v>145</v>
      </c>
      <c r="M93" s="87" t="b">
        <v>1</v>
      </c>
      <c r="N93" s="88"/>
    </row>
    <row r="94" spans="1:14" ht="40" customHeight="1" x14ac:dyDescent="0.2">
      <c r="A94" s="83" t="s">
        <v>178</v>
      </c>
      <c r="B94" s="84"/>
      <c r="C94" s="85">
        <v>2</v>
      </c>
      <c r="D94" s="85">
        <v>2</v>
      </c>
      <c r="E94" s="85">
        <v>2</v>
      </c>
      <c r="F94" s="84" t="s">
        <v>156</v>
      </c>
      <c r="G94" s="84" t="s">
        <v>275</v>
      </c>
      <c r="H94" s="84"/>
      <c r="I94" s="84"/>
      <c r="J94" s="86" t="s">
        <v>155</v>
      </c>
      <c r="K94" s="84"/>
      <c r="L94" s="86" t="s">
        <v>155</v>
      </c>
      <c r="M94" s="87" t="b">
        <v>1</v>
      </c>
      <c r="N94" s="88"/>
    </row>
    <row r="95" spans="1:14" ht="40" customHeight="1" x14ac:dyDescent="0.2">
      <c r="A95" s="83" t="s">
        <v>178</v>
      </c>
      <c r="B95" s="84"/>
      <c r="C95" s="85">
        <v>2</v>
      </c>
      <c r="D95" s="85">
        <v>3</v>
      </c>
      <c r="E95" s="85">
        <v>2</v>
      </c>
      <c r="F95" s="84" t="s">
        <v>156</v>
      </c>
      <c r="G95" s="84" t="s">
        <v>276</v>
      </c>
      <c r="H95" s="84"/>
      <c r="I95" s="84"/>
      <c r="J95" s="86" t="s">
        <v>155</v>
      </c>
      <c r="K95" s="84"/>
      <c r="L95" s="86" t="s">
        <v>155</v>
      </c>
      <c r="M95" s="87" t="b">
        <v>1</v>
      </c>
      <c r="N95" s="88"/>
    </row>
    <row r="96" spans="1:14" ht="40" customHeight="1" x14ac:dyDescent="0.2">
      <c r="A96" s="83" t="s">
        <v>178</v>
      </c>
      <c r="B96" s="84"/>
      <c r="C96" s="85">
        <v>3</v>
      </c>
      <c r="D96" s="85">
        <v>1</v>
      </c>
      <c r="E96" s="85">
        <v>1</v>
      </c>
      <c r="F96" s="84" t="s">
        <v>156</v>
      </c>
      <c r="G96" s="84" t="s">
        <v>39</v>
      </c>
      <c r="H96" s="84"/>
      <c r="I96" s="84" t="s">
        <v>194</v>
      </c>
      <c r="J96" s="86" t="s">
        <v>154</v>
      </c>
      <c r="K96" s="84" t="s">
        <v>175</v>
      </c>
      <c r="L96" s="86" t="s">
        <v>145</v>
      </c>
      <c r="M96" s="87" t="b">
        <v>1</v>
      </c>
      <c r="N96" s="88"/>
    </row>
    <row r="97" spans="1:14" ht="40" customHeight="1" x14ac:dyDescent="0.2">
      <c r="A97" s="83" t="s">
        <v>178</v>
      </c>
      <c r="B97" s="84"/>
      <c r="C97" s="85">
        <v>3</v>
      </c>
      <c r="D97" s="85">
        <v>2</v>
      </c>
      <c r="E97" s="85">
        <v>2</v>
      </c>
      <c r="F97" s="84" t="s">
        <v>156</v>
      </c>
      <c r="G97" s="84" t="s">
        <v>277</v>
      </c>
      <c r="H97" s="84"/>
      <c r="I97" s="84"/>
      <c r="J97" s="86" t="s">
        <v>155</v>
      </c>
      <c r="K97" s="84"/>
      <c r="L97" s="86" t="s">
        <v>155</v>
      </c>
      <c r="M97" s="87" t="b">
        <v>1</v>
      </c>
      <c r="N97" s="88"/>
    </row>
    <row r="98" spans="1:14" ht="40" customHeight="1" x14ac:dyDescent="0.2">
      <c r="A98" s="83" t="s">
        <v>178</v>
      </c>
      <c r="B98" s="84"/>
      <c r="C98" s="85">
        <v>3</v>
      </c>
      <c r="D98" s="85">
        <v>3</v>
      </c>
      <c r="E98" s="85">
        <v>2</v>
      </c>
      <c r="F98" s="84" t="s">
        <v>156</v>
      </c>
      <c r="G98" s="84" t="s">
        <v>278</v>
      </c>
      <c r="H98" s="84"/>
      <c r="I98" s="84"/>
      <c r="J98" s="86" t="s">
        <v>155</v>
      </c>
      <c r="K98" s="84"/>
      <c r="L98" s="86" t="s">
        <v>155</v>
      </c>
      <c r="M98" s="87" t="b">
        <v>1</v>
      </c>
      <c r="N98" s="88"/>
    </row>
    <row r="99" spans="1:14" ht="40" customHeight="1" x14ac:dyDescent="0.2">
      <c r="A99" s="83" t="s">
        <v>178</v>
      </c>
      <c r="B99" s="84"/>
      <c r="C99" s="85">
        <v>4</v>
      </c>
      <c r="D99" s="85">
        <v>1</v>
      </c>
      <c r="E99" s="85">
        <v>1</v>
      </c>
      <c r="F99" s="84" t="s">
        <v>156</v>
      </c>
      <c r="G99" s="84" t="s">
        <v>52</v>
      </c>
      <c r="H99" s="84"/>
      <c r="I99" s="84" t="s">
        <v>195</v>
      </c>
      <c r="J99" s="86" t="s">
        <v>154</v>
      </c>
      <c r="K99" s="84" t="s">
        <v>174</v>
      </c>
      <c r="L99" s="86" t="s">
        <v>145</v>
      </c>
      <c r="M99" s="87" t="b">
        <v>1</v>
      </c>
      <c r="N99" s="88"/>
    </row>
    <row r="100" spans="1:14" ht="40" customHeight="1" x14ac:dyDescent="0.2">
      <c r="A100" s="83" t="s">
        <v>178</v>
      </c>
      <c r="B100" s="84"/>
      <c r="C100" s="85">
        <v>4</v>
      </c>
      <c r="D100" s="85">
        <v>2</v>
      </c>
      <c r="E100" s="85">
        <v>2</v>
      </c>
      <c r="F100" s="84" t="s">
        <v>156</v>
      </c>
      <c r="G100" s="84" t="s">
        <v>279</v>
      </c>
      <c r="H100" s="84"/>
      <c r="I100" s="84"/>
      <c r="J100" s="86" t="s">
        <v>155</v>
      </c>
      <c r="K100" s="84"/>
      <c r="L100" s="86" t="s">
        <v>155</v>
      </c>
      <c r="M100" s="87" t="b">
        <v>1</v>
      </c>
      <c r="N100" s="88"/>
    </row>
    <row r="101" spans="1:14" ht="40" customHeight="1" x14ac:dyDescent="0.2">
      <c r="A101" s="83" t="s">
        <v>178</v>
      </c>
      <c r="B101" s="84"/>
      <c r="C101" s="85">
        <v>4</v>
      </c>
      <c r="D101" s="85">
        <v>3</v>
      </c>
      <c r="E101" s="85">
        <v>2</v>
      </c>
      <c r="F101" s="84" t="s">
        <v>156</v>
      </c>
      <c r="G101" s="84" t="s">
        <v>280</v>
      </c>
      <c r="H101" s="84"/>
      <c r="I101" s="84"/>
      <c r="J101" s="86" t="s">
        <v>155</v>
      </c>
      <c r="K101" s="84"/>
      <c r="L101" s="86" t="s">
        <v>155</v>
      </c>
      <c r="M101" s="87" t="b">
        <v>1</v>
      </c>
      <c r="N101" s="88"/>
    </row>
    <row r="102" spans="1:14" ht="40" customHeight="1" x14ac:dyDescent="0.2">
      <c r="A102" s="83" t="s">
        <v>166</v>
      </c>
      <c r="B102" s="84" t="s">
        <v>358</v>
      </c>
      <c r="C102" s="85">
        <v>1</v>
      </c>
      <c r="D102" s="85">
        <v>1</v>
      </c>
      <c r="E102" s="85">
        <v>1</v>
      </c>
      <c r="F102" s="84" t="s">
        <v>156</v>
      </c>
      <c r="G102" s="84" t="s">
        <v>185</v>
      </c>
      <c r="H102" s="84"/>
      <c r="I102" s="84" t="s">
        <v>192</v>
      </c>
      <c r="J102" s="86" t="s">
        <v>154</v>
      </c>
      <c r="K102" s="84"/>
      <c r="L102" s="86" t="s">
        <v>155</v>
      </c>
      <c r="M102" s="87" t="b">
        <v>1</v>
      </c>
      <c r="N102" s="88"/>
    </row>
    <row r="103" spans="1:14" ht="40" customHeight="1" x14ac:dyDescent="0.2">
      <c r="A103" s="83" t="s">
        <v>166</v>
      </c>
      <c r="B103" s="84"/>
      <c r="C103" s="85">
        <v>1</v>
      </c>
      <c r="D103" s="85">
        <v>2</v>
      </c>
      <c r="E103" s="85">
        <v>2</v>
      </c>
      <c r="F103" s="84" t="s">
        <v>156</v>
      </c>
      <c r="G103" s="84" t="s">
        <v>281</v>
      </c>
      <c r="H103" s="84"/>
      <c r="I103" s="84"/>
      <c r="J103" s="86" t="s">
        <v>155</v>
      </c>
      <c r="K103" s="84"/>
      <c r="L103" s="86" t="s">
        <v>155</v>
      </c>
      <c r="M103" s="87" t="b">
        <v>1</v>
      </c>
      <c r="N103" s="88"/>
    </row>
    <row r="104" spans="1:14" ht="40" customHeight="1" x14ac:dyDescent="0.2">
      <c r="A104" s="83" t="s">
        <v>166</v>
      </c>
      <c r="B104" s="84"/>
      <c r="C104" s="85">
        <v>1</v>
      </c>
      <c r="D104" s="85">
        <v>3</v>
      </c>
      <c r="E104" s="85">
        <v>2</v>
      </c>
      <c r="F104" s="84" t="s">
        <v>156</v>
      </c>
      <c r="G104" s="84" t="s">
        <v>282</v>
      </c>
      <c r="H104" s="84"/>
      <c r="I104" s="84"/>
      <c r="J104" s="86" t="s">
        <v>155</v>
      </c>
      <c r="K104" s="84"/>
      <c r="L104" s="86" t="s">
        <v>155</v>
      </c>
      <c r="M104" s="87" t="b">
        <v>1</v>
      </c>
      <c r="N104" s="88"/>
    </row>
    <row r="105" spans="1:14" ht="40" customHeight="1" x14ac:dyDescent="0.2">
      <c r="A105" s="83" t="s">
        <v>166</v>
      </c>
      <c r="B105" s="84"/>
      <c r="C105" s="85">
        <v>1</v>
      </c>
      <c r="D105" s="85">
        <v>4</v>
      </c>
      <c r="E105" s="85">
        <v>2</v>
      </c>
      <c r="F105" s="84" t="s">
        <v>180</v>
      </c>
      <c r="G105" s="84" t="s">
        <v>230</v>
      </c>
      <c r="H105" s="84" t="s">
        <v>369</v>
      </c>
      <c r="I105" s="84"/>
      <c r="J105" s="86" t="s">
        <v>155</v>
      </c>
      <c r="K105" s="84"/>
      <c r="L105" s="86" t="s">
        <v>155</v>
      </c>
      <c r="M105" s="87" t="b">
        <v>1</v>
      </c>
      <c r="N105" s="88"/>
    </row>
    <row r="106" spans="1:14" ht="40" customHeight="1" x14ac:dyDescent="0.2">
      <c r="A106" s="83" t="s">
        <v>166</v>
      </c>
      <c r="B106" s="84"/>
      <c r="C106" s="85">
        <v>2</v>
      </c>
      <c r="D106" s="85">
        <v>1</v>
      </c>
      <c r="E106" s="85">
        <v>1</v>
      </c>
      <c r="F106" s="84" t="s">
        <v>156</v>
      </c>
      <c r="G106" s="84" t="s">
        <v>37</v>
      </c>
      <c r="H106" s="84"/>
      <c r="I106" s="84" t="s">
        <v>283</v>
      </c>
      <c r="J106" s="86" t="s">
        <v>154</v>
      </c>
      <c r="K106" s="84" t="s">
        <v>157</v>
      </c>
      <c r="L106" s="86" t="s">
        <v>145</v>
      </c>
      <c r="M106" s="87" t="b">
        <v>1</v>
      </c>
      <c r="N106" s="88"/>
    </row>
    <row r="107" spans="1:14" ht="40" customHeight="1" x14ac:dyDescent="0.2">
      <c r="A107" s="83" t="s">
        <v>166</v>
      </c>
      <c r="B107" s="84"/>
      <c r="C107" s="85">
        <v>2</v>
      </c>
      <c r="D107" s="85">
        <v>2</v>
      </c>
      <c r="E107" s="85">
        <v>2</v>
      </c>
      <c r="F107" s="84" t="s">
        <v>156</v>
      </c>
      <c r="G107" s="84" t="s">
        <v>284</v>
      </c>
      <c r="H107" s="84"/>
      <c r="I107" s="84"/>
      <c r="J107" s="86" t="s">
        <v>155</v>
      </c>
      <c r="K107" s="84"/>
      <c r="L107" s="86" t="s">
        <v>155</v>
      </c>
      <c r="M107" s="87" t="b">
        <v>1</v>
      </c>
      <c r="N107" s="88"/>
    </row>
    <row r="108" spans="1:14" ht="40" customHeight="1" x14ac:dyDescent="0.2">
      <c r="A108" s="83" t="s">
        <v>166</v>
      </c>
      <c r="B108" s="84"/>
      <c r="C108" s="85">
        <v>2</v>
      </c>
      <c r="D108" s="85">
        <v>3</v>
      </c>
      <c r="E108" s="85">
        <v>2</v>
      </c>
      <c r="F108" s="84" t="s">
        <v>156</v>
      </c>
      <c r="G108" s="84" t="s">
        <v>285</v>
      </c>
      <c r="H108" s="84"/>
      <c r="I108" s="84"/>
      <c r="J108" s="86" t="s">
        <v>155</v>
      </c>
      <c r="K108" s="84"/>
      <c r="L108" s="86" t="s">
        <v>155</v>
      </c>
      <c r="M108" s="87" t="b">
        <v>1</v>
      </c>
      <c r="N108" s="88"/>
    </row>
    <row r="109" spans="1:14" ht="40" customHeight="1" x14ac:dyDescent="0.2">
      <c r="A109" s="83" t="s">
        <v>166</v>
      </c>
      <c r="B109" s="84"/>
      <c r="C109" s="85">
        <v>3</v>
      </c>
      <c r="D109" s="85">
        <v>1</v>
      </c>
      <c r="E109" s="85">
        <v>1</v>
      </c>
      <c r="F109" s="84" t="s">
        <v>156</v>
      </c>
      <c r="G109" s="84" t="s">
        <v>38</v>
      </c>
      <c r="H109" s="84"/>
      <c r="I109" s="84" t="s">
        <v>176</v>
      </c>
      <c r="J109" s="86" t="s">
        <v>154</v>
      </c>
      <c r="K109" s="84" t="s">
        <v>158</v>
      </c>
      <c r="L109" s="86" t="s">
        <v>145</v>
      </c>
      <c r="M109" s="87" t="b">
        <v>1</v>
      </c>
      <c r="N109" s="88"/>
    </row>
    <row r="110" spans="1:14" ht="40" customHeight="1" x14ac:dyDescent="0.2">
      <c r="A110" s="83" t="s">
        <v>166</v>
      </c>
      <c r="B110" s="84"/>
      <c r="C110" s="85">
        <v>3</v>
      </c>
      <c r="D110" s="85">
        <v>2</v>
      </c>
      <c r="E110" s="85">
        <v>2</v>
      </c>
      <c r="F110" s="84" t="s">
        <v>156</v>
      </c>
      <c r="G110" s="84" t="s">
        <v>286</v>
      </c>
      <c r="H110" s="84"/>
      <c r="I110" s="84"/>
      <c r="J110" s="86" t="s">
        <v>155</v>
      </c>
      <c r="K110" s="84"/>
      <c r="L110" s="86" t="s">
        <v>155</v>
      </c>
      <c r="M110" s="87" t="b">
        <v>1</v>
      </c>
      <c r="N110" s="88"/>
    </row>
    <row r="111" spans="1:14" ht="40" customHeight="1" x14ac:dyDescent="0.2">
      <c r="A111" s="83" t="s">
        <v>166</v>
      </c>
      <c r="B111" s="84"/>
      <c r="C111" s="85">
        <v>3</v>
      </c>
      <c r="D111" s="85">
        <v>3</v>
      </c>
      <c r="E111" s="85">
        <v>2</v>
      </c>
      <c r="F111" s="84" t="s">
        <v>156</v>
      </c>
      <c r="G111" s="84" t="s">
        <v>287</v>
      </c>
      <c r="H111" s="84"/>
      <c r="I111" s="84"/>
      <c r="J111" s="86" t="s">
        <v>155</v>
      </c>
      <c r="K111" s="84"/>
      <c r="L111" s="86" t="s">
        <v>155</v>
      </c>
      <c r="M111" s="87" t="b">
        <v>1</v>
      </c>
      <c r="N111" s="88"/>
    </row>
    <row r="112" spans="1:14" ht="40" customHeight="1" x14ac:dyDescent="0.2">
      <c r="A112" s="83" t="s">
        <v>175</v>
      </c>
      <c r="B112" s="84" t="s">
        <v>359</v>
      </c>
      <c r="C112" s="85">
        <v>1</v>
      </c>
      <c r="D112" s="85">
        <v>1</v>
      </c>
      <c r="E112" s="85">
        <v>1</v>
      </c>
      <c r="F112" s="84" t="s">
        <v>156</v>
      </c>
      <c r="G112" s="84" t="s">
        <v>185</v>
      </c>
      <c r="H112" s="84"/>
      <c r="I112" s="84" t="s">
        <v>194</v>
      </c>
      <c r="J112" s="86" t="s">
        <v>154</v>
      </c>
      <c r="K112" s="84"/>
      <c r="L112" s="86" t="s">
        <v>155</v>
      </c>
      <c r="M112" s="87" t="b">
        <v>1</v>
      </c>
      <c r="N112" s="88"/>
    </row>
    <row r="113" spans="1:14" ht="40" customHeight="1" x14ac:dyDescent="0.2">
      <c r="A113" s="83" t="s">
        <v>175</v>
      </c>
      <c r="B113" s="84"/>
      <c r="C113" s="85">
        <v>1</v>
      </c>
      <c r="D113" s="85">
        <v>2</v>
      </c>
      <c r="E113" s="85">
        <v>2</v>
      </c>
      <c r="F113" s="84" t="s">
        <v>156</v>
      </c>
      <c r="G113" s="84" t="s">
        <v>288</v>
      </c>
      <c r="H113" s="84"/>
      <c r="I113" s="84"/>
      <c r="J113" s="86" t="s">
        <v>155</v>
      </c>
      <c r="K113" s="84"/>
      <c r="L113" s="86" t="s">
        <v>155</v>
      </c>
      <c r="M113" s="87" t="b">
        <v>1</v>
      </c>
      <c r="N113" s="88"/>
    </row>
    <row r="114" spans="1:14" ht="40" customHeight="1" x14ac:dyDescent="0.2">
      <c r="A114" s="83" t="s">
        <v>175</v>
      </c>
      <c r="B114" s="84"/>
      <c r="C114" s="85">
        <v>1</v>
      </c>
      <c r="D114" s="85">
        <v>3</v>
      </c>
      <c r="E114" s="85">
        <v>2</v>
      </c>
      <c r="F114" s="84" t="s">
        <v>156</v>
      </c>
      <c r="G114" s="84" t="s">
        <v>289</v>
      </c>
      <c r="H114" s="84"/>
      <c r="I114" s="84"/>
      <c r="J114" s="86" t="s">
        <v>155</v>
      </c>
      <c r="K114" s="84"/>
      <c r="L114" s="86" t="s">
        <v>155</v>
      </c>
      <c r="M114" s="87" t="b">
        <v>1</v>
      </c>
      <c r="N114" s="88"/>
    </row>
    <row r="115" spans="1:14" ht="40" customHeight="1" x14ac:dyDescent="0.2">
      <c r="A115" s="83" t="s">
        <v>175</v>
      </c>
      <c r="B115" s="84"/>
      <c r="C115" s="85">
        <v>1</v>
      </c>
      <c r="D115" s="85">
        <v>4</v>
      </c>
      <c r="E115" s="85">
        <v>2</v>
      </c>
      <c r="F115" s="84" t="s">
        <v>180</v>
      </c>
      <c r="G115" s="84" t="s">
        <v>230</v>
      </c>
      <c r="H115" s="84" t="s">
        <v>370</v>
      </c>
      <c r="I115" s="84"/>
      <c r="J115" s="86" t="s">
        <v>155</v>
      </c>
      <c r="K115" s="84"/>
      <c r="L115" s="86" t="s">
        <v>155</v>
      </c>
      <c r="M115" s="87" t="b">
        <v>1</v>
      </c>
      <c r="N115" s="88"/>
    </row>
    <row r="116" spans="1:14" ht="40" customHeight="1" x14ac:dyDescent="0.2">
      <c r="A116" s="83" t="s">
        <v>175</v>
      </c>
      <c r="B116" s="84"/>
      <c r="C116" s="85">
        <v>2</v>
      </c>
      <c r="D116" s="85">
        <v>1</v>
      </c>
      <c r="E116" s="85">
        <v>1</v>
      </c>
      <c r="F116" s="84" t="s">
        <v>156</v>
      </c>
      <c r="G116" s="84" t="s">
        <v>45</v>
      </c>
      <c r="H116" s="84"/>
      <c r="I116" s="84" t="s">
        <v>290</v>
      </c>
      <c r="J116" s="86" t="s">
        <v>154</v>
      </c>
      <c r="K116" s="84" t="s">
        <v>168</v>
      </c>
      <c r="L116" s="86" t="s">
        <v>145</v>
      </c>
      <c r="M116" s="87" t="b">
        <v>1</v>
      </c>
      <c r="N116" s="88"/>
    </row>
    <row r="117" spans="1:14" ht="40" customHeight="1" x14ac:dyDescent="0.2">
      <c r="A117" s="83" t="s">
        <v>175</v>
      </c>
      <c r="B117" s="84"/>
      <c r="C117" s="85">
        <v>2</v>
      </c>
      <c r="D117" s="85">
        <v>2</v>
      </c>
      <c r="E117" s="85">
        <v>2</v>
      </c>
      <c r="F117" s="84" t="s">
        <v>156</v>
      </c>
      <c r="G117" s="84" t="s">
        <v>291</v>
      </c>
      <c r="H117" s="84"/>
      <c r="I117" s="84"/>
      <c r="J117" s="86" t="s">
        <v>155</v>
      </c>
      <c r="K117" s="84"/>
      <c r="L117" s="86" t="s">
        <v>155</v>
      </c>
      <c r="M117" s="87" t="b">
        <v>1</v>
      </c>
      <c r="N117" s="88"/>
    </row>
    <row r="118" spans="1:14" ht="40" customHeight="1" x14ac:dyDescent="0.2">
      <c r="A118" s="83" t="s">
        <v>175</v>
      </c>
      <c r="B118" s="84"/>
      <c r="C118" s="85">
        <v>2</v>
      </c>
      <c r="D118" s="85">
        <v>3</v>
      </c>
      <c r="E118" s="85">
        <v>2</v>
      </c>
      <c r="F118" s="84" t="s">
        <v>156</v>
      </c>
      <c r="G118" s="84" t="s">
        <v>292</v>
      </c>
      <c r="H118" s="84"/>
      <c r="I118" s="84"/>
      <c r="J118" s="86" t="s">
        <v>155</v>
      </c>
      <c r="K118" s="84"/>
      <c r="L118" s="86" t="s">
        <v>155</v>
      </c>
      <c r="M118" s="87" t="b">
        <v>1</v>
      </c>
      <c r="N118" s="88"/>
    </row>
    <row r="119" spans="1:14" ht="40" customHeight="1" x14ac:dyDescent="0.2">
      <c r="A119" s="83" t="s">
        <v>175</v>
      </c>
      <c r="B119" s="84"/>
      <c r="C119" s="85">
        <v>3</v>
      </c>
      <c r="D119" s="85">
        <v>1</v>
      </c>
      <c r="E119" s="85">
        <v>1</v>
      </c>
      <c r="F119" s="84" t="s">
        <v>156</v>
      </c>
      <c r="G119" s="84" t="s">
        <v>40</v>
      </c>
      <c r="H119" s="84"/>
      <c r="I119" s="84" t="s">
        <v>293</v>
      </c>
      <c r="J119" s="86" t="s">
        <v>154</v>
      </c>
      <c r="K119" s="84" t="s">
        <v>177</v>
      </c>
      <c r="L119" s="86" t="s">
        <v>145</v>
      </c>
      <c r="M119" s="87" t="b">
        <v>1</v>
      </c>
      <c r="N119" s="88"/>
    </row>
    <row r="120" spans="1:14" ht="40" customHeight="1" x14ac:dyDescent="0.2">
      <c r="A120" s="83" t="s">
        <v>175</v>
      </c>
      <c r="B120" s="84"/>
      <c r="C120" s="85">
        <v>3</v>
      </c>
      <c r="D120" s="85">
        <v>2</v>
      </c>
      <c r="E120" s="85">
        <v>2</v>
      </c>
      <c r="F120" s="84" t="s">
        <v>156</v>
      </c>
      <c r="G120" s="84" t="s">
        <v>294</v>
      </c>
      <c r="H120" s="84"/>
      <c r="I120" s="84"/>
      <c r="J120" s="86" t="s">
        <v>155</v>
      </c>
      <c r="K120" s="84"/>
      <c r="L120" s="86" t="s">
        <v>155</v>
      </c>
      <c r="M120" s="87" t="b">
        <v>1</v>
      </c>
      <c r="N120" s="88"/>
    </row>
    <row r="121" spans="1:14" ht="40" customHeight="1" x14ac:dyDescent="0.2">
      <c r="A121" s="83" t="s">
        <v>175</v>
      </c>
      <c r="B121" s="84"/>
      <c r="C121" s="85">
        <v>3</v>
      </c>
      <c r="D121" s="85">
        <v>3</v>
      </c>
      <c r="E121" s="85">
        <v>2</v>
      </c>
      <c r="F121" s="84" t="s">
        <v>156</v>
      </c>
      <c r="G121" s="84" t="s">
        <v>295</v>
      </c>
      <c r="H121" s="84"/>
      <c r="I121" s="84"/>
      <c r="J121" s="86" t="s">
        <v>155</v>
      </c>
      <c r="K121" s="84"/>
      <c r="L121" s="86" t="s">
        <v>155</v>
      </c>
      <c r="M121" s="87" t="b">
        <v>1</v>
      </c>
      <c r="N121" s="88"/>
    </row>
    <row r="122" spans="1:14" ht="40" customHeight="1" x14ac:dyDescent="0.2">
      <c r="A122" s="83" t="s">
        <v>174</v>
      </c>
      <c r="B122" s="84" t="s">
        <v>360</v>
      </c>
      <c r="C122" s="85">
        <v>1</v>
      </c>
      <c r="D122" s="85">
        <v>1</v>
      </c>
      <c r="E122" s="85">
        <v>1</v>
      </c>
      <c r="F122" s="84" t="s">
        <v>156</v>
      </c>
      <c r="G122" s="84" t="s">
        <v>185</v>
      </c>
      <c r="H122" s="84"/>
      <c r="I122" s="84" t="s">
        <v>195</v>
      </c>
      <c r="J122" s="86" t="s">
        <v>154</v>
      </c>
      <c r="K122" s="84"/>
      <c r="L122" s="86" t="s">
        <v>155</v>
      </c>
      <c r="M122" s="87" t="b">
        <v>1</v>
      </c>
      <c r="N122" s="88"/>
    </row>
    <row r="123" spans="1:14" ht="40" customHeight="1" x14ac:dyDescent="0.2">
      <c r="A123" s="83" t="s">
        <v>174</v>
      </c>
      <c r="B123" s="84"/>
      <c r="C123" s="85">
        <v>1</v>
      </c>
      <c r="D123" s="85">
        <v>2</v>
      </c>
      <c r="E123" s="85">
        <v>2</v>
      </c>
      <c r="F123" s="84" t="s">
        <v>156</v>
      </c>
      <c r="G123" s="84" t="s">
        <v>296</v>
      </c>
      <c r="H123" s="84"/>
      <c r="I123" s="84"/>
      <c r="J123" s="86" t="s">
        <v>155</v>
      </c>
      <c r="K123" s="84"/>
      <c r="L123" s="86" t="s">
        <v>155</v>
      </c>
      <c r="M123" s="87" t="b">
        <v>1</v>
      </c>
      <c r="N123" s="88"/>
    </row>
    <row r="124" spans="1:14" ht="40" customHeight="1" x14ac:dyDescent="0.2">
      <c r="A124" s="83" t="s">
        <v>174</v>
      </c>
      <c r="B124" s="84"/>
      <c r="C124" s="85">
        <v>1</v>
      </c>
      <c r="D124" s="85">
        <v>3</v>
      </c>
      <c r="E124" s="85">
        <v>2</v>
      </c>
      <c r="F124" s="84" t="s">
        <v>156</v>
      </c>
      <c r="G124" s="84" t="s">
        <v>297</v>
      </c>
      <c r="H124" s="84"/>
      <c r="I124" s="84"/>
      <c r="J124" s="86" t="s">
        <v>155</v>
      </c>
      <c r="K124" s="84"/>
      <c r="L124" s="86" t="s">
        <v>155</v>
      </c>
      <c r="M124" s="87" t="b">
        <v>1</v>
      </c>
      <c r="N124" s="88"/>
    </row>
    <row r="125" spans="1:14" ht="40" customHeight="1" x14ac:dyDescent="0.2">
      <c r="A125" s="83" t="s">
        <v>174</v>
      </c>
      <c r="B125" s="84"/>
      <c r="C125" s="85">
        <v>1</v>
      </c>
      <c r="D125" s="85">
        <v>4</v>
      </c>
      <c r="E125" s="85">
        <v>2</v>
      </c>
      <c r="F125" s="84" t="s">
        <v>156</v>
      </c>
      <c r="G125" s="84" t="s">
        <v>298</v>
      </c>
      <c r="H125" s="84"/>
      <c r="I125" s="84"/>
      <c r="J125" s="86" t="s">
        <v>155</v>
      </c>
      <c r="K125" s="84"/>
      <c r="L125" s="86" t="s">
        <v>155</v>
      </c>
      <c r="M125" s="87" t="b">
        <v>1</v>
      </c>
      <c r="N125" s="88"/>
    </row>
    <row r="126" spans="1:14" ht="40" customHeight="1" x14ac:dyDescent="0.2">
      <c r="A126" s="83" t="s">
        <v>174</v>
      </c>
      <c r="B126" s="84"/>
      <c r="C126" s="85">
        <v>1</v>
      </c>
      <c r="D126" s="85">
        <v>5</v>
      </c>
      <c r="E126" s="85">
        <v>2</v>
      </c>
      <c r="F126" s="84" t="s">
        <v>180</v>
      </c>
      <c r="G126" s="84" t="s">
        <v>230</v>
      </c>
      <c r="H126" s="84" t="s">
        <v>371</v>
      </c>
      <c r="I126" s="84"/>
      <c r="J126" s="86" t="s">
        <v>155</v>
      </c>
      <c r="K126" s="84"/>
      <c r="L126" s="86" t="s">
        <v>155</v>
      </c>
      <c r="M126" s="87" t="b">
        <v>1</v>
      </c>
      <c r="N126" s="88"/>
    </row>
    <row r="127" spans="1:14" ht="40" customHeight="1" x14ac:dyDescent="0.2">
      <c r="A127" s="83" t="s">
        <v>174</v>
      </c>
      <c r="B127" s="84"/>
      <c r="C127" s="85">
        <v>2</v>
      </c>
      <c r="D127" s="85">
        <v>1</v>
      </c>
      <c r="E127" s="85">
        <v>1</v>
      </c>
      <c r="F127" s="84" t="s">
        <v>156</v>
      </c>
      <c r="G127" s="84" t="s">
        <v>59</v>
      </c>
      <c r="H127" s="84"/>
      <c r="I127" s="84" t="s">
        <v>220</v>
      </c>
      <c r="J127" s="86" t="s">
        <v>154</v>
      </c>
      <c r="K127" s="84" t="s">
        <v>196</v>
      </c>
      <c r="L127" s="86" t="s">
        <v>145</v>
      </c>
      <c r="M127" s="87" t="b">
        <v>1</v>
      </c>
      <c r="N127" s="88"/>
    </row>
    <row r="128" spans="1:14" ht="40" customHeight="1" x14ac:dyDescent="0.2">
      <c r="A128" s="83" t="s">
        <v>174</v>
      </c>
      <c r="B128" s="84"/>
      <c r="C128" s="85">
        <v>2</v>
      </c>
      <c r="D128" s="85">
        <v>2</v>
      </c>
      <c r="E128" s="85">
        <v>2</v>
      </c>
      <c r="F128" s="84" t="s">
        <v>156</v>
      </c>
      <c r="G128" s="84" t="s">
        <v>299</v>
      </c>
      <c r="H128" s="84"/>
      <c r="I128" s="84"/>
      <c r="J128" s="86" t="s">
        <v>155</v>
      </c>
      <c r="K128" s="84"/>
      <c r="L128" s="86" t="s">
        <v>155</v>
      </c>
      <c r="M128" s="87" t="b">
        <v>1</v>
      </c>
      <c r="N128" s="88"/>
    </row>
    <row r="129" spans="1:14" ht="40" customHeight="1" x14ac:dyDescent="0.2">
      <c r="A129" s="83" t="s">
        <v>174</v>
      </c>
      <c r="B129" s="84"/>
      <c r="C129" s="85">
        <v>2</v>
      </c>
      <c r="D129" s="85">
        <v>3</v>
      </c>
      <c r="E129" s="85">
        <v>2</v>
      </c>
      <c r="F129" s="84" t="s">
        <v>156</v>
      </c>
      <c r="G129" s="84" t="s">
        <v>300</v>
      </c>
      <c r="H129" s="84"/>
      <c r="I129" s="84"/>
      <c r="J129" s="86" t="s">
        <v>155</v>
      </c>
      <c r="K129" s="84"/>
      <c r="L129" s="86" t="s">
        <v>155</v>
      </c>
      <c r="M129" s="87" t="b">
        <v>1</v>
      </c>
      <c r="N129" s="88"/>
    </row>
    <row r="130" spans="1:14" ht="40" customHeight="1" x14ac:dyDescent="0.2">
      <c r="A130" s="83" t="s">
        <v>174</v>
      </c>
      <c r="B130" s="84"/>
      <c r="C130" s="85">
        <v>3</v>
      </c>
      <c r="D130" s="85">
        <v>1</v>
      </c>
      <c r="E130" s="85">
        <v>1</v>
      </c>
      <c r="F130" s="84" t="s">
        <v>156</v>
      </c>
      <c r="G130" s="84" t="s">
        <v>60</v>
      </c>
      <c r="H130" s="84"/>
      <c r="I130" s="84" t="s">
        <v>301</v>
      </c>
      <c r="J130" s="86" t="s">
        <v>154</v>
      </c>
      <c r="K130" s="84" t="s">
        <v>210</v>
      </c>
      <c r="L130" s="86" t="s">
        <v>145</v>
      </c>
      <c r="M130" s="87" t="b">
        <v>1</v>
      </c>
      <c r="N130" s="88"/>
    </row>
    <row r="131" spans="1:14" ht="40" customHeight="1" x14ac:dyDescent="0.2">
      <c r="A131" s="83" t="s">
        <v>174</v>
      </c>
      <c r="B131" s="84"/>
      <c r="C131" s="85">
        <v>3</v>
      </c>
      <c r="D131" s="85">
        <v>2</v>
      </c>
      <c r="E131" s="85">
        <v>2</v>
      </c>
      <c r="F131" s="84" t="s">
        <v>156</v>
      </c>
      <c r="G131" s="84" t="s">
        <v>302</v>
      </c>
      <c r="H131" s="84"/>
      <c r="I131" s="84"/>
      <c r="J131" s="86" t="s">
        <v>155</v>
      </c>
      <c r="K131" s="84"/>
      <c r="L131" s="86" t="s">
        <v>155</v>
      </c>
      <c r="M131" s="87" t="b">
        <v>1</v>
      </c>
      <c r="N131" s="88"/>
    </row>
    <row r="132" spans="1:14" ht="40" customHeight="1" x14ac:dyDescent="0.2">
      <c r="A132" s="83" t="s">
        <v>174</v>
      </c>
      <c r="B132" s="84"/>
      <c r="C132" s="85">
        <v>3</v>
      </c>
      <c r="D132" s="85">
        <v>3</v>
      </c>
      <c r="E132" s="85">
        <v>2</v>
      </c>
      <c r="F132" s="84" t="s">
        <v>156</v>
      </c>
      <c r="G132" s="84" t="s">
        <v>303</v>
      </c>
      <c r="H132" s="84"/>
      <c r="I132" s="84"/>
      <c r="J132" s="86" t="s">
        <v>155</v>
      </c>
      <c r="K132" s="84"/>
      <c r="L132" s="86" t="s">
        <v>155</v>
      </c>
      <c r="M132" s="87" t="b">
        <v>1</v>
      </c>
      <c r="N132" s="88"/>
    </row>
    <row r="133" spans="1:14" ht="40" customHeight="1" x14ac:dyDescent="0.2">
      <c r="A133" s="83" t="s">
        <v>174</v>
      </c>
      <c r="B133" s="84"/>
      <c r="C133" s="85">
        <v>4</v>
      </c>
      <c r="D133" s="85">
        <v>1</v>
      </c>
      <c r="E133" s="85">
        <v>1</v>
      </c>
      <c r="F133" s="84" t="s">
        <v>156</v>
      </c>
      <c r="G133" s="84" t="s">
        <v>61</v>
      </c>
      <c r="H133" s="84"/>
      <c r="I133" s="84" t="s">
        <v>304</v>
      </c>
      <c r="J133" s="86" t="s">
        <v>154</v>
      </c>
      <c r="K133" s="84" t="s">
        <v>203</v>
      </c>
      <c r="L133" s="86" t="s">
        <v>145</v>
      </c>
      <c r="M133" s="87" t="b">
        <v>1</v>
      </c>
      <c r="N133" s="88"/>
    </row>
    <row r="134" spans="1:14" ht="40" customHeight="1" x14ac:dyDescent="0.2">
      <c r="A134" s="83" t="s">
        <v>174</v>
      </c>
      <c r="B134" s="84"/>
      <c r="C134" s="85">
        <v>4</v>
      </c>
      <c r="D134" s="85">
        <v>2</v>
      </c>
      <c r="E134" s="85">
        <v>2</v>
      </c>
      <c r="F134" s="84" t="s">
        <v>156</v>
      </c>
      <c r="G134" s="84" t="s">
        <v>305</v>
      </c>
      <c r="H134" s="84"/>
      <c r="I134" s="84"/>
      <c r="J134" s="86" t="s">
        <v>155</v>
      </c>
      <c r="K134" s="84"/>
      <c r="L134" s="86" t="s">
        <v>155</v>
      </c>
      <c r="M134" s="87" t="b">
        <v>1</v>
      </c>
      <c r="N134" s="88"/>
    </row>
    <row r="135" spans="1:14" ht="40" customHeight="1" x14ac:dyDescent="0.2">
      <c r="A135" s="83" t="s">
        <v>174</v>
      </c>
      <c r="B135" s="84"/>
      <c r="C135" s="85">
        <v>4</v>
      </c>
      <c r="D135" s="85">
        <v>3</v>
      </c>
      <c r="E135" s="85">
        <v>2</v>
      </c>
      <c r="F135" s="84" t="s">
        <v>156</v>
      </c>
      <c r="G135" s="84" t="s">
        <v>306</v>
      </c>
      <c r="H135" s="84"/>
      <c r="I135" s="84"/>
      <c r="J135" s="86" t="s">
        <v>155</v>
      </c>
      <c r="K135" s="84"/>
      <c r="L135" s="86" t="s">
        <v>155</v>
      </c>
      <c r="M135" s="87" t="b">
        <v>1</v>
      </c>
      <c r="N135" s="88"/>
    </row>
    <row r="136" spans="1:14" ht="40" customHeight="1" x14ac:dyDescent="0.2">
      <c r="A136" s="83" t="s">
        <v>174</v>
      </c>
      <c r="B136" s="84"/>
      <c r="C136" s="85">
        <v>5</v>
      </c>
      <c r="D136" s="85">
        <v>1</v>
      </c>
      <c r="E136" s="85">
        <v>1</v>
      </c>
      <c r="F136" s="84" t="s">
        <v>156</v>
      </c>
      <c r="G136" s="84" t="s">
        <v>62</v>
      </c>
      <c r="H136" s="84"/>
      <c r="I136" s="84" t="s">
        <v>307</v>
      </c>
      <c r="J136" s="86" t="s">
        <v>154</v>
      </c>
      <c r="K136" s="84" t="s">
        <v>172</v>
      </c>
      <c r="L136" s="86" t="s">
        <v>145</v>
      </c>
      <c r="M136" s="87" t="b">
        <v>1</v>
      </c>
      <c r="N136" s="88"/>
    </row>
    <row r="137" spans="1:14" ht="40" customHeight="1" x14ac:dyDescent="0.2">
      <c r="A137" s="83" t="s">
        <v>174</v>
      </c>
      <c r="B137" s="84"/>
      <c r="C137" s="85">
        <v>5</v>
      </c>
      <c r="D137" s="85">
        <v>2</v>
      </c>
      <c r="E137" s="85">
        <v>2</v>
      </c>
      <c r="F137" s="84" t="s">
        <v>156</v>
      </c>
      <c r="G137" s="84" t="s">
        <v>308</v>
      </c>
      <c r="H137" s="84"/>
      <c r="I137" s="84"/>
      <c r="J137" s="86" t="s">
        <v>155</v>
      </c>
      <c r="K137" s="84"/>
      <c r="L137" s="86" t="s">
        <v>155</v>
      </c>
      <c r="M137" s="87" t="b">
        <v>1</v>
      </c>
      <c r="N137" s="88"/>
    </row>
    <row r="138" spans="1:14" ht="40" customHeight="1" x14ac:dyDescent="0.2">
      <c r="A138" s="83" t="s">
        <v>174</v>
      </c>
      <c r="B138" s="84"/>
      <c r="C138" s="85">
        <v>5</v>
      </c>
      <c r="D138" s="85">
        <v>3</v>
      </c>
      <c r="E138" s="85">
        <v>2</v>
      </c>
      <c r="F138" s="84" t="s">
        <v>156</v>
      </c>
      <c r="G138" s="84" t="s">
        <v>309</v>
      </c>
      <c r="H138" s="84"/>
      <c r="I138" s="84"/>
      <c r="J138" s="86" t="s">
        <v>155</v>
      </c>
      <c r="K138" s="84"/>
      <c r="L138" s="86" t="s">
        <v>155</v>
      </c>
      <c r="M138" s="87" t="b">
        <v>1</v>
      </c>
      <c r="N138" s="88"/>
    </row>
    <row r="139" spans="1:14" ht="40" customHeight="1" x14ac:dyDescent="0.2">
      <c r="A139" s="83" t="s">
        <v>174</v>
      </c>
      <c r="B139" s="84"/>
      <c r="C139" s="85">
        <v>6</v>
      </c>
      <c r="D139" s="85">
        <v>1</v>
      </c>
      <c r="E139" s="85">
        <v>1</v>
      </c>
      <c r="F139" s="84" t="s">
        <v>156</v>
      </c>
      <c r="G139" s="84" t="s">
        <v>64</v>
      </c>
      <c r="H139" s="84"/>
      <c r="I139" s="84" t="s">
        <v>310</v>
      </c>
      <c r="J139" s="86" t="s">
        <v>154</v>
      </c>
      <c r="K139" s="84" t="s">
        <v>207</v>
      </c>
      <c r="L139" s="86" t="s">
        <v>145</v>
      </c>
      <c r="M139" s="87" t="b">
        <v>1</v>
      </c>
      <c r="N139" s="88"/>
    </row>
    <row r="140" spans="1:14" ht="40" customHeight="1" x14ac:dyDescent="0.2">
      <c r="A140" s="83" t="s">
        <v>174</v>
      </c>
      <c r="B140" s="84"/>
      <c r="C140" s="85">
        <v>6</v>
      </c>
      <c r="D140" s="85">
        <v>2</v>
      </c>
      <c r="E140" s="85">
        <v>2</v>
      </c>
      <c r="F140" s="84" t="s">
        <v>156</v>
      </c>
      <c r="G140" s="84" t="s">
        <v>311</v>
      </c>
      <c r="H140" s="84"/>
      <c r="I140" s="84"/>
      <c r="J140" s="86" t="s">
        <v>155</v>
      </c>
      <c r="K140" s="84"/>
      <c r="L140" s="86" t="s">
        <v>155</v>
      </c>
      <c r="M140" s="87" t="b">
        <v>1</v>
      </c>
      <c r="N140" s="88"/>
    </row>
    <row r="141" spans="1:14" ht="40" customHeight="1" x14ac:dyDescent="0.2">
      <c r="A141" s="83" t="s">
        <v>174</v>
      </c>
      <c r="B141" s="84"/>
      <c r="C141" s="85">
        <v>6</v>
      </c>
      <c r="D141" s="85">
        <v>3</v>
      </c>
      <c r="E141" s="85">
        <v>2</v>
      </c>
      <c r="F141" s="84" t="s">
        <v>156</v>
      </c>
      <c r="G141" s="84" t="s">
        <v>312</v>
      </c>
      <c r="H141" s="84"/>
      <c r="I141" s="84"/>
      <c r="J141" s="86" t="s">
        <v>155</v>
      </c>
      <c r="K141" s="84"/>
      <c r="L141" s="86" t="s">
        <v>155</v>
      </c>
      <c r="M141" s="87" t="b">
        <v>1</v>
      </c>
      <c r="N141" s="88"/>
    </row>
    <row r="142" spans="1:14" ht="40" customHeight="1" x14ac:dyDescent="0.2">
      <c r="A142" s="83" t="s">
        <v>174</v>
      </c>
      <c r="B142" s="84"/>
      <c r="C142" s="85">
        <v>7</v>
      </c>
      <c r="D142" s="85">
        <v>1</v>
      </c>
      <c r="E142" s="85">
        <v>1</v>
      </c>
      <c r="F142" s="84" t="s">
        <v>156</v>
      </c>
      <c r="G142" s="84" t="s">
        <v>71</v>
      </c>
      <c r="H142" s="84"/>
      <c r="I142" s="84" t="s">
        <v>313</v>
      </c>
      <c r="J142" s="86" t="s">
        <v>154</v>
      </c>
      <c r="K142" s="84" t="s">
        <v>164</v>
      </c>
      <c r="L142" s="86" t="s">
        <v>145</v>
      </c>
      <c r="M142" s="87" t="b">
        <v>1</v>
      </c>
      <c r="N142" s="88"/>
    </row>
    <row r="143" spans="1:14" ht="40" customHeight="1" x14ac:dyDescent="0.2">
      <c r="A143" s="83" t="s">
        <v>174</v>
      </c>
      <c r="B143" s="84"/>
      <c r="C143" s="85">
        <v>7</v>
      </c>
      <c r="D143" s="85">
        <v>2</v>
      </c>
      <c r="E143" s="85">
        <v>2</v>
      </c>
      <c r="F143" s="84" t="s">
        <v>156</v>
      </c>
      <c r="G143" s="84" t="s">
        <v>314</v>
      </c>
      <c r="H143" s="84"/>
      <c r="I143" s="84"/>
      <c r="J143" s="86" t="s">
        <v>155</v>
      </c>
      <c r="K143" s="84"/>
      <c r="L143" s="86" t="s">
        <v>155</v>
      </c>
      <c r="M143" s="87" t="b">
        <v>1</v>
      </c>
      <c r="N143" s="88"/>
    </row>
    <row r="144" spans="1:14" ht="40" customHeight="1" x14ac:dyDescent="0.2">
      <c r="A144" s="83" t="s">
        <v>174</v>
      </c>
      <c r="B144" s="84"/>
      <c r="C144" s="85">
        <v>7</v>
      </c>
      <c r="D144" s="85">
        <v>3</v>
      </c>
      <c r="E144" s="85">
        <v>2</v>
      </c>
      <c r="F144" s="84" t="s">
        <v>156</v>
      </c>
      <c r="G144" s="84" t="s">
        <v>315</v>
      </c>
      <c r="H144" s="84"/>
      <c r="I144" s="84"/>
      <c r="J144" s="86" t="s">
        <v>155</v>
      </c>
      <c r="K144" s="84"/>
      <c r="L144" s="86" t="s">
        <v>155</v>
      </c>
      <c r="M144" s="87" t="b">
        <v>1</v>
      </c>
      <c r="N144" s="88"/>
    </row>
    <row r="145" spans="1:14" ht="40" customHeight="1" x14ac:dyDescent="0.2">
      <c r="A145" s="83" t="s">
        <v>174</v>
      </c>
      <c r="B145" s="84"/>
      <c r="C145" s="85">
        <v>8</v>
      </c>
      <c r="D145" s="85">
        <v>1</v>
      </c>
      <c r="E145" s="85">
        <v>1</v>
      </c>
      <c r="F145" s="84" t="s">
        <v>156</v>
      </c>
      <c r="G145" s="84" t="s">
        <v>53</v>
      </c>
      <c r="H145" s="84"/>
      <c r="I145" s="84" t="s">
        <v>313</v>
      </c>
      <c r="J145" s="86" t="s">
        <v>154</v>
      </c>
      <c r="K145" s="84" t="s">
        <v>162</v>
      </c>
      <c r="L145" s="86" t="s">
        <v>145</v>
      </c>
      <c r="M145" s="87" t="b">
        <v>1</v>
      </c>
      <c r="N145" s="88"/>
    </row>
    <row r="146" spans="1:14" x14ac:dyDescent="0.2">
      <c r="A146" s="83" t="s">
        <v>174</v>
      </c>
      <c r="B146" s="84"/>
      <c r="C146" s="85">
        <v>8</v>
      </c>
      <c r="D146" s="85">
        <v>2</v>
      </c>
      <c r="E146" s="85">
        <v>2</v>
      </c>
      <c r="F146" s="84" t="s">
        <v>156</v>
      </c>
      <c r="G146" s="84" t="s">
        <v>316</v>
      </c>
      <c r="H146" s="84"/>
      <c r="I146" s="84"/>
      <c r="J146" s="86" t="s">
        <v>155</v>
      </c>
      <c r="K146" s="84"/>
      <c r="L146" s="86" t="s">
        <v>155</v>
      </c>
      <c r="M146" s="87" t="b">
        <v>1</v>
      </c>
      <c r="N146" s="88"/>
    </row>
    <row r="147" spans="1:14" x14ac:dyDescent="0.2">
      <c r="A147" s="83" t="s">
        <v>174</v>
      </c>
      <c r="B147" s="84"/>
      <c r="C147" s="85">
        <v>8</v>
      </c>
      <c r="D147" s="85">
        <v>3</v>
      </c>
      <c r="E147" s="85">
        <v>2</v>
      </c>
      <c r="F147" s="84" t="s">
        <v>156</v>
      </c>
      <c r="G147" s="84" t="s">
        <v>317</v>
      </c>
      <c r="H147" s="84"/>
      <c r="I147" s="84"/>
      <c r="J147" s="86" t="s">
        <v>155</v>
      </c>
      <c r="K147" s="84"/>
      <c r="L147" s="86" t="s">
        <v>155</v>
      </c>
      <c r="M147" s="87" t="b">
        <v>1</v>
      </c>
      <c r="N147" s="88"/>
    </row>
    <row r="148" spans="1:14" x14ac:dyDescent="0.2">
      <c r="A148" s="83" t="s">
        <v>179</v>
      </c>
      <c r="B148" s="84" t="s">
        <v>361</v>
      </c>
      <c r="C148" s="85">
        <v>1</v>
      </c>
      <c r="D148" s="85">
        <v>1</v>
      </c>
      <c r="E148" s="85">
        <v>1</v>
      </c>
      <c r="F148" s="84" t="s">
        <v>156</v>
      </c>
      <c r="G148" s="84" t="s">
        <v>185</v>
      </c>
      <c r="H148" s="84"/>
      <c r="I148" s="84" t="s">
        <v>197</v>
      </c>
      <c r="J148" s="86" t="s">
        <v>154</v>
      </c>
      <c r="K148" s="84"/>
      <c r="L148" s="86" t="s">
        <v>155</v>
      </c>
      <c r="M148" s="87" t="b">
        <v>1</v>
      </c>
      <c r="N148" s="88"/>
    </row>
    <row r="149" spans="1:14" x14ac:dyDescent="0.2">
      <c r="A149" s="83" t="s">
        <v>179</v>
      </c>
      <c r="B149" s="84"/>
      <c r="C149" s="85">
        <v>1</v>
      </c>
      <c r="D149" s="85">
        <v>2</v>
      </c>
      <c r="E149" s="85">
        <v>2</v>
      </c>
      <c r="F149" s="84" t="s">
        <v>156</v>
      </c>
      <c r="G149" s="84" t="s">
        <v>318</v>
      </c>
      <c r="H149" s="84"/>
      <c r="I149" s="84"/>
      <c r="J149" s="86" t="s">
        <v>155</v>
      </c>
      <c r="K149" s="84"/>
      <c r="L149" s="86" t="s">
        <v>155</v>
      </c>
      <c r="M149" s="87" t="b">
        <v>1</v>
      </c>
      <c r="N149" s="88"/>
    </row>
    <row r="150" spans="1:14" x14ac:dyDescent="0.2">
      <c r="A150" s="83" t="s">
        <v>179</v>
      </c>
      <c r="B150" s="84"/>
      <c r="C150" s="85">
        <v>1</v>
      </c>
      <c r="D150" s="85">
        <v>3</v>
      </c>
      <c r="E150" s="85">
        <v>2</v>
      </c>
      <c r="F150" s="84" t="s">
        <v>156</v>
      </c>
      <c r="G150" s="84" t="s">
        <v>319</v>
      </c>
      <c r="H150" s="84"/>
      <c r="I150" s="84"/>
      <c r="J150" s="86" t="s">
        <v>155</v>
      </c>
      <c r="K150" s="84"/>
      <c r="L150" s="86" t="s">
        <v>155</v>
      </c>
      <c r="M150" s="87" t="b">
        <v>1</v>
      </c>
      <c r="N150" s="88"/>
    </row>
    <row r="151" spans="1:14" ht="30" x14ac:dyDescent="0.2">
      <c r="A151" s="83" t="s">
        <v>179</v>
      </c>
      <c r="B151" s="84"/>
      <c r="C151" s="85">
        <v>1</v>
      </c>
      <c r="D151" s="85">
        <v>4</v>
      </c>
      <c r="E151" s="85">
        <v>2</v>
      </c>
      <c r="F151" s="84" t="s">
        <v>156</v>
      </c>
      <c r="G151" s="84" t="s">
        <v>320</v>
      </c>
      <c r="H151" s="84"/>
      <c r="I151" s="84"/>
      <c r="J151" s="86" t="s">
        <v>155</v>
      </c>
      <c r="K151" s="84"/>
      <c r="L151" s="86" t="s">
        <v>155</v>
      </c>
      <c r="M151" s="87" t="b">
        <v>1</v>
      </c>
      <c r="N151" s="88"/>
    </row>
    <row r="152" spans="1:14" ht="30" x14ac:dyDescent="0.2">
      <c r="A152" s="83" t="s">
        <v>179</v>
      </c>
      <c r="B152" s="84"/>
      <c r="C152" s="85">
        <v>1</v>
      </c>
      <c r="D152" s="85">
        <v>5</v>
      </c>
      <c r="E152" s="85">
        <v>2</v>
      </c>
      <c r="F152" s="84" t="s">
        <v>180</v>
      </c>
      <c r="G152" s="84" t="s">
        <v>230</v>
      </c>
      <c r="H152" s="84" t="s">
        <v>372</v>
      </c>
      <c r="I152" s="84"/>
      <c r="J152" s="86" t="s">
        <v>155</v>
      </c>
      <c r="K152" s="84"/>
      <c r="L152" s="86" t="s">
        <v>155</v>
      </c>
      <c r="M152" s="87" t="b">
        <v>1</v>
      </c>
      <c r="N152" s="88"/>
    </row>
    <row r="153" spans="1:14" x14ac:dyDescent="0.2">
      <c r="A153" s="83" t="s">
        <v>179</v>
      </c>
      <c r="B153" s="84"/>
      <c r="C153" s="85">
        <v>2</v>
      </c>
      <c r="D153" s="85">
        <v>1</v>
      </c>
      <c r="E153" s="85">
        <v>1</v>
      </c>
      <c r="F153" s="84" t="s">
        <v>156</v>
      </c>
      <c r="G153" s="84" t="s">
        <v>72</v>
      </c>
      <c r="H153" s="84"/>
      <c r="I153" s="84" t="s">
        <v>321</v>
      </c>
      <c r="J153" s="86" t="s">
        <v>154</v>
      </c>
      <c r="K153" s="84" t="s">
        <v>198</v>
      </c>
      <c r="L153" s="86" t="s">
        <v>145</v>
      </c>
      <c r="M153" s="87" t="b">
        <v>1</v>
      </c>
      <c r="N153" s="88"/>
    </row>
    <row r="154" spans="1:14" x14ac:dyDescent="0.2">
      <c r="A154" s="83" t="s">
        <v>179</v>
      </c>
      <c r="B154" s="84"/>
      <c r="C154" s="85">
        <v>2</v>
      </c>
      <c r="D154" s="85">
        <v>2</v>
      </c>
      <c r="E154" s="85">
        <v>2</v>
      </c>
      <c r="F154" s="84" t="s">
        <v>156</v>
      </c>
      <c r="G154" s="84" t="s">
        <v>322</v>
      </c>
      <c r="H154" s="84"/>
      <c r="I154" s="84"/>
      <c r="J154" s="86" t="s">
        <v>155</v>
      </c>
      <c r="K154" s="84"/>
      <c r="L154" s="86" t="s">
        <v>155</v>
      </c>
      <c r="M154" s="87" t="b">
        <v>1</v>
      </c>
      <c r="N154" s="88"/>
    </row>
    <row r="155" spans="1:14" x14ac:dyDescent="0.2">
      <c r="A155" s="83" t="s">
        <v>179</v>
      </c>
      <c r="B155" s="84"/>
      <c r="C155" s="85">
        <v>2</v>
      </c>
      <c r="D155" s="85">
        <v>3</v>
      </c>
      <c r="E155" s="85">
        <v>2</v>
      </c>
      <c r="F155" s="84" t="s">
        <v>156</v>
      </c>
      <c r="G155" s="84" t="s">
        <v>323</v>
      </c>
      <c r="H155" s="84"/>
      <c r="I155" s="84"/>
      <c r="J155" s="86" t="s">
        <v>155</v>
      </c>
      <c r="K155" s="84"/>
      <c r="L155" s="86" t="s">
        <v>155</v>
      </c>
      <c r="M155" s="87" t="b">
        <v>1</v>
      </c>
      <c r="N155" s="88"/>
    </row>
    <row r="156" spans="1:14" x14ac:dyDescent="0.2">
      <c r="A156" s="83" t="s">
        <v>179</v>
      </c>
      <c r="B156" s="84"/>
      <c r="C156" s="85">
        <v>3</v>
      </c>
      <c r="D156" s="85">
        <v>1</v>
      </c>
      <c r="E156" s="85">
        <v>1</v>
      </c>
      <c r="F156" s="84" t="s">
        <v>156</v>
      </c>
      <c r="G156" s="84" t="s">
        <v>73</v>
      </c>
      <c r="H156" s="84"/>
      <c r="I156" s="84" t="s">
        <v>324</v>
      </c>
      <c r="J156" s="86" t="s">
        <v>154</v>
      </c>
      <c r="K156" s="84" t="s">
        <v>167</v>
      </c>
      <c r="L156" s="86" t="s">
        <v>145</v>
      </c>
      <c r="M156" s="87" t="b">
        <v>1</v>
      </c>
      <c r="N156" s="88"/>
    </row>
    <row r="157" spans="1:14" x14ac:dyDescent="0.2">
      <c r="A157" s="83" t="s">
        <v>179</v>
      </c>
      <c r="B157" s="84"/>
      <c r="C157" s="85">
        <v>3</v>
      </c>
      <c r="D157" s="85">
        <v>2</v>
      </c>
      <c r="E157" s="85">
        <v>2</v>
      </c>
      <c r="F157" s="84" t="s">
        <v>156</v>
      </c>
      <c r="G157" s="84" t="s">
        <v>325</v>
      </c>
      <c r="H157" s="84"/>
      <c r="I157" s="84"/>
      <c r="J157" s="86" t="s">
        <v>155</v>
      </c>
      <c r="K157" s="84"/>
      <c r="L157" s="86" t="s">
        <v>155</v>
      </c>
      <c r="M157" s="87" t="b">
        <v>1</v>
      </c>
      <c r="N157" s="88"/>
    </row>
    <row r="158" spans="1:14" x14ac:dyDescent="0.2">
      <c r="A158" s="83" t="s">
        <v>179</v>
      </c>
      <c r="B158" s="84"/>
      <c r="C158" s="85">
        <v>3</v>
      </c>
      <c r="D158" s="85">
        <v>3</v>
      </c>
      <c r="E158" s="85">
        <v>2</v>
      </c>
      <c r="F158" s="84" t="s">
        <v>156</v>
      </c>
      <c r="G158" s="84" t="s">
        <v>326</v>
      </c>
      <c r="H158" s="84"/>
      <c r="I158" s="84"/>
      <c r="J158" s="86" t="s">
        <v>155</v>
      </c>
      <c r="K158" s="84"/>
      <c r="L158" s="86" t="s">
        <v>155</v>
      </c>
      <c r="M158" s="87" t="b">
        <v>1</v>
      </c>
      <c r="N158" s="88"/>
    </row>
    <row r="159" spans="1:14" x14ac:dyDescent="0.2">
      <c r="A159" s="83" t="s">
        <v>179</v>
      </c>
      <c r="B159" s="84"/>
      <c r="C159" s="85">
        <v>4</v>
      </c>
      <c r="D159" s="85">
        <v>1</v>
      </c>
      <c r="E159" s="85">
        <v>1</v>
      </c>
      <c r="F159" s="84" t="s">
        <v>156</v>
      </c>
      <c r="G159" s="84" t="s">
        <v>74</v>
      </c>
      <c r="H159" s="84"/>
      <c r="I159" s="84" t="s">
        <v>327</v>
      </c>
      <c r="J159" s="86" t="s">
        <v>154</v>
      </c>
      <c r="K159" s="84" t="s">
        <v>160</v>
      </c>
      <c r="L159" s="86" t="s">
        <v>145</v>
      </c>
      <c r="M159" s="87" t="b">
        <v>1</v>
      </c>
      <c r="N159" s="88"/>
    </row>
    <row r="160" spans="1:14" x14ac:dyDescent="0.2">
      <c r="A160" s="83" t="s">
        <v>179</v>
      </c>
      <c r="B160" s="84"/>
      <c r="C160" s="85">
        <v>4</v>
      </c>
      <c r="D160" s="85">
        <v>2</v>
      </c>
      <c r="E160" s="85">
        <v>2</v>
      </c>
      <c r="F160" s="84" t="s">
        <v>156</v>
      </c>
      <c r="G160" s="84" t="s">
        <v>328</v>
      </c>
      <c r="H160" s="84"/>
      <c r="I160" s="84"/>
      <c r="J160" s="86" t="s">
        <v>155</v>
      </c>
      <c r="K160" s="84"/>
      <c r="L160" s="86" t="s">
        <v>155</v>
      </c>
      <c r="M160" s="87" t="b">
        <v>1</v>
      </c>
      <c r="N160" s="88"/>
    </row>
    <row r="161" spans="1:14" x14ac:dyDescent="0.2">
      <c r="A161" s="83" t="s">
        <v>179</v>
      </c>
      <c r="B161" s="84"/>
      <c r="C161" s="85">
        <v>4</v>
      </c>
      <c r="D161" s="85">
        <v>3</v>
      </c>
      <c r="E161" s="85">
        <v>2</v>
      </c>
      <c r="F161" s="84" t="s">
        <v>156</v>
      </c>
      <c r="G161" s="84" t="s">
        <v>329</v>
      </c>
      <c r="H161" s="84"/>
      <c r="I161" s="84"/>
      <c r="J161" s="86" t="s">
        <v>155</v>
      </c>
      <c r="K161" s="84"/>
      <c r="L161" s="86" t="s">
        <v>155</v>
      </c>
      <c r="M161" s="87" t="b">
        <v>1</v>
      </c>
      <c r="N161" s="88"/>
    </row>
    <row r="162" spans="1:14" x14ac:dyDescent="0.2">
      <c r="A162" s="83" t="s">
        <v>179</v>
      </c>
      <c r="B162" s="84"/>
      <c r="C162" s="85">
        <v>5</v>
      </c>
      <c r="D162" s="85">
        <v>1</v>
      </c>
      <c r="E162" s="85">
        <v>1</v>
      </c>
      <c r="F162" s="84" t="s">
        <v>156</v>
      </c>
      <c r="G162" s="84" t="s">
        <v>75</v>
      </c>
      <c r="H162" s="84"/>
      <c r="I162" s="84" t="s">
        <v>283</v>
      </c>
      <c r="J162" s="86" t="s">
        <v>154</v>
      </c>
      <c r="K162" s="84" t="s">
        <v>205</v>
      </c>
      <c r="L162" s="86" t="s">
        <v>145</v>
      </c>
      <c r="M162" s="87" t="b">
        <v>1</v>
      </c>
      <c r="N162" s="88"/>
    </row>
    <row r="163" spans="1:14" x14ac:dyDescent="0.2">
      <c r="A163" s="83" t="s">
        <v>179</v>
      </c>
      <c r="B163" s="84"/>
      <c r="C163" s="85">
        <v>5</v>
      </c>
      <c r="D163" s="85">
        <v>2</v>
      </c>
      <c r="E163" s="85">
        <v>2</v>
      </c>
      <c r="F163" s="84" t="s">
        <v>156</v>
      </c>
      <c r="G163" s="84" t="s">
        <v>330</v>
      </c>
      <c r="H163" s="84"/>
      <c r="I163" s="84"/>
      <c r="J163" s="86" t="s">
        <v>155</v>
      </c>
      <c r="K163" s="84"/>
      <c r="L163" s="86" t="s">
        <v>155</v>
      </c>
      <c r="M163" s="87" t="b">
        <v>1</v>
      </c>
      <c r="N163" s="88"/>
    </row>
    <row r="164" spans="1:14" x14ac:dyDescent="0.2">
      <c r="A164" s="83" t="s">
        <v>179</v>
      </c>
      <c r="B164" s="84"/>
      <c r="C164" s="85">
        <v>5</v>
      </c>
      <c r="D164" s="85">
        <v>3</v>
      </c>
      <c r="E164" s="85">
        <v>2</v>
      </c>
      <c r="F164" s="84" t="s">
        <v>156</v>
      </c>
      <c r="G164" s="84" t="s">
        <v>331</v>
      </c>
      <c r="H164" s="84"/>
      <c r="I164" s="84"/>
      <c r="J164" s="86" t="s">
        <v>155</v>
      </c>
      <c r="K164" s="84"/>
      <c r="L164" s="86" t="s">
        <v>155</v>
      </c>
      <c r="M164" s="87" t="b">
        <v>1</v>
      </c>
      <c r="N164" s="88"/>
    </row>
    <row r="165" spans="1:14" x14ac:dyDescent="0.2">
      <c r="A165" s="83" t="s">
        <v>179</v>
      </c>
      <c r="B165" s="84"/>
      <c r="C165" s="85">
        <v>6</v>
      </c>
      <c r="D165" s="85">
        <v>1</v>
      </c>
      <c r="E165" s="85">
        <v>1</v>
      </c>
      <c r="F165" s="84" t="s">
        <v>156</v>
      </c>
      <c r="G165" s="84" t="s">
        <v>76</v>
      </c>
      <c r="H165" s="84"/>
      <c r="I165" s="84" t="s">
        <v>332</v>
      </c>
      <c r="J165" s="86" t="s">
        <v>154</v>
      </c>
      <c r="K165" s="84" t="s">
        <v>333</v>
      </c>
      <c r="L165" s="86" t="s">
        <v>145</v>
      </c>
      <c r="M165" s="87" t="b">
        <v>1</v>
      </c>
      <c r="N165" s="88"/>
    </row>
    <row r="166" spans="1:14" x14ac:dyDescent="0.2">
      <c r="A166" s="83" t="s">
        <v>179</v>
      </c>
      <c r="B166" s="84"/>
      <c r="C166" s="85">
        <v>6</v>
      </c>
      <c r="D166" s="85">
        <v>2</v>
      </c>
      <c r="E166" s="85">
        <v>2</v>
      </c>
      <c r="F166" s="84" t="s">
        <v>156</v>
      </c>
      <c r="G166" s="84" t="s">
        <v>334</v>
      </c>
      <c r="H166" s="84"/>
      <c r="I166" s="84"/>
      <c r="J166" s="86" t="s">
        <v>155</v>
      </c>
      <c r="K166" s="84"/>
      <c r="L166" s="86" t="s">
        <v>155</v>
      </c>
      <c r="M166" s="87" t="b">
        <v>1</v>
      </c>
      <c r="N166" s="88"/>
    </row>
    <row r="167" spans="1:14" x14ac:dyDescent="0.2">
      <c r="A167" s="83" t="s">
        <v>179</v>
      </c>
      <c r="B167" s="84"/>
      <c r="C167" s="85">
        <v>6</v>
      </c>
      <c r="D167" s="85">
        <v>3</v>
      </c>
      <c r="E167" s="85">
        <v>2</v>
      </c>
      <c r="F167" s="84" t="s">
        <v>156</v>
      </c>
      <c r="G167" s="84" t="s">
        <v>335</v>
      </c>
      <c r="H167" s="84"/>
      <c r="I167" s="84"/>
      <c r="J167" s="86" t="s">
        <v>155</v>
      </c>
      <c r="K167" s="84"/>
      <c r="L167" s="86" t="s">
        <v>155</v>
      </c>
      <c r="M167" s="87" t="b">
        <v>1</v>
      </c>
      <c r="N167" s="88"/>
    </row>
    <row r="168" spans="1:14" x14ac:dyDescent="0.2">
      <c r="A168" s="83" t="s">
        <v>173</v>
      </c>
      <c r="B168" s="84" t="s">
        <v>362</v>
      </c>
      <c r="C168" s="85">
        <v>1</v>
      </c>
      <c r="D168" s="85">
        <v>1</v>
      </c>
      <c r="E168" s="85">
        <v>1</v>
      </c>
      <c r="F168" s="84" t="s">
        <v>156</v>
      </c>
      <c r="G168" s="84" t="s">
        <v>185</v>
      </c>
      <c r="H168" s="84"/>
      <c r="I168" s="84" t="s">
        <v>176</v>
      </c>
      <c r="J168" s="86" t="s">
        <v>154</v>
      </c>
      <c r="K168" s="84"/>
      <c r="L168" s="86" t="s">
        <v>155</v>
      </c>
      <c r="M168" s="87" t="b">
        <v>1</v>
      </c>
      <c r="N168" s="88"/>
    </row>
    <row r="169" spans="1:14" ht="30" x14ac:dyDescent="0.2">
      <c r="A169" s="83" t="s">
        <v>173</v>
      </c>
      <c r="B169" s="84"/>
      <c r="C169" s="85">
        <v>1</v>
      </c>
      <c r="D169" s="85">
        <v>2</v>
      </c>
      <c r="E169" s="85">
        <v>2</v>
      </c>
      <c r="F169" s="84" t="s">
        <v>156</v>
      </c>
      <c r="G169" s="84" t="s">
        <v>336</v>
      </c>
      <c r="H169" s="84"/>
      <c r="I169" s="84"/>
      <c r="J169" s="86" t="s">
        <v>155</v>
      </c>
      <c r="K169" s="84"/>
      <c r="L169" s="86" t="s">
        <v>155</v>
      </c>
      <c r="M169" s="87" t="b">
        <v>1</v>
      </c>
      <c r="N169" s="88"/>
    </row>
    <row r="170" spans="1:14" ht="30" x14ac:dyDescent="0.2">
      <c r="A170" s="83" t="s">
        <v>173</v>
      </c>
      <c r="B170" s="84"/>
      <c r="C170" s="85">
        <v>1</v>
      </c>
      <c r="D170" s="85">
        <v>3</v>
      </c>
      <c r="E170" s="85">
        <v>2</v>
      </c>
      <c r="F170" s="84" t="s">
        <v>156</v>
      </c>
      <c r="G170" s="84" t="s">
        <v>337</v>
      </c>
      <c r="H170" s="84"/>
      <c r="I170" s="84"/>
      <c r="J170" s="86" t="s">
        <v>155</v>
      </c>
      <c r="K170" s="84"/>
      <c r="L170" s="86" t="s">
        <v>155</v>
      </c>
      <c r="M170" s="87" t="b">
        <v>1</v>
      </c>
      <c r="N170" s="88"/>
    </row>
    <row r="171" spans="1:14" ht="30" x14ac:dyDescent="0.2">
      <c r="A171" s="83" t="s">
        <v>173</v>
      </c>
      <c r="B171" s="84"/>
      <c r="C171" s="85">
        <v>1</v>
      </c>
      <c r="D171" s="85">
        <v>4</v>
      </c>
      <c r="E171" s="85">
        <v>2</v>
      </c>
      <c r="F171" s="84" t="s">
        <v>180</v>
      </c>
      <c r="G171" s="84" t="s">
        <v>230</v>
      </c>
      <c r="H171" s="84" t="s">
        <v>373</v>
      </c>
      <c r="I171" s="84"/>
      <c r="J171" s="86" t="s">
        <v>155</v>
      </c>
      <c r="K171" s="84"/>
      <c r="L171" s="86" t="s">
        <v>155</v>
      </c>
      <c r="M171" s="87" t="b">
        <v>1</v>
      </c>
      <c r="N171" s="88"/>
    </row>
    <row r="172" spans="1:14" x14ac:dyDescent="0.2">
      <c r="A172" s="83" t="s">
        <v>173</v>
      </c>
      <c r="B172" s="84"/>
      <c r="C172" s="85">
        <v>2</v>
      </c>
      <c r="D172" s="85">
        <v>1</v>
      </c>
      <c r="E172" s="85">
        <v>1</v>
      </c>
      <c r="F172" s="84" t="s">
        <v>156</v>
      </c>
      <c r="G172" s="84" t="s">
        <v>79</v>
      </c>
      <c r="H172" s="84"/>
      <c r="I172" s="84" t="s">
        <v>176</v>
      </c>
      <c r="J172" s="86" t="s">
        <v>154</v>
      </c>
      <c r="K172" s="84" t="s">
        <v>257</v>
      </c>
      <c r="L172" s="86" t="s">
        <v>145</v>
      </c>
      <c r="M172" s="87" t="b">
        <v>1</v>
      </c>
      <c r="N172" s="88"/>
    </row>
    <row r="173" spans="1:14" x14ac:dyDescent="0.2">
      <c r="A173" s="83" t="s">
        <v>173</v>
      </c>
      <c r="B173" s="84"/>
      <c r="C173" s="85">
        <v>2</v>
      </c>
      <c r="D173" s="85">
        <v>2</v>
      </c>
      <c r="E173" s="85">
        <v>2</v>
      </c>
      <c r="F173" s="84" t="s">
        <v>156</v>
      </c>
      <c r="G173" s="84" t="s">
        <v>338</v>
      </c>
      <c r="H173" s="84"/>
      <c r="I173" s="84"/>
      <c r="J173" s="86" t="s">
        <v>155</v>
      </c>
      <c r="K173" s="84"/>
      <c r="L173" s="86" t="s">
        <v>155</v>
      </c>
      <c r="M173" s="87" t="b">
        <v>1</v>
      </c>
      <c r="N173" s="88"/>
    </row>
    <row r="174" spans="1:14" x14ac:dyDescent="0.2">
      <c r="A174" s="83" t="s">
        <v>173</v>
      </c>
      <c r="B174" s="84"/>
      <c r="C174" s="85">
        <v>2</v>
      </c>
      <c r="D174" s="85">
        <v>3</v>
      </c>
      <c r="E174" s="85">
        <v>2</v>
      </c>
      <c r="F174" s="84" t="s">
        <v>156</v>
      </c>
      <c r="G174" s="84" t="s">
        <v>339</v>
      </c>
      <c r="H174" s="84"/>
      <c r="I174" s="84"/>
      <c r="J174" s="86" t="s">
        <v>155</v>
      </c>
      <c r="K174" s="84"/>
      <c r="L174" s="86" t="s">
        <v>155</v>
      </c>
      <c r="M174" s="87" t="b">
        <v>1</v>
      </c>
      <c r="N174" s="88"/>
    </row>
    <row r="175" spans="1:14" x14ac:dyDescent="0.2">
      <c r="A175" s="83" t="s">
        <v>173</v>
      </c>
      <c r="B175" s="84"/>
      <c r="C175" s="85">
        <v>3</v>
      </c>
      <c r="D175" s="85">
        <v>1</v>
      </c>
      <c r="E175" s="85">
        <v>1</v>
      </c>
      <c r="F175" s="84" t="s">
        <v>156</v>
      </c>
      <c r="G175" s="84" t="s">
        <v>80</v>
      </c>
      <c r="H175" s="84"/>
      <c r="I175" s="84" t="s">
        <v>176</v>
      </c>
      <c r="J175" s="86" t="s">
        <v>154</v>
      </c>
      <c r="K175" s="84" t="s">
        <v>340</v>
      </c>
      <c r="L175" s="86" t="s">
        <v>145</v>
      </c>
      <c r="M175" s="87" t="b">
        <v>1</v>
      </c>
      <c r="N175" s="88"/>
    </row>
    <row r="176" spans="1:14" x14ac:dyDescent="0.2">
      <c r="A176" s="83" t="s">
        <v>173</v>
      </c>
      <c r="B176" s="84"/>
      <c r="C176" s="85">
        <v>3</v>
      </c>
      <c r="D176" s="85">
        <v>2</v>
      </c>
      <c r="E176" s="85">
        <v>2</v>
      </c>
      <c r="F176" s="84" t="s">
        <v>156</v>
      </c>
      <c r="G176" s="84" t="s">
        <v>338</v>
      </c>
      <c r="H176" s="84"/>
      <c r="I176" s="84"/>
      <c r="J176" s="86" t="s">
        <v>155</v>
      </c>
      <c r="K176" s="84"/>
      <c r="L176" s="86" t="s">
        <v>155</v>
      </c>
      <c r="M176" s="87" t="b">
        <v>1</v>
      </c>
      <c r="N176" s="88"/>
    </row>
    <row r="177" spans="1:14" x14ac:dyDescent="0.2">
      <c r="A177" s="83" t="s">
        <v>173</v>
      </c>
      <c r="B177" s="84"/>
      <c r="C177" s="85">
        <v>3</v>
      </c>
      <c r="D177" s="85">
        <v>3</v>
      </c>
      <c r="E177" s="85">
        <v>2</v>
      </c>
      <c r="F177" s="84" t="s">
        <v>156</v>
      </c>
      <c r="G177" s="84" t="s">
        <v>341</v>
      </c>
      <c r="H177" s="84"/>
      <c r="I177" s="84"/>
      <c r="J177" s="86" t="s">
        <v>155</v>
      </c>
      <c r="K177" s="84"/>
      <c r="L177" s="86" t="s">
        <v>155</v>
      </c>
      <c r="M177" s="87" t="b">
        <v>1</v>
      </c>
      <c r="N177" s="88"/>
    </row>
    <row r="178" spans="1:14" x14ac:dyDescent="0.2">
      <c r="A178" s="83" t="s">
        <v>173</v>
      </c>
      <c r="B178" s="84"/>
      <c r="C178" s="85">
        <v>4</v>
      </c>
      <c r="D178" s="85">
        <v>1</v>
      </c>
      <c r="E178" s="85">
        <v>1</v>
      </c>
      <c r="F178" s="84" t="s">
        <v>156</v>
      </c>
      <c r="G178" s="84" t="s">
        <v>85</v>
      </c>
      <c r="H178" s="84"/>
      <c r="I178" s="84" t="s">
        <v>176</v>
      </c>
      <c r="J178" s="86" t="s">
        <v>154</v>
      </c>
      <c r="K178" s="84" t="s">
        <v>342</v>
      </c>
      <c r="L178" s="86" t="s">
        <v>145</v>
      </c>
      <c r="M178" s="87" t="b">
        <v>1</v>
      </c>
      <c r="N178" s="88"/>
    </row>
    <row r="179" spans="1:14" x14ac:dyDescent="0.2">
      <c r="A179" s="83" t="s">
        <v>173</v>
      </c>
      <c r="B179" s="84"/>
      <c r="C179" s="85">
        <v>4</v>
      </c>
      <c r="D179" s="85">
        <v>2</v>
      </c>
      <c r="E179" s="85">
        <v>2</v>
      </c>
      <c r="F179" s="84" t="s">
        <v>156</v>
      </c>
      <c r="G179" s="84" t="s">
        <v>338</v>
      </c>
      <c r="H179" s="84"/>
      <c r="I179" s="84"/>
      <c r="J179" s="86" t="s">
        <v>155</v>
      </c>
      <c r="K179" s="84"/>
      <c r="L179" s="86" t="s">
        <v>155</v>
      </c>
      <c r="M179" s="87" t="b">
        <v>1</v>
      </c>
      <c r="N179" s="88"/>
    </row>
    <row r="180" spans="1:14" x14ac:dyDescent="0.2">
      <c r="A180" s="83" t="s">
        <v>173</v>
      </c>
      <c r="B180" s="84"/>
      <c r="C180" s="85">
        <v>4</v>
      </c>
      <c r="D180" s="85">
        <v>3</v>
      </c>
      <c r="E180" s="85">
        <v>2</v>
      </c>
      <c r="F180" s="84" t="s">
        <v>156</v>
      </c>
      <c r="G180" s="84" t="s">
        <v>343</v>
      </c>
      <c r="H180" s="84"/>
      <c r="I180" s="84"/>
      <c r="J180" s="86" t="s">
        <v>155</v>
      </c>
      <c r="K180" s="84"/>
      <c r="L180" s="86" t="s">
        <v>155</v>
      </c>
      <c r="M180" s="87" t="b">
        <v>1</v>
      </c>
      <c r="N180" s="88"/>
    </row>
    <row r="181" spans="1:14" x14ac:dyDescent="0.2">
      <c r="A181" s="83" t="s">
        <v>173</v>
      </c>
      <c r="B181" s="84"/>
      <c r="C181" s="85">
        <v>5</v>
      </c>
      <c r="D181" s="85">
        <v>1</v>
      </c>
      <c r="E181" s="85">
        <v>1</v>
      </c>
      <c r="F181" s="84" t="s">
        <v>156</v>
      </c>
      <c r="G181" s="84" t="s">
        <v>90</v>
      </c>
      <c r="H181" s="84"/>
      <c r="I181" s="84" t="s">
        <v>176</v>
      </c>
      <c r="J181" s="86" t="s">
        <v>154</v>
      </c>
      <c r="K181" s="84" t="s">
        <v>344</v>
      </c>
      <c r="L181" s="86" t="s">
        <v>145</v>
      </c>
      <c r="M181" s="87" t="b">
        <v>1</v>
      </c>
      <c r="N181" s="88"/>
    </row>
    <row r="182" spans="1:14" x14ac:dyDescent="0.2">
      <c r="A182" s="83" t="s">
        <v>173</v>
      </c>
      <c r="B182" s="84"/>
      <c r="C182" s="85">
        <v>5</v>
      </c>
      <c r="D182" s="85">
        <v>2</v>
      </c>
      <c r="E182" s="85">
        <v>2</v>
      </c>
      <c r="F182" s="84" t="s">
        <v>156</v>
      </c>
      <c r="G182" s="84" t="s">
        <v>338</v>
      </c>
      <c r="H182" s="84"/>
      <c r="I182" s="84"/>
      <c r="J182" s="86" t="s">
        <v>155</v>
      </c>
      <c r="K182" s="84"/>
      <c r="L182" s="86" t="s">
        <v>155</v>
      </c>
      <c r="M182" s="87" t="b">
        <v>1</v>
      </c>
      <c r="N182" s="88"/>
    </row>
    <row r="183" spans="1:14" x14ac:dyDescent="0.2">
      <c r="A183" s="89" t="s">
        <v>173</v>
      </c>
      <c r="B183" s="90"/>
      <c r="C183" s="91">
        <v>5</v>
      </c>
      <c r="D183" s="91">
        <v>3</v>
      </c>
      <c r="E183" s="91">
        <v>2</v>
      </c>
      <c r="F183" s="90" t="s">
        <v>156</v>
      </c>
      <c r="G183" s="90" t="s">
        <v>345</v>
      </c>
      <c r="H183" s="90"/>
      <c r="I183" s="90"/>
      <c r="J183" s="92" t="s">
        <v>155</v>
      </c>
      <c r="K183" s="90"/>
      <c r="L183" s="92" t="s">
        <v>155</v>
      </c>
      <c r="M183" s="93" t="b">
        <v>1</v>
      </c>
      <c r="N183" s="94"/>
    </row>
  </sheetData>
  <phoneticPr fontId="24" type="noConversion"/>
  <conditionalFormatting sqref="J2:J99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M2:M183" xr:uid="{6E7A4EE1-D7AF-1F48-B667-5E19CD7F4615}">
      <formula1>"TRUE,FALSE"</formula1>
    </dataValidation>
    <dataValidation type="list" sqref="L2:L99" xr:uid="{2B9CE41F-06D8-AB4B-8F2C-7B8F13D8C958}">
      <formula1>"none,label,data,row"</formula1>
    </dataValidation>
    <dataValidation type="list" sqref="J2:J99" xr:uid="{B83434F4-ACA9-D548-95CA-B67EE3D5868C}">
      <formula1>"normal,plan,available,shortage"</formula1>
    </dataValidation>
    <dataValidation type="list" sqref="F2:F99" xr:uid="{25BE03EB-DDD7-3740-A4C3-C7D0B10B1F13}">
      <formula1>"text,label-data"</formula1>
    </dataValidation>
    <dataValidation type="whole" sqref="E2:E183" xr:uid="{5032E589-E86C-3045-8EBB-4126369A3670}">
      <formula1>1</formula1>
      <formula2>2</formula2>
    </dataValidation>
    <dataValidation type="list" sqref="L2:L183" xr:uid="{1648F17A-C845-A64B-BB64-DBCF19F17E3A}">
      <formula1>"none,label,data,highlight,all"</formula1>
    </dataValidation>
    <dataValidation type="list" sqref="J2:J183" xr:uid="{42B81A1A-6D8B-8A45-AAF8-4FA8CACCC8F2}">
      <formula1>"none,plan,available,avai,shortage"</formula1>
    </dataValidation>
    <dataValidation type="list" sqref="F2:F134" xr:uid="{F897C3BB-4FD4-8849-946B-CC91BF966F35}">
      <formula1>"text,text-inline,label-data,grid-item"</formula1>
    </dataValidation>
    <dataValidation type="list" sqref="F2:F183" xr:uid="{355DC02F-3629-B34D-8F38-A66FCBDA2C01}">
      <formula1>"text,text-inline,label-data,grid-item,markdown"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G24" sqref="G24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95" t="s">
        <v>4</v>
      </c>
      <c r="D1" s="95" t="s">
        <v>5</v>
      </c>
      <c r="E1" s="95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96" t="s">
        <v>181</v>
      </c>
      <c r="P1" s="96" t="s">
        <v>182</v>
      </c>
      <c r="Q1" s="96" t="s">
        <v>183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141</v>
      </c>
      <c r="D4" s="7">
        <v>145</v>
      </c>
      <c r="E4" s="7">
        <v>142</v>
      </c>
      <c r="F4" s="7">
        <v>138</v>
      </c>
      <c r="G4" s="7">
        <v>146</v>
      </c>
      <c r="H4" s="7">
        <v>142</v>
      </c>
      <c r="I4" s="7">
        <v>138</v>
      </c>
      <c r="J4" s="7">
        <v>135</v>
      </c>
      <c r="K4" s="7">
        <v>133</v>
      </c>
      <c r="L4" s="7">
        <v>107</v>
      </c>
      <c r="M4" s="7">
        <v>107</v>
      </c>
      <c r="N4" s="7">
        <v>107</v>
      </c>
      <c r="O4" s="7">
        <v>88</v>
      </c>
      <c r="P4" s="7">
        <v>86</v>
      </c>
      <c r="Q4" s="7">
        <v>85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0.93810000000000004</v>
      </c>
      <c r="D6" s="18">
        <v>0.94910000000000005</v>
      </c>
      <c r="E6" s="18">
        <v>0.91320000000000001</v>
      </c>
      <c r="F6" s="18">
        <v>0.88749999999999996</v>
      </c>
      <c r="G6" s="18">
        <v>0.94450000000000001</v>
      </c>
      <c r="H6" s="18">
        <v>0.91469999999999996</v>
      </c>
      <c r="I6" s="18">
        <v>0.89880000000000004</v>
      </c>
      <c r="J6" s="18">
        <v>0.87380000000000002</v>
      </c>
      <c r="K6" s="18">
        <v>0.86299999999999999</v>
      </c>
      <c r="L6" s="18">
        <v>0.68879999999999997</v>
      </c>
      <c r="M6" s="18">
        <v>0.68320000000000003</v>
      </c>
      <c r="N6" s="18">
        <v>0.68100000000000005</v>
      </c>
      <c r="O6" s="18">
        <v>0.56059999999999999</v>
      </c>
      <c r="P6" s="18">
        <v>0.54600000000000004</v>
      </c>
      <c r="Q6" s="18">
        <v>0.54169999999999996</v>
      </c>
    </row>
    <row r="7" spans="1:17" x14ac:dyDescent="0.2">
      <c r="A7" s="16"/>
      <c r="B7" s="17" t="s">
        <v>24</v>
      </c>
      <c r="C7" s="19">
        <v>9</v>
      </c>
      <c r="D7" s="19">
        <v>8</v>
      </c>
      <c r="E7" s="19">
        <v>13</v>
      </c>
      <c r="F7" s="19">
        <v>17</v>
      </c>
      <c r="G7" s="19">
        <v>9</v>
      </c>
      <c r="H7" s="19">
        <v>13</v>
      </c>
      <c r="I7" s="19">
        <v>16</v>
      </c>
      <c r="J7" s="19">
        <v>19</v>
      </c>
      <c r="K7" s="19">
        <v>21</v>
      </c>
      <c r="L7" s="19">
        <v>49</v>
      </c>
      <c r="M7" s="19">
        <v>50</v>
      </c>
      <c r="N7" s="19">
        <v>50</v>
      </c>
      <c r="O7" s="19">
        <v>69</v>
      </c>
      <c r="P7" s="19">
        <v>71</v>
      </c>
      <c r="Q7" s="19">
        <v>72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111</v>
      </c>
      <c r="E11" s="7">
        <v>107</v>
      </c>
      <c r="F11" s="7">
        <v>104</v>
      </c>
      <c r="G11" s="7">
        <v>107</v>
      </c>
      <c r="H11" s="7">
        <v>103</v>
      </c>
      <c r="I11" s="7">
        <v>102</v>
      </c>
      <c r="J11" s="7">
        <v>100</v>
      </c>
      <c r="K11" s="7">
        <v>99</v>
      </c>
      <c r="L11" s="7">
        <v>85</v>
      </c>
      <c r="M11" s="7">
        <v>85</v>
      </c>
      <c r="N11" s="7">
        <v>84</v>
      </c>
      <c r="O11" s="7">
        <v>75</v>
      </c>
      <c r="P11" s="7">
        <v>73</v>
      </c>
      <c r="Q11" s="7">
        <v>72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65" t="s">
        <v>22</v>
      </c>
      <c r="B22" s="66" t="s">
        <v>123</v>
      </c>
      <c r="C22" s="67">
        <v>11</v>
      </c>
      <c r="D22" s="67">
        <v>11</v>
      </c>
      <c r="E22" s="67">
        <v>11</v>
      </c>
      <c r="F22" s="67">
        <v>11</v>
      </c>
      <c r="G22" s="6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65" t="s">
        <v>22</v>
      </c>
      <c r="B23" s="66" t="s">
        <v>124</v>
      </c>
      <c r="C23" s="67">
        <v>126.8</v>
      </c>
      <c r="D23" s="67">
        <v>132.74</v>
      </c>
      <c r="E23" s="67">
        <v>132.78</v>
      </c>
      <c r="F23" s="67">
        <v>66.14</v>
      </c>
      <c r="G23" s="67"/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184</v>
      </c>
      <c r="H31" s="24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142</v>
      </c>
      <c r="D34" s="20">
        <v>142</v>
      </c>
      <c r="E34" s="20">
        <v>135</v>
      </c>
      <c r="F34" s="20">
        <v>107</v>
      </c>
      <c r="G34" s="20">
        <v>86</v>
      </c>
      <c r="H34" s="20"/>
    </row>
    <row r="35" spans="1:8" x14ac:dyDescent="0.2">
      <c r="A35" s="16"/>
      <c r="B35" s="7"/>
      <c r="C35" s="27">
        <v>6.6699999999999995E-2</v>
      </c>
      <c r="D35" s="27">
        <v>8.4400000000000003E-2</v>
      </c>
      <c r="E35" s="27">
        <v>0.12139999999999999</v>
      </c>
      <c r="F35" s="27">
        <v>0.31569999999999998</v>
      </c>
      <c r="G35" s="27">
        <v>0.4506</v>
      </c>
      <c r="H35" s="7"/>
    </row>
    <row r="36" spans="1:8" x14ac:dyDescent="0.2">
      <c r="A36" s="7"/>
      <c r="B36" s="17" t="s">
        <v>23</v>
      </c>
      <c r="C36" s="18">
        <v>0.93330000000000002</v>
      </c>
      <c r="D36" s="18">
        <v>0.91559999999999997</v>
      </c>
      <c r="E36" s="18">
        <v>0.87860000000000005</v>
      </c>
      <c r="F36" s="18">
        <v>0.68430000000000002</v>
      </c>
      <c r="G36" s="18">
        <v>0.5494</v>
      </c>
      <c r="H36" s="19"/>
    </row>
    <row r="37" spans="1:8" x14ac:dyDescent="0.2">
      <c r="A37" s="16"/>
      <c r="B37" s="17" t="s">
        <v>24</v>
      </c>
      <c r="C37" s="19">
        <v>10</v>
      </c>
      <c r="D37" s="19">
        <v>13</v>
      </c>
      <c r="E37" s="19">
        <v>19</v>
      </c>
      <c r="F37" s="19">
        <v>30</v>
      </c>
      <c r="G37" s="19">
        <v>71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110</v>
      </c>
      <c r="D41" s="20">
        <v>105</v>
      </c>
      <c r="E41" s="20">
        <v>101</v>
      </c>
      <c r="F41" s="20">
        <v>85</v>
      </c>
      <c r="G41" s="20">
        <v>73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7" workbookViewId="0">
      <selection activeCell="B165" sqref="B165:M16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141</v>
      </c>
      <c r="C4">
        <f>IF(ALL!D4&gt;0,ALL!D4,"")</f>
        <v>145</v>
      </c>
      <c r="D4">
        <f>IF(ALL!E4&gt;0,ALL!E4,"")</f>
        <v>142</v>
      </c>
      <c r="E4">
        <f>IF(ALL!F4&gt;0,ALL!F4,"")</f>
        <v>138</v>
      </c>
      <c r="F4">
        <f>IF(ALL!G4&gt;0,ALL!G4,"")</f>
        <v>146</v>
      </c>
      <c r="G4">
        <f>IF(ALL!H4&gt;0,ALL!H4,"")</f>
        <v>142</v>
      </c>
      <c r="H4">
        <f>IF(ALL!I4&gt;0,ALL!I4,"")</f>
        <v>138</v>
      </c>
      <c r="I4">
        <f>IF(ALL!J4&gt;0,ALL!J4,"")</f>
        <v>135</v>
      </c>
      <c r="J4">
        <f>IF(ALL!K4&gt;0,ALL!K4,"")</f>
        <v>133</v>
      </c>
      <c r="K4">
        <f>IF(ALL!L4&gt;0,ALL!L4,"")</f>
        <v>107</v>
      </c>
      <c r="L4">
        <f>IF(ALL!M4&gt;0,ALL!M4,"")</f>
        <v>107</v>
      </c>
      <c r="M4">
        <f>IF(ALL!N4&gt;0,ALL!N4,"")</f>
        <v>107</v>
      </c>
      <c r="N4">
        <f>IF(ALL!O4&gt;0,ALL!O4,"")</f>
        <v>88</v>
      </c>
      <c r="O4">
        <f>IF(ALL!P4&gt;0,ALL!P4,"")</f>
        <v>86</v>
      </c>
      <c r="P4">
        <f>IF(ALL!Q4&gt;0,ALL!Q4,"")</f>
        <v>85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111</v>
      </c>
      <c r="D5">
        <f>IF(ALL!E11&gt;0,ALL!E11,"")</f>
        <v>107</v>
      </c>
      <c r="E5">
        <f>IF(ALL!F11&gt;0,ALL!F11,"")</f>
        <v>104</v>
      </c>
      <c r="F5">
        <f>IF(ALL!G11&gt;0,ALL!G11,"")</f>
        <v>107</v>
      </c>
      <c r="G5">
        <f>IF(ALL!H11&gt;0,ALL!H11,"")</f>
        <v>103</v>
      </c>
      <c r="H5">
        <f>IF(ALL!I11&gt;0,ALL!I11,"")</f>
        <v>102</v>
      </c>
      <c r="I5">
        <f>IF(ALL!J11&gt;0,ALL!J11,"")</f>
        <v>100</v>
      </c>
      <c r="J5">
        <f>IF(ALL!K11&gt;0,ALL!K11,"")</f>
        <v>99</v>
      </c>
      <c r="K5">
        <f>IF(ALL!L11&gt;0,ALL!L11,"")</f>
        <v>85</v>
      </c>
      <c r="L5">
        <f>IF(ALL!M11&gt;0,ALL!M11,"")</f>
        <v>85</v>
      </c>
      <c r="M5">
        <f>IF(ALL!N11&gt;0,ALL!N11,"")</f>
        <v>84</v>
      </c>
      <c r="N5">
        <f>IF(ALL!O11&gt;0,ALL!O11,"")</f>
        <v>75</v>
      </c>
      <c r="O5">
        <f>IF(ALL!P11&gt;0,ALL!P11,"")</f>
        <v>73</v>
      </c>
      <c r="P5">
        <f>IF(ALL!Q11&gt;0,ALL!Q11,"")</f>
        <v>72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20</v>
      </c>
      <c r="G7">
        <f>IF(ALL!H19&gt;0,ALL!H19,"")</f>
        <v>20</v>
      </c>
      <c r="H7">
        <f>IF(ALL!I19&gt;0,ALL!I19,"")</f>
        <v>18</v>
      </c>
      <c r="I7">
        <f>IF(ALL!J19&gt;0,ALL!J19,"")</f>
        <v>16</v>
      </c>
      <c r="J7">
        <f>IF(ALL!K19&gt;0,ALL!K19,"")</f>
        <v>16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111</v>
      </c>
      <c r="D14">
        <f>IF(ALL!E11&gt;0,ALL!E11,"")</f>
        <v>107</v>
      </c>
      <c r="E14">
        <f>IF(ALL!F11&gt;0,ALL!F11,"")</f>
        <v>104</v>
      </c>
      <c r="F14">
        <f>IF(ALL!G11&gt;0,ALL!G11,"")</f>
        <v>107</v>
      </c>
      <c r="G14">
        <f>IF(ALL!H11&gt;0,ALL!H11,"")</f>
        <v>103</v>
      </c>
      <c r="H14">
        <f>IF(ALL!I11&gt;0,ALL!I11,"")</f>
        <v>102</v>
      </c>
      <c r="I14">
        <f>IF(ALL!J11&gt;0,ALL!J11,"")</f>
        <v>100</v>
      </c>
      <c r="J14">
        <f>IF(ALL!K11&gt;0,ALL!K11,"")</f>
        <v>99</v>
      </c>
      <c r="K14">
        <f>IF(ALL!L11&gt;0,ALL!L11,"")</f>
        <v>85</v>
      </c>
      <c r="L14">
        <f>IF(ALL!M11&gt;0,ALL!M11,"")</f>
        <v>85</v>
      </c>
      <c r="M14">
        <f>IF(ALL!N11&gt;0,ALL!N11,"")</f>
        <v>84</v>
      </c>
      <c r="N14">
        <f>IF(ALL!O11&gt;0,ALL!O11,"")</f>
        <v>75</v>
      </c>
      <c r="O14">
        <f>IF(ALL!P11&gt;0,ALL!P11,"")</f>
        <v>73</v>
      </c>
      <c r="P14">
        <f>IF(ALL!Q11&gt;0,ALL!Q11,"")</f>
        <v>72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20</v>
      </c>
      <c r="G34">
        <f>IF(ALL!H19&gt;0,ALL!H19,"")</f>
        <v>20</v>
      </c>
      <c r="H34">
        <f>IF(ALL!I19&gt;0,ALL!I19,"")</f>
        <v>18</v>
      </c>
      <c r="I34">
        <f>IF(ALL!J19&gt;0,ALL!J19,"")</f>
        <v>16</v>
      </c>
      <c r="J34">
        <f>IF(ALL!K19&gt;0,ALL!K19,"")</f>
        <v>16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142</v>
      </c>
      <c r="C44">
        <f>IF(ALL!D34&gt;0,ALL!D34,"")</f>
        <v>142</v>
      </c>
      <c r="D44">
        <f>IF(ALL!E34&gt;0,ALL!E34,"")</f>
        <v>135</v>
      </c>
      <c r="E44">
        <f>IF(ALL!F34&gt;0,ALL!F34,"")</f>
        <v>107</v>
      </c>
      <c r="F44">
        <f>IF(ALL!G34&gt;0,ALL!G34,"")</f>
        <v>86</v>
      </c>
    </row>
    <row r="45" spans="1:16" x14ac:dyDescent="0.2">
      <c r="A45" t="str">
        <f>IF(ALL!B41&gt;0,ALL!B41,"")</f>
        <v>PAYROLL</v>
      </c>
      <c r="B45">
        <f>IF(ALL!C41&gt;0,ALL!C41,"")</f>
        <v>110</v>
      </c>
      <c r="C45">
        <f>IF(ALL!D41&gt;0,ALL!D41,"")</f>
        <v>105</v>
      </c>
      <c r="D45">
        <f>IF(ALL!E41&gt;0,ALL!E41,"")</f>
        <v>101</v>
      </c>
      <c r="E45">
        <f>IF(ALL!F41&gt;0,ALL!F41,"")</f>
        <v>85</v>
      </c>
      <c r="F45">
        <f>IF(ALL!G41&gt;0,ALL!G41,"")</f>
        <v>73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19</v>
      </c>
      <c r="D47">
        <f>IF(ALL!E49&gt;0,ALL!E49,"")</f>
        <v>17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93.81</v>
      </c>
      <c r="C152">
        <f>ALL!D6*100</f>
        <v>94.910000000000011</v>
      </c>
      <c r="D152">
        <f>ALL!E6*100</f>
        <v>91.320000000000007</v>
      </c>
      <c r="E152">
        <f>ALL!F6*100</f>
        <v>88.75</v>
      </c>
      <c r="F152">
        <f>ALL!G6*100</f>
        <v>94.45</v>
      </c>
      <c r="G152">
        <f>ALL!H6*100</f>
        <v>91.47</v>
      </c>
      <c r="H152">
        <f>ALL!I6*100</f>
        <v>89.88000000000001</v>
      </c>
      <c r="I152">
        <f>ALL!J6*100</f>
        <v>87.38</v>
      </c>
      <c r="J152">
        <f>ALL!K6*100</f>
        <v>86.3</v>
      </c>
      <c r="K152">
        <f>ALL!L6*100</f>
        <v>68.88</v>
      </c>
      <c r="L152">
        <f>ALL!M6*100</f>
        <v>68.320000000000007</v>
      </c>
      <c r="M152">
        <f>ALL!N6*100</f>
        <v>68.100000000000009</v>
      </c>
      <c r="N152">
        <f>ALL!O6*100</f>
        <v>56.06</v>
      </c>
      <c r="O152">
        <f>ALL!P6*100</f>
        <v>54.6</v>
      </c>
      <c r="P152">
        <f>ALL!Q6*100</f>
        <v>54.169999999999995</v>
      </c>
    </row>
    <row r="153" spans="1:16" x14ac:dyDescent="0.2">
      <c r="A153" t="str">
        <f>ALL!B7</f>
        <v>Available FTE</v>
      </c>
      <c r="B153">
        <f>ALL!C7</f>
        <v>9</v>
      </c>
      <c r="C153">
        <f>ALL!D7</f>
        <v>8</v>
      </c>
      <c r="D153">
        <f>ALL!E7</f>
        <v>13</v>
      </c>
      <c r="E153">
        <f>ALL!F7</f>
        <v>17</v>
      </c>
      <c r="F153">
        <f>ALL!G7</f>
        <v>9</v>
      </c>
      <c r="G153">
        <f>ALL!H7</f>
        <v>13</v>
      </c>
      <c r="H153">
        <f>ALL!I7</f>
        <v>16</v>
      </c>
      <c r="I153">
        <f>ALL!J7</f>
        <v>19</v>
      </c>
      <c r="J153">
        <f>ALL!K7</f>
        <v>21</v>
      </c>
      <c r="K153">
        <f>ALL!L7</f>
        <v>49</v>
      </c>
      <c r="L153">
        <f>ALL!M7</f>
        <v>50</v>
      </c>
      <c r="M153">
        <f>ALL!N7</f>
        <v>50</v>
      </c>
      <c r="N153">
        <f>ALL!O7</f>
        <v>69</v>
      </c>
      <c r="O153">
        <f>ALL!P7</f>
        <v>71</v>
      </c>
      <c r="P153">
        <f>ALL!Q7</f>
        <v>72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93.33</v>
      </c>
      <c r="C156">
        <f>ALL!D36*100</f>
        <v>91.56</v>
      </c>
      <c r="D156">
        <f>ALL!E36*100</f>
        <v>87.86</v>
      </c>
      <c r="E156">
        <f>ALL!F36*100</f>
        <v>68.430000000000007</v>
      </c>
      <c r="F156">
        <f>ALL!G36*100</f>
        <v>54.94</v>
      </c>
    </row>
    <row r="157" spans="1:16" x14ac:dyDescent="0.2">
      <c r="A157" t="str">
        <f>ALL!B7</f>
        <v>Available FTE</v>
      </c>
      <c r="B157">
        <f>ALL!C37</f>
        <v>10</v>
      </c>
      <c r="C157">
        <f>ALL!D37</f>
        <v>13</v>
      </c>
      <c r="D157">
        <f>ALL!E37</f>
        <v>19</v>
      </c>
      <c r="E157">
        <f>ALL!F37</f>
        <v>30</v>
      </c>
      <c r="F157">
        <f>ALL!G37</f>
        <v>71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138</v>
      </c>
      <c r="F163">
        <f t="shared" si="1"/>
        <v>146</v>
      </c>
      <c r="G163">
        <f t="shared" si="1"/>
        <v>142</v>
      </c>
      <c r="H163">
        <f t="shared" si="1"/>
        <v>138</v>
      </c>
      <c r="I163">
        <f t="shared" si="1"/>
        <v>135</v>
      </c>
      <c r="J163">
        <f t="shared" si="1"/>
        <v>133</v>
      </c>
      <c r="K163">
        <f t="shared" si="1"/>
        <v>107</v>
      </c>
      <c r="L163">
        <f t="shared" si="1"/>
        <v>107</v>
      </c>
      <c r="M163">
        <f t="shared" si="1"/>
        <v>107</v>
      </c>
      <c r="N163">
        <f t="shared" si="1"/>
        <v>88</v>
      </c>
      <c r="O163">
        <f t="shared" si="1"/>
        <v>86</v>
      </c>
      <c r="P163">
        <f t="shared" si="1"/>
        <v>85</v>
      </c>
    </row>
    <row r="164" spans="1:16" x14ac:dyDescent="0.2">
      <c r="A164" t="s">
        <v>122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9" t="s">
        <v>199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9"/>
      <c r="O165" s="79"/>
      <c r="P165" s="7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" activePane="bottomLeft" state="frozen"/>
      <selection pane="bottomLeft" activeCell="I23" sqref="I23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95" t="s">
        <v>4</v>
      </c>
      <c r="D1" s="95" t="s">
        <v>5</v>
      </c>
      <c r="E1" s="95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96" t="s">
        <v>181</v>
      </c>
      <c r="P1" s="96" t="s">
        <v>182</v>
      </c>
      <c r="Q1" s="96" t="s">
        <v>183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105</v>
      </c>
      <c r="D4" s="7">
        <v>110</v>
      </c>
      <c r="E4" s="7">
        <v>107</v>
      </c>
      <c r="F4" s="7">
        <v>104</v>
      </c>
      <c r="G4" s="7">
        <v>113</v>
      </c>
      <c r="H4" s="7">
        <v>109</v>
      </c>
      <c r="I4" s="7">
        <v>106</v>
      </c>
      <c r="J4" s="7">
        <v>102</v>
      </c>
      <c r="K4" s="7">
        <v>101</v>
      </c>
      <c r="L4" s="7">
        <v>77</v>
      </c>
      <c r="M4" s="7">
        <v>76</v>
      </c>
      <c r="N4" s="7">
        <v>76</v>
      </c>
      <c r="O4" s="7">
        <v>59</v>
      </c>
      <c r="P4" s="7">
        <v>56</v>
      </c>
      <c r="Q4" s="7">
        <v>56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0.94799999999999995</v>
      </c>
      <c r="D6" s="18">
        <v>0.9677</v>
      </c>
      <c r="E6" s="18">
        <v>0.92479999999999996</v>
      </c>
      <c r="F6" s="18">
        <v>0.87990000000000002</v>
      </c>
      <c r="G6" s="18">
        <v>0.95399999999999996</v>
      </c>
      <c r="H6" s="18">
        <v>0.92249999999999999</v>
      </c>
      <c r="I6" s="18">
        <v>0.8972</v>
      </c>
      <c r="J6" s="18">
        <v>0.8649</v>
      </c>
      <c r="K6" s="18">
        <v>0.85170000000000001</v>
      </c>
      <c r="L6" s="18">
        <v>0.6492</v>
      </c>
      <c r="M6" s="18">
        <v>0.64029999999999998</v>
      </c>
      <c r="N6" s="18">
        <v>0.64390000000000003</v>
      </c>
      <c r="O6" s="18">
        <v>0.49630000000000002</v>
      </c>
      <c r="P6" s="18">
        <v>0.47810000000000002</v>
      </c>
      <c r="Q6" s="18">
        <v>0.4723</v>
      </c>
    </row>
    <row r="7" spans="1:17" x14ac:dyDescent="0.2">
      <c r="A7" s="16"/>
      <c r="B7" s="17" t="s">
        <v>24</v>
      </c>
      <c r="C7" s="19">
        <v>6</v>
      </c>
      <c r="D7" s="19">
        <v>4</v>
      </c>
      <c r="E7" s="19">
        <v>9</v>
      </c>
      <c r="F7" s="19">
        <v>14</v>
      </c>
      <c r="G7" s="19">
        <v>5</v>
      </c>
      <c r="H7" s="19">
        <v>9</v>
      </c>
      <c r="I7" s="19">
        <v>12</v>
      </c>
      <c r="J7" s="19">
        <v>16</v>
      </c>
      <c r="K7" s="19">
        <v>17</v>
      </c>
      <c r="L7" s="19">
        <v>41</v>
      </c>
      <c r="M7" s="19">
        <v>42</v>
      </c>
      <c r="N7" s="19">
        <v>42</v>
      </c>
      <c r="O7" s="19">
        <v>59</v>
      </c>
      <c r="P7" s="19">
        <v>62</v>
      </c>
      <c r="Q7" s="19">
        <v>62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77</v>
      </c>
      <c r="D11" s="7">
        <v>78</v>
      </c>
      <c r="E11" s="7">
        <v>75</v>
      </c>
      <c r="F11" s="7">
        <v>72</v>
      </c>
      <c r="G11" s="7">
        <v>75</v>
      </c>
      <c r="H11" s="7">
        <v>72</v>
      </c>
      <c r="I11" s="7">
        <v>72</v>
      </c>
      <c r="J11" s="7">
        <v>70</v>
      </c>
      <c r="K11" s="7">
        <v>69</v>
      </c>
      <c r="L11" s="7">
        <v>56</v>
      </c>
      <c r="M11" s="7">
        <v>55</v>
      </c>
      <c r="N11" s="7">
        <v>56</v>
      </c>
      <c r="O11" s="7">
        <v>48</v>
      </c>
      <c r="P11" s="7">
        <v>45</v>
      </c>
      <c r="Q11" s="7">
        <v>45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65" t="s">
        <v>22</v>
      </c>
      <c r="B22" s="66" t="s">
        <v>123</v>
      </c>
      <c r="C22" s="67">
        <v>6</v>
      </c>
      <c r="D22" s="67">
        <v>6</v>
      </c>
      <c r="E22" s="67">
        <v>6</v>
      </c>
      <c r="F22" s="67">
        <v>6</v>
      </c>
      <c r="G22" s="6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65" t="s">
        <v>22</v>
      </c>
      <c r="B23" s="66" t="s">
        <v>124</v>
      </c>
      <c r="C23" s="67">
        <v>94.74</v>
      </c>
      <c r="D23" s="67">
        <v>99.94</v>
      </c>
      <c r="E23" s="67">
        <v>100.63</v>
      </c>
      <c r="F23" s="67">
        <v>50.11</v>
      </c>
      <c r="G23" s="67"/>
    </row>
    <row r="31" spans="1:17" x14ac:dyDescent="0.2">
      <c r="A31" s="16"/>
      <c r="B31" s="1" t="s">
        <v>0</v>
      </c>
      <c r="C31" s="21" t="s">
        <v>25</v>
      </c>
      <c r="D31" s="22" t="s">
        <v>26</v>
      </c>
      <c r="E31" s="22" t="s">
        <v>27</v>
      </c>
      <c r="F31" s="22" t="s">
        <v>28</v>
      </c>
      <c r="G31" s="23" t="s">
        <v>29</v>
      </c>
      <c r="H31" s="24"/>
    </row>
    <row r="32" spans="1:17" x14ac:dyDescent="0.2">
      <c r="A32" s="10" t="s">
        <v>22</v>
      </c>
      <c r="B32" s="6" t="s">
        <v>16</v>
      </c>
      <c r="C32" s="25">
        <v>108</v>
      </c>
      <c r="D32" s="20">
        <v>111</v>
      </c>
      <c r="E32" s="20">
        <v>111</v>
      </c>
      <c r="F32" s="20">
        <v>111</v>
      </c>
      <c r="G32" s="20">
        <v>111</v>
      </c>
      <c r="H32" s="20"/>
    </row>
    <row r="33" spans="1:8" x14ac:dyDescent="0.2">
      <c r="A33" s="11" t="s">
        <v>22</v>
      </c>
      <c r="B33" s="8" t="s">
        <v>17</v>
      </c>
      <c r="C33" s="25">
        <v>110</v>
      </c>
      <c r="D33" s="20">
        <v>110</v>
      </c>
      <c r="E33" s="20">
        <v>110</v>
      </c>
      <c r="F33" s="20">
        <v>110</v>
      </c>
      <c r="G33" s="20">
        <v>110</v>
      </c>
      <c r="H33" s="20"/>
    </row>
    <row r="34" spans="1:8" x14ac:dyDescent="0.2">
      <c r="A34" s="12" t="s">
        <v>22</v>
      </c>
      <c r="B34" s="9" t="s">
        <v>18</v>
      </c>
      <c r="C34" s="25">
        <v>104</v>
      </c>
      <c r="D34" s="20">
        <v>108</v>
      </c>
      <c r="E34" s="20">
        <v>107</v>
      </c>
      <c r="F34" s="20">
        <v>100</v>
      </c>
      <c r="G34" s="20">
        <v>78</v>
      </c>
      <c r="H34" s="20"/>
    </row>
    <row r="35" spans="1:8" x14ac:dyDescent="0.2">
      <c r="A35" s="16"/>
      <c r="B35" s="7"/>
      <c r="C35" s="26">
        <v>3.5799999999999998E-2</v>
      </c>
      <c r="D35" s="27">
        <v>2.9399999999999999E-2</v>
      </c>
      <c r="E35" s="27">
        <v>3.1899999999999998E-2</v>
      </c>
      <c r="F35" s="27">
        <v>0.1032</v>
      </c>
      <c r="G35" s="27">
        <v>0.29670000000000002</v>
      </c>
      <c r="H35" s="7"/>
    </row>
    <row r="36" spans="1:8" x14ac:dyDescent="0.2">
      <c r="A36" s="7"/>
      <c r="B36" s="17" t="s">
        <v>23</v>
      </c>
      <c r="C36" s="28">
        <v>0.96419999999999995</v>
      </c>
      <c r="D36" s="18">
        <v>0.97060000000000002</v>
      </c>
      <c r="E36" s="18">
        <v>0.96809999999999996</v>
      </c>
      <c r="F36" s="18">
        <v>0.89680000000000004</v>
      </c>
      <c r="G36" s="18">
        <v>0.70330000000000004</v>
      </c>
      <c r="H36" s="19"/>
    </row>
    <row r="37" spans="1:8" x14ac:dyDescent="0.2">
      <c r="A37" s="16"/>
      <c r="B37" s="17" t="s">
        <v>24</v>
      </c>
      <c r="C37" s="29">
        <v>4</v>
      </c>
      <c r="D37" s="19">
        <v>3</v>
      </c>
      <c r="E37" s="19">
        <v>4</v>
      </c>
      <c r="F37" s="19">
        <v>11</v>
      </c>
      <c r="G37" s="19">
        <v>19</v>
      </c>
      <c r="H37" s="19"/>
    </row>
    <row r="38" spans="1:8" x14ac:dyDescent="0.2">
      <c r="A38" s="16"/>
      <c r="B38" s="7"/>
      <c r="C38" s="3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5">
        <v>81</v>
      </c>
      <c r="D39" s="20">
        <v>80</v>
      </c>
      <c r="E39" s="20">
        <v>80</v>
      </c>
      <c r="F39" s="20">
        <v>80</v>
      </c>
      <c r="G39" s="20">
        <v>80</v>
      </c>
      <c r="H39" s="20"/>
    </row>
    <row r="40" spans="1:8" x14ac:dyDescent="0.2">
      <c r="A40" s="8" t="s">
        <v>17</v>
      </c>
      <c r="B40" s="11" t="s">
        <v>19</v>
      </c>
      <c r="C40" s="25">
        <v>80</v>
      </c>
      <c r="D40" s="20">
        <v>80</v>
      </c>
      <c r="E40" s="20">
        <v>80</v>
      </c>
      <c r="F40" s="20">
        <v>80</v>
      </c>
      <c r="G40" s="20">
        <v>80</v>
      </c>
      <c r="H40" s="20"/>
    </row>
    <row r="41" spans="1:8" x14ac:dyDescent="0.2">
      <c r="A41" s="15" t="s">
        <v>18</v>
      </c>
      <c r="B41" s="12" t="s">
        <v>19</v>
      </c>
      <c r="C41" s="25">
        <v>77</v>
      </c>
      <c r="D41" s="20">
        <v>78</v>
      </c>
      <c r="E41" s="20">
        <v>75</v>
      </c>
      <c r="F41" s="20">
        <v>70</v>
      </c>
      <c r="G41" s="20">
        <v>57</v>
      </c>
      <c r="H41" s="20"/>
    </row>
    <row r="42" spans="1:8" x14ac:dyDescent="0.2">
      <c r="A42" s="7"/>
      <c r="B42" s="16"/>
      <c r="C42" s="25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5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5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5">
        <v>19</v>
      </c>
      <c r="D45" s="20">
        <v>19</v>
      </c>
      <c r="E45" s="20">
        <v>17</v>
      </c>
      <c r="F45" s="20">
        <v>17</v>
      </c>
      <c r="G45" s="20">
        <v>15</v>
      </c>
      <c r="H45" s="20"/>
    </row>
    <row r="46" spans="1:8" x14ac:dyDescent="0.2">
      <c r="A46" s="7"/>
      <c r="B46" s="16"/>
      <c r="C46" s="25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5">
        <v>8</v>
      </c>
      <c r="D47" s="20">
        <v>12</v>
      </c>
      <c r="E47" s="20">
        <v>12</v>
      </c>
      <c r="F47" s="20">
        <v>12</v>
      </c>
      <c r="G47" s="20">
        <v>12</v>
      </c>
      <c r="H47" s="20"/>
    </row>
    <row r="48" spans="1:8" x14ac:dyDescent="0.2">
      <c r="A48" s="8" t="s">
        <v>17</v>
      </c>
      <c r="B48" s="11" t="s">
        <v>21</v>
      </c>
      <c r="C48" s="25">
        <v>11</v>
      </c>
      <c r="D48" s="20">
        <v>11</v>
      </c>
      <c r="E48" s="20">
        <v>11</v>
      </c>
      <c r="F48" s="20">
        <v>11</v>
      </c>
      <c r="G48" s="20">
        <v>11</v>
      </c>
      <c r="H48" s="20"/>
    </row>
    <row r="49" spans="1:8" x14ac:dyDescent="0.2">
      <c r="A49" s="15" t="s">
        <v>18</v>
      </c>
      <c r="B49" s="12" t="s">
        <v>21</v>
      </c>
      <c r="C49" s="25">
        <v>8</v>
      </c>
      <c r="D49" s="20">
        <v>12</v>
      </c>
      <c r="E49" s="13">
        <v>15</v>
      </c>
      <c r="F49" s="13">
        <v>12</v>
      </c>
      <c r="G49" s="20">
        <v>7</v>
      </c>
      <c r="H49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7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105</v>
      </c>
      <c r="C4">
        <f>IF(DV!D4&gt;0,DV!D4,"")</f>
        <v>110</v>
      </c>
      <c r="D4">
        <f>IF(DV!E4&gt;0,DV!E4,"")</f>
        <v>107</v>
      </c>
      <c r="E4">
        <f>IF(DV!F4&gt;0,DV!F4,"")</f>
        <v>104</v>
      </c>
      <c r="F4">
        <f>IF(DV!G4&gt;0,DV!G4,"")</f>
        <v>113</v>
      </c>
      <c r="G4">
        <f>IF(DV!H4&gt;0,DV!H4,"")</f>
        <v>109</v>
      </c>
      <c r="H4">
        <f>IF(DV!I4&gt;0,DV!I4,"")</f>
        <v>106</v>
      </c>
      <c r="I4">
        <f>IF(DV!J4&gt;0,DV!J4,"")</f>
        <v>102</v>
      </c>
      <c r="J4">
        <f>IF(DV!K4&gt;0,DV!K4,"")</f>
        <v>101</v>
      </c>
      <c r="K4">
        <f>IF(DV!L4&gt;0,DV!L4,"")</f>
        <v>77</v>
      </c>
      <c r="L4">
        <f>IF(DV!M4&gt;0,DV!M4,"")</f>
        <v>76</v>
      </c>
      <c r="M4">
        <f>IF(DV!N4&gt;0,DV!N4,"")</f>
        <v>76</v>
      </c>
      <c r="N4">
        <f>IF(DV!O4&gt;0,DV!O4,"")</f>
        <v>59</v>
      </c>
      <c r="O4">
        <f>IF(DV!P4&gt;0,DV!P4,"")</f>
        <v>56</v>
      </c>
      <c r="P4">
        <f>IF(DV!Q4&gt;0,DV!Q4,"")</f>
        <v>56</v>
      </c>
    </row>
    <row r="5" spans="1:16" x14ac:dyDescent="0.2">
      <c r="A5" t="str">
        <f>IF(DV!B11&gt;0,DV!B11,"")</f>
        <v>PAYROLL</v>
      </c>
      <c r="B5">
        <f>IF(DV!C11&gt;0,DV!C11,"")</f>
        <v>77</v>
      </c>
      <c r="C5">
        <f>IF(DV!D11&gt;0,DV!D11,"")</f>
        <v>78</v>
      </c>
      <c r="D5">
        <f>IF(DV!E11&gt;0,DV!E11,"")</f>
        <v>75</v>
      </c>
      <c r="E5">
        <f>IF(DV!F11&gt;0,DV!F11,"")</f>
        <v>72</v>
      </c>
      <c r="F5">
        <f>IF(DV!G11&gt;0,DV!G11,"")</f>
        <v>75</v>
      </c>
      <c r="G5">
        <f>IF(DV!H11&gt;0,DV!H11,"")</f>
        <v>72</v>
      </c>
      <c r="H5">
        <f>IF(DV!I11&gt;0,DV!I11,"")</f>
        <v>72</v>
      </c>
      <c r="I5">
        <f>IF(DV!J11&gt;0,DV!J11,"")</f>
        <v>70</v>
      </c>
      <c r="J5">
        <f>IF(DV!K11&gt;0,DV!K11,"")</f>
        <v>69</v>
      </c>
      <c r="K5">
        <f>IF(DV!L11&gt;0,DV!L11,"")</f>
        <v>56</v>
      </c>
      <c r="L5">
        <f>IF(DV!M11&gt;0,DV!M11,"")</f>
        <v>55</v>
      </c>
      <c r="M5">
        <f>IF(DV!N11&gt;0,DV!N11,"")</f>
        <v>56</v>
      </c>
      <c r="N5">
        <f>IF(DV!O11&gt;0,DV!O11,"")</f>
        <v>48</v>
      </c>
      <c r="O5">
        <f>IF(DV!P11&gt;0,DV!P11,"")</f>
        <v>45</v>
      </c>
      <c r="P5">
        <f>IF(DV!Q11&gt;0,DV!Q11,"")</f>
        <v>45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20</v>
      </c>
      <c r="G7">
        <f>IF(DV!H19&gt;0,DV!H19,"")</f>
        <v>20</v>
      </c>
      <c r="H7">
        <f>IF(DV!I19&gt;0,DV!I19,"")</f>
        <v>18</v>
      </c>
      <c r="I7">
        <f>IF(DV!J19&gt;0,DV!J19,"")</f>
        <v>16</v>
      </c>
      <c r="J7">
        <f>IF(DV!K19&gt;0,DV!K19,"")</f>
        <v>16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77</v>
      </c>
      <c r="C14">
        <f>IF(DV!D11&gt;0,DV!D11,"")</f>
        <v>78</v>
      </c>
      <c r="D14">
        <f>IF(DV!E11&gt;0,DV!E11,"")</f>
        <v>75</v>
      </c>
      <c r="E14">
        <f>IF(DV!F11&gt;0,DV!F11,"")</f>
        <v>72</v>
      </c>
      <c r="F14">
        <f>IF(DV!G11&gt;0,DV!G11,"")</f>
        <v>75</v>
      </c>
      <c r="G14">
        <f>IF(DV!H11&gt;0,DV!H11,"")</f>
        <v>72</v>
      </c>
      <c r="H14">
        <f>IF(DV!I11&gt;0,DV!I11,"")</f>
        <v>72</v>
      </c>
      <c r="I14">
        <f>IF(DV!J11&gt;0,DV!J11,"")</f>
        <v>70</v>
      </c>
      <c r="J14">
        <f>IF(DV!K11&gt;0,DV!K11,"")</f>
        <v>69</v>
      </c>
      <c r="K14">
        <f>IF(DV!L11&gt;0,DV!L11,"")</f>
        <v>56</v>
      </c>
      <c r="L14">
        <f>IF(DV!M11&gt;0,DV!M11,"")</f>
        <v>55</v>
      </c>
      <c r="M14">
        <f>IF(DV!N11&gt;0,DV!N11,"")</f>
        <v>56</v>
      </c>
      <c r="N14">
        <f>IF(DV!O11&gt;0,DV!O11,"")</f>
        <v>48</v>
      </c>
      <c r="O14">
        <f>IF(DV!P11&gt;0,DV!P11,"")</f>
        <v>45</v>
      </c>
      <c r="P14">
        <f>IF(DV!Q11&gt;0,DV!Q11,"")</f>
        <v>45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20</v>
      </c>
      <c r="G34">
        <f>IF(DV!H19&gt;0,DV!H19,"")</f>
        <v>20</v>
      </c>
      <c r="H34">
        <f>IF(DV!I19&gt;0,DV!I19,"")</f>
        <v>18</v>
      </c>
      <c r="I34">
        <f>IF(DV!J19&gt;0,DV!J19,"")</f>
        <v>16</v>
      </c>
      <c r="J34">
        <f>IF(DV!K19&gt;0,DV!K19,"")</f>
        <v>16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Q1</v>
      </c>
      <c r="C41" t="str">
        <f>IF(DV!D31&gt;0,DV!D31,"")</f>
        <v>Q2</v>
      </c>
      <c r="D41" t="str">
        <f>IF(DV!E31&gt;0,DV!E31,"")</f>
        <v>Q3</v>
      </c>
      <c r="E41" t="str">
        <f>IF(DV!F31&gt;0,DV!F31,"")</f>
        <v>Q4</v>
      </c>
      <c r="F41" t="str">
        <f>IF(DV!G31&gt;0,DV!G31,"")</f>
        <v>Q1'27</v>
      </c>
    </row>
    <row r="42" spans="1:16" x14ac:dyDescent="0.2">
      <c r="A42" t="str">
        <f>IF(DV!B32&gt;0,DV!B32,"")</f>
        <v>Staff</v>
      </c>
      <c r="B42">
        <f>IF(DV!C32&gt;0,DV!C32,"")</f>
        <v>108</v>
      </c>
      <c r="C42">
        <f>IF(DV!D32&gt;0,DV!D32,"")</f>
        <v>111</v>
      </c>
      <c r="D42">
        <f>IF(DV!E32&gt;0,DV!E32,"")</f>
        <v>111</v>
      </c>
      <c r="E42">
        <f>IF(DV!F32&gt;0,DV!F32,"")</f>
        <v>111</v>
      </c>
      <c r="F42">
        <f>IF(DV!G32&gt;0,DV!G32,"")</f>
        <v>111</v>
      </c>
    </row>
    <row r="43" spans="1:16" x14ac:dyDescent="0.2">
      <c r="A43" t="str">
        <f>IF(DV!B33&gt;0,DV!B33,"")</f>
        <v>Staff AVG</v>
      </c>
      <c r="B43">
        <f>IF(DV!C33&gt;0,DV!C33,"")</f>
        <v>110</v>
      </c>
      <c r="C43">
        <f>IF(DV!D33&gt;0,DV!D33,"")</f>
        <v>110</v>
      </c>
      <c r="D43">
        <f>IF(DV!E33&gt;0,DV!E33,"")</f>
        <v>110</v>
      </c>
      <c r="E43">
        <f>IF(DV!F33&gt;0,DV!F33,"")</f>
        <v>110</v>
      </c>
      <c r="F43">
        <f>IF(DV!G33&gt;0,DV!G33,"")</f>
        <v>110</v>
      </c>
    </row>
    <row r="44" spans="1:16" x14ac:dyDescent="0.2">
      <c r="A44" t="str">
        <f>IF(DV!B34&gt;0,DV!B34,"")</f>
        <v>Plan</v>
      </c>
      <c r="B44">
        <f>IF(DV!C34&gt;0,DV!C34,"")</f>
        <v>104</v>
      </c>
      <c r="C44">
        <f>IF(DV!D34&gt;0,DV!D34,"")</f>
        <v>108</v>
      </c>
      <c r="D44">
        <f>IF(DV!E34&gt;0,DV!E34,"")</f>
        <v>107</v>
      </c>
      <c r="E44">
        <f>IF(DV!F34&gt;0,DV!F34,"")</f>
        <v>100</v>
      </c>
      <c r="F44">
        <f>IF(DV!G34&gt;0,DV!G34,"")</f>
        <v>78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78</v>
      </c>
      <c r="D45">
        <f>IF(DV!E41&gt;0,DV!E41,"")</f>
        <v>75</v>
      </c>
      <c r="E45">
        <f>IF(DV!F41&gt;0,DV!F41,"")</f>
        <v>70</v>
      </c>
      <c r="F45">
        <f>IF(DV!G41&gt;0,DV!G41,"")</f>
        <v>57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19</v>
      </c>
      <c r="D46">
        <f>IF(DV!E45&gt;0,DV!E45,"")</f>
        <v>17</v>
      </c>
      <c r="E46">
        <f>IF(DV!F45&gt;0,DV!F45,"")</f>
        <v>17</v>
      </c>
      <c r="F46">
        <f>IF(DV!G45&gt;0,DV!G45,"")</f>
        <v>15</v>
      </c>
    </row>
    <row r="47" spans="1:16" x14ac:dyDescent="0.2">
      <c r="A47" t="str">
        <f>IF(DV!B49&gt;0,DV!B49,"")</f>
        <v>OUTSOURCE</v>
      </c>
      <c r="B47">
        <f>IF(DV!C49&gt;0,DV!C49,"")</f>
        <v>8</v>
      </c>
      <c r="C47">
        <f>IF(DV!D49&gt;0,DV!D49,"")</f>
        <v>12</v>
      </c>
      <c r="D47">
        <f>IF(DV!E49&gt;0,DV!E49,"")</f>
        <v>15</v>
      </c>
      <c r="E47">
        <f>IF(DV!F49&gt;0,DV!F49,"")</f>
        <v>12</v>
      </c>
      <c r="F47">
        <f>IF(DV!G49&gt;0,DV!G49,"")</f>
        <v>7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94.8</v>
      </c>
      <c r="C152">
        <f>DV!D6*100</f>
        <v>96.77</v>
      </c>
      <c r="D152">
        <f>DV!E6*100</f>
        <v>92.47999999999999</v>
      </c>
      <c r="E152">
        <f>DV!F6*100</f>
        <v>87.99</v>
      </c>
      <c r="F152">
        <f>DV!G6*100</f>
        <v>95.399999999999991</v>
      </c>
      <c r="G152">
        <f>DV!H6*100</f>
        <v>92.25</v>
      </c>
      <c r="H152">
        <f>DV!I6*100</f>
        <v>89.72</v>
      </c>
      <c r="I152">
        <f>DV!J6*100</f>
        <v>86.49</v>
      </c>
      <c r="J152">
        <f>DV!K6*100</f>
        <v>85.17</v>
      </c>
      <c r="K152">
        <f>DV!L6*100</f>
        <v>64.92</v>
      </c>
      <c r="L152">
        <f>DV!M6*100</f>
        <v>64.03</v>
      </c>
      <c r="M152">
        <f>DV!N6*100</f>
        <v>64.39</v>
      </c>
      <c r="N152">
        <f>DV!O6*100</f>
        <v>49.63</v>
      </c>
      <c r="O152">
        <f>DV!P6*100</f>
        <v>47.81</v>
      </c>
      <c r="P152">
        <f>DV!Q6*100</f>
        <v>47.23</v>
      </c>
    </row>
    <row r="153" spans="1:16" x14ac:dyDescent="0.2">
      <c r="A153" t="str">
        <f>DV!B7</f>
        <v>Available FTE</v>
      </c>
      <c r="B153">
        <f>DV!C7</f>
        <v>6</v>
      </c>
      <c r="C153">
        <f>DV!D7</f>
        <v>4</v>
      </c>
      <c r="D153">
        <f>DV!E7</f>
        <v>9</v>
      </c>
      <c r="E153">
        <f>DV!F7</f>
        <v>14</v>
      </c>
      <c r="F153">
        <f>DV!G7</f>
        <v>5</v>
      </c>
      <c r="G153">
        <f>DV!H7</f>
        <v>9</v>
      </c>
      <c r="H153">
        <f>DV!I7</f>
        <v>12</v>
      </c>
      <c r="I153">
        <f>DV!J7</f>
        <v>16</v>
      </c>
      <c r="J153">
        <f>DV!K7</f>
        <v>17</v>
      </c>
      <c r="K153">
        <f>DV!L7</f>
        <v>41</v>
      </c>
      <c r="L153">
        <f>DV!M7</f>
        <v>42</v>
      </c>
      <c r="M153">
        <f>DV!N7</f>
        <v>42</v>
      </c>
      <c r="N153">
        <f>DV!O7</f>
        <v>59</v>
      </c>
      <c r="O153">
        <f>DV!P7</f>
        <v>62</v>
      </c>
      <c r="P153">
        <f>DV!Q7</f>
        <v>62</v>
      </c>
    </row>
    <row r="155" spans="1:16" x14ac:dyDescent="0.2">
      <c r="B155" t="str">
        <f>DV!C31</f>
        <v>Q1</v>
      </c>
      <c r="C155" t="str">
        <f>DV!D31</f>
        <v>Q2</v>
      </c>
      <c r="D155" t="str">
        <f>DV!E31</f>
        <v>Q3</v>
      </c>
      <c r="E155" t="str">
        <f>DV!F31</f>
        <v>Q4</v>
      </c>
      <c r="F155" t="str">
        <f>DV!G31</f>
        <v>Q1'27</v>
      </c>
    </row>
    <row r="156" spans="1:16" x14ac:dyDescent="0.2">
      <c r="A156" t="str">
        <f>DV!B6</f>
        <v>% Plan</v>
      </c>
      <c r="B156">
        <f>DV!C36*100</f>
        <v>96.419999999999987</v>
      </c>
      <c r="C156">
        <f>DV!D36*100</f>
        <v>97.06</v>
      </c>
      <c r="D156">
        <f>DV!E36*100</f>
        <v>96.81</v>
      </c>
      <c r="E156">
        <f>DV!F36*100</f>
        <v>89.68</v>
      </c>
      <c r="F156">
        <f>DV!G36*100</f>
        <v>70.33</v>
      </c>
    </row>
    <row r="157" spans="1:16" x14ac:dyDescent="0.2">
      <c r="A157" t="str">
        <f>DV!B7</f>
        <v>Available FTE</v>
      </c>
      <c r="B157">
        <f>DV!C37</f>
        <v>4</v>
      </c>
      <c r="C157">
        <f>DV!D37</f>
        <v>3</v>
      </c>
      <c r="D157">
        <f>DV!E37</f>
        <v>4</v>
      </c>
      <c r="E157">
        <f>DV!F37</f>
        <v>11</v>
      </c>
      <c r="F157">
        <f>DV!G37</f>
        <v>19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104</v>
      </c>
      <c r="F163">
        <f t="shared" si="1"/>
        <v>113</v>
      </c>
      <c r="G163">
        <f t="shared" si="1"/>
        <v>109</v>
      </c>
      <c r="H163">
        <f t="shared" si="1"/>
        <v>106</v>
      </c>
      <c r="I163">
        <f t="shared" si="1"/>
        <v>102</v>
      </c>
      <c r="J163">
        <f t="shared" si="1"/>
        <v>101</v>
      </c>
      <c r="K163">
        <f t="shared" si="1"/>
        <v>77</v>
      </c>
      <c r="L163">
        <f t="shared" si="1"/>
        <v>76</v>
      </c>
      <c r="M163">
        <f t="shared" si="1"/>
        <v>76</v>
      </c>
      <c r="N163">
        <f t="shared" si="1"/>
        <v>59</v>
      </c>
      <c r="O163">
        <f t="shared" si="1"/>
        <v>56</v>
      </c>
      <c r="P163">
        <f t="shared" si="1"/>
        <v>56</v>
      </c>
    </row>
    <row r="164" spans="1:16" x14ac:dyDescent="0.2">
      <c r="A164" t="s">
        <v>122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9" t="s">
        <v>199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9"/>
      <c r="O165" s="79"/>
      <c r="P165" s="7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9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95" t="s">
        <v>4</v>
      </c>
      <c r="D1" s="95" t="s">
        <v>5</v>
      </c>
      <c r="E1" s="95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96" t="s">
        <v>181</v>
      </c>
      <c r="P1" s="96" t="s">
        <v>182</v>
      </c>
      <c r="Q1" s="96" t="s">
        <v>183</v>
      </c>
    </row>
    <row r="2" spans="1:17" x14ac:dyDescent="0.2">
      <c r="A2" s="10" t="s">
        <v>31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31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31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30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30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184</v>
      </c>
    </row>
    <row r="32" spans="1:17" x14ac:dyDescent="0.2">
      <c r="A32" s="10" t="s">
        <v>31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31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31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7">
        <v>-4.02E-2</v>
      </c>
      <c r="D35" s="27">
        <v>0.1196</v>
      </c>
      <c r="E35" s="27">
        <v>0.1847</v>
      </c>
      <c r="F35" s="27">
        <v>0.24610000000000001</v>
      </c>
      <c r="G35" s="27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30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30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96" t="s">
        <v>181</v>
      </c>
      <c r="P61" s="96" t="s">
        <v>182</v>
      </c>
      <c r="Q61" s="96" t="s">
        <v>183</v>
      </c>
    </row>
    <row r="62" spans="1:17" x14ac:dyDescent="0.2">
      <c r="A62" s="11"/>
      <c r="B62" s="8" t="s">
        <v>16</v>
      </c>
      <c r="C62" s="33">
        <v>17</v>
      </c>
      <c r="D62" s="33">
        <v>17</v>
      </c>
      <c r="E62" s="33">
        <v>17</v>
      </c>
      <c r="F62" s="33">
        <v>17</v>
      </c>
      <c r="G62" s="33">
        <v>17</v>
      </c>
      <c r="H62" s="33">
        <v>17</v>
      </c>
      <c r="I62" s="33">
        <v>17</v>
      </c>
      <c r="J62" s="33">
        <v>17</v>
      </c>
      <c r="K62" s="33">
        <v>17</v>
      </c>
      <c r="L62" s="33">
        <v>17</v>
      </c>
      <c r="M62" s="33">
        <v>17</v>
      </c>
      <c r="N62" s="33">
        <v>17</v>
      </c>
      <c r="O62" s="33">
        <v>17</v>
      </c>
      <c r="P62" s="33">
        <v>17</v>
      </c>
      <c r="Q62" s="33">
        <v>17</v>
      </c>
    </row>
    <row r="63" spans="1:17" x14ac:dyDescent="0.2">
      <c r="A63" s="34"/>
      <c r="B63" s="35" t="s">
        <v>18</v>
      </c>
      <c r="C63" s="36">
        <v>17.45</v>
      </c>
      <c r="D63" s="36">
        <v>17.75</v>
      </c>
      <c r="E63" s="36">
        <v>17.850000000000001</v>
      </c>
      <c r="F63" s="36">
        <v>15.07</v>
      </c>
      <c r="G63" s="36">
        <v>15.42</v>
      </c>
      <c r="H63" s="36">
        <v>14.41</v>
      </c>
      <c r="I63" s="36">
        <v>13.96</v>
      </c>
      <c r="J63" s="36">
        <v>13.81</v>
      </c>
      <c r="K63" s="36">
        <v>13.81</v>
      </c>
      <c r="L63" s="36">
        <v>12.85</v>
      </c>
      <c r="M63" s="36">
        <v>12.8</v>
      </c>
      <c r="N63" s="36">
        <v>12.8</v>
      </c>
      <c r="O63" s="36">
        <v>11.8</v>
      </c>
      <c r="P63" s="36">
        <v>11.8</v>
      </c>
      <c r="Q63" s="36">
        <v>11.8</v>
      </c>
    </row>
    <row r="64" spans="1:17" x14ac:dyDescent="0.2">
      <c r="A64" s="14" t="s">
        <v>36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7" t="s">
        <v>36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37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7" t="s">
        <v>37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38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7" t="s">
        <v>38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3" workbookViewId="0">
      <selection activeCell="F66" sqref="F66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5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63" customFormat="1" x14ac:dyDescent="0.2">
      <c r="A54" s="63" t="s">
        <v>24</v>
      </c>
      <c r="B54" s="64">
        <f>B52-B53</f>
        <v>-0.44999999999999929</v>
      </c>
      <c r="C54" s="64">
        <f t="shared" ref="C54:P54" si="0">C52-C53</f>
        <v>-0.75</v>
      </c>
      <c r="D54" s="64">
        <f t="shared" si="0"/>
        <v>-0.84999999999999964</v>
      </c>
      <c r="E54" s="64">
        <f t="shared" si="0"/>
        <v>1.9299999999999997</v>
      </c>
      <c r="F54" s="64">
        <f t="shared" si="0"/>
        <v>1.58</v>
      </c>
      <c r="G54" s="64">
        <f t="shared" si="0"/>
        <v>2.59</v>
      </c>
      <c r="H54" s="64">
        <f t="shared" si="0"/>
        <v>3.04</v>
      </c>
      <c r="I54" s="64">
        <f t="shared" si="0"/>
        <v>3.1900000000000004</v>
      </c>
      <c r="J54" s="64">
        <f t="shared" si="0"/>
        <v>3.1900000000000004</v>
      </c>
      <c r="K54" s="64">
        <f t="shared" si="0"/>
        <v>4.1500000000000004</v>
      </c>
      <c r="L54" s="64">
        <f t="shared" si="0"/>
        <v>4.2</v>
      </c>
      <c r="M54" s="64">
        <f t="shared" si="0"/>
        <v>4.2</v>
      </c>
      <c r="N54" s="64">
        <f t="shared" si="0"/>
        <v>5.2</v>
      </c>
      <c r="O54" s="64">
        <f t="shared" si="0"/>
        <v>5.2</v>
      </c>
      <c r="P54" s="64">
        <f t="shared" si="0"/>
        <v>5.2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106.2121212121212</v>
      </c>
      <c r="C56" s="56">
        <f>(AVERAGE(E53:G53)/AVERAGE(E52:G52))*100</f>
        <v>81.515151515151516</v>
      </c>
      <c r="D56" s="56">
        <f>(AVERAGE(H53:J53)/AVERAGE(H52:J52))*100</f>
        <v>71.454545454545453</v>
      </c>
      <c r="E56" s="56">
        <f>(AVERAGE(K53:M53)/AVERAGE(K52:M52))*100</f>
        <v>61.969696969696962</v>
      </c>
      <c r="F56" s="56">
        <f>(AVERAGE(N53:P53)/AVERAGE(N52:P52))*100</f>
        <v>52.72727272727272</v>
      </c>
    </row>
    <row r="61" spans="1:16" x14ac:dyDescent="0.2">
      <c r="A61" s="55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3" customFormat="1" x14ac:dyDescent="0.2">
      <c r="A64" s="63" t="s">
        <v>24</v>
      </c>
      <c r="B64" s="64">
        <f>B62-B63</f>
        <v>0</v>
      </c>
      <c r="C64" s="64">
        <f t="shared" ref="C64:P64" si="2">C62-C63</f>
        <v>0</v>
      </c>
      <c r="D64" s="64">
        <f t="shared" si="2"/>
        <v>0</v>
      </c>
      <c r="E64" s="64">
        <f t="shared" si="2"/>
        <v>0</v>
      </c>
      <c r="F64" s="64">
        <f t="shared" si="2"/>
        <v>0</v>
      </c>
      <c r="G64" s="64">
        <f t="shared" si="2"/>
        <v>0</v>
      </c>
      <c r="H64" s="64">
        <f t="shared" si="2"/>
        <v>0</v>
      </c>
      <c r="I64" s="64">
        <f t="shared" si="2"/>
        <v>0</v>
      </c>
      <c r="J64" s="64">
        <f t="shared" si="2"/>
        <v>0</v>
      </c>
      <c r="K64" s="64">
        <f t="shared" si="2"/>
        <v>0</v>
      </c>
      <c r="L64" s="64">
        <f t="shared" si="2"/>
        <v>0</v>
      </c>
      <c r="M64" s="64">
        <f t="shared" si="2"/>
        <v>0</v>
      </c>
      <c r="N64" s="64">
        <f t="shared" si="2"/>
        <v>0</v>
      </c>
      <c r="O64" s="64">
        <f t="shared" si="2"/>
        <v>0</v>
      </c>
      <c r="P64" s="64">
        <f t="shared" si="2"/>
        <v>0</v>
      </c>
    </row>
    <row r="65" spans="1: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6" s="56" customFormat="1" x14ac:dyDescent="0.2">
      <c r="A66" s="56" t="str">
        <f>$A$156</f>
        <v>% Plan</v>
      </c>
      <c r="B66" s="56">
        <f>(AVERAGE(B63:D63)/AVERAGE(B62:D62))*100</f>
        <v>100</v>
      </c>
      <c r="C66" s="56">
        <f>(AVERAGE(E63:G63)/AVERAGE(E62:G62))*100</f>
        <v>100</v>
      </c>
      <c r="D66" s="56">
        <f>(AVERAGE(H63:J63)/AVERAGE(H62:J62))*100</f>
        <v>100</v>
      </c>
      <c r="E66" s="56">
        <f>(AVERAGE(K63:M63)/AVERAGE(K62:M62))*100</f>
        <v>100</v>
      </c>
      <c r="F66" s="56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58" activePane="bottomLeft" state="frozen"/>
      <selection pane="bottomLeft" activeCell="S12" sqref="S1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95" t="s">
        <v>4</v>
      </c>
      <c r="D1" s="95" t="s">
        <v>5</v>
      </c>
      <c r="E1" s="95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96" t="s">
        <v>181</v>
      </c>
      <c r="P1" s="96" t="s">
        <v>182</v>
      </c>
      <c r="Q1" s="96" t="s">
        <v>183</v>
      </c>
    </row>
    <row r="2" spans="1:17" x14ac:dyDescent="0.2">
      <c r="A2" s="10" t="s">
        <v>32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32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32</v>
      </c>
      <c r="B4" s="9" t="s">
        <v>18</v>
      </c>
      <c r="C4" s="7">
        <v>46</v>
      </c>
      <c r="D4" s="7">
        <v>47</v>
      </c>
      <c r="E4" s="7">
        <v>43</v>
      </c>
      <c r="F4" s="7">
        <v>42</v>
      </c>
      <c r="G4" s="7">
        <v>43</v>
      </c>
      <c r="H4" s="7">
        <v>41</v>
      </c>
      <c r="I4" s="7">
        <v>38</v>
      </c>
      <c r="J4" s="7">
        <v>38</v>
      </c>
      <c r="K4" s="7">
        <v>38</v>
      </c>
      <c r="L4" s="7">
        <v>26</v>
      </c>
      <c r="M4" s="7">
        <v>26</v>
      </c>
      <c r="N4" s="7">
        <v>27</v>
      </c>
      <c r="O4" s="7">
        <v>24.625</v>
      </c>
      <c r="P4" s="7">
        <v>23.425000000000001</v>
      </c>
      <c r="Q4" s="7">
        <v>22.75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0.95689999999999997</v>
      </c>
      <c r="D6" s="18">
        <v>0.98499999999999999</v>
      </c>
      <c r="E6" s="18">
        <v>0.90449999999999997</v>
      </c>
      <c r="F6" s="18">
        <v>0.88160000000000005</v>
      </c>
      <c r="G6" s="18">
        <v>0.88649999999999995</v>
      </c>
      <c r="H6" s="18">
        <v>0.85050000000000003</v>
      </c>
      <c r="I6" s="18">
        <v>0.79010000000000002</v>
      </c>
      <c r="J6" s="18">
        <v>0.78959999999999997</v>
      </c>
      <c r="K6" s="18">
        <v>0.78439999999999999</v>
      </c>
      <c r="L6" s="18">
        <v>0.54900000000000004</v>
      </c>
      <c r="M6" s="18">
        <v>0.54900000000000004</v>
      </c>
      <c r="N6" s="18">
        <v>0.56720000000000004</v>
      </c>
      <c r="O6" s="18">
        <v>0.51300000000000001</v>
      </c>
      <c r="P6" s="18">
        <v>0.48799999999999999</v>
      </c>
      <c r="Q6" s="18">
        <v>0.47399999999999998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5</v>
      </c>
      <c r="F7" s="19">
        <v>6</v>
      </c>
      <c r="G7" s="19">
        <v>5</v>
      </c>
      <c r="H7" s="19">
        <v>7</v>
      </c>
      <c r="I7" s="19">
        <v>10</v>
      </c>
      <c r="J7" s="19">
        <v>10</v>
      </c>
      <c r="K7" s="19">
        <v>10</v>
      </c>
      <c r="L7" s="19">
        <v>22</v>
      </c>
      <c r="M7" s="19">
        <v>22</v>
      </c>
      <c r="N7" s="19">
        <v>21</v>
      </c>
      <c r="O7" s="19">
        <v>23</v>
      </c>
      <c r="P7" s="19">
        <v>25</v>
      </c>
      <c r="Q7" s="19">
        <v>25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25</v>
      </c>
      <c r="F11" s="7">
        <v>25</v>
      </c>
      <c r="G11" s="7">
        <v>25</v>
      </c>
      <c r="H11" s="7">
        <v>23</v>
      </c>
      <c r="I11" s="7">
        <v>23</v>
      </c>
      <c r="J11" s="7">
        <v>23</v>
      </c>
      <c r="K11" s="7">
        <v>23</v>
      </c>
      <c r="L11" s="7">
        <v>18</v>
      </c>
      <c r="M11" s="7">
        <v>18</v>
      </c>
      <c r="N11" s="7">
        <v>19</v>
      </c>
      <c r="O11" s="7">
        <v>16.25</v>
      </c>
      <c r="P11" s="7">
        <v>15.05</v>
      </c>
      <c r="Q11" s="7">
        <v>14.375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184</v>
      </c>
    </row>
    <row r="32" spans="1:17" x14ac:dyDescent="0.2">
      <c r="A32" s="10" t="s">
        <v>32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32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32</v>
      </c>
      <c r="B34" s="9" t="s">
        <v>18</v>
      </c>
      <c r="C34" s="20">
        <v>46</v>
      </c>
      <c r="D34" s="20">
        <v>42</v>
      </c>
      <c r="E34" s="20">
        <v>38</v>
      </c>
      <c r="F34" s="20">
        <v>27</v>
      </c>
      <c r="G34" s="20">
        <v>24</v>
      </c>
    </row>
    <row r="35" spans="1:7" x14ac:dyDescent="0.2">
      <c r="A35" s="16"/>
      <c r="B35" s="7"/>
      <c r="C35" s="27">
        <v>5.1200000000000002E-2</v>
      </c>
      <c r="D35" s="27">
        <v>0.12720000000000001</v>
      </c>
      <c r="E35" s="27">
        <v>0.21199999999999999</v>
      </c>
      <c r="F35" s="27">
        <v>0.44500000000000001</v>
      </c>
      <c r="G35" s="27">
        <v>0.50829999999999997</v>
      </c>
    </row>
    <row r="36" spans="1:7" x14ac:dyDescent="0.2">
      <c r="A36" s="7"/>
      <c r="B36" s="17" t="s">
        <v>23</v>
      </c>
      <c r="C36" s="18">
        <v>0.94879999999999998</v>
      </c>
      <c r="D36" s="18">
        <v>0.87280000000000002</v>
      </c>
      <c r="E36" s="18">
        <v>0.78800000000000003</v>
      </c>
      <c r="F36" s="18">
        <v>0.55500000000000005</v>
      </c>
      <c r="G36" s="18">
        <v>0.49170000000000003</v>
      </c>
    </row>
    <row r="37" spans="1:7" x14ac:dyDescent="0.2">
      <c r="A37" s="16"/>
      <c r="B37" s="17" t="s">
        <v>24</v>
      </c>
      <c r="C37" s="19">
        <v>2</v>
      </c>
      <c r="D37" s="19">
        <v>6</v>
      </c>
      <c r="E37" s="19">
        <v>10</v>
      </c>
      <c r="F37" s="19">
        <v>14</v>
      </c>
      <c r="G37" s="19">
        <v>24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23</v>
      </c>
      <c r="F41" s="20">
        <v>18</v>
      </c>
      <c r="G41" s="20">
        <v>15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96" t="s">
        <v>181</v>
      </c>
      <c r="P61" s="96" t="s">
        <v>182</v>
      </c>
      <c r="Q61" s="96" t="s">
        <v>183</v>
      </c>
    </row>
    <row r="62" spans="1:17" x14ac:dyDescent="0.2">
      <c r="A62" s="11"/>
      <c r="B62" s="8" t="s">
        <v>16</v>
      </c>
      <c r="C62" s="33">
        <v>48</v>
      </c>
      <c r="D62" s="33">
        <v>48</v>
      </c>
      <c r="E62" s="33">
        <v>48</v>
      </c>
      <c r="F62" s="33">
        <v>48</v>
      </c>
      <c r="G62" s="33">
        <v>48</v>
      </c>
      <c r="H62" s="33">
        <v>48</v>
      </c>
      <c r="I62" s="33">
        <v>48</v>
      </c>
      <c r="J62" s="33">
        <v>48</v>
      </c>
      <c r="K62" s="33">
        <v>48</v>
      </c>
      <c r="L62" s="33">
        <v>48</v>
      </c>
      <c r="M62" s="33">
        <v>48</v>
      </c>
      <c r="N62" s="33">
        <v>48</v>
      </c>
      <c r="O62" s="33">
        <v>48</v>
      </c>
      <c r="P62" s="33">
        <v>48</v>
      </c>
      <c r="Q62" s="33">
        <v>48</v>
      </c>
    </row>
    <row r="63" spans="1:17" x14ac:dyDescent="0.2">
      <c r="A63" s="34"/>
      <c r="B63" s="35" t="s">
        <v>18</v>
      </c>
      <c r="C63" s="36">
        <v>45.93</v>
      </c>
      <c r="D63" s="36">
        <v>47.28</v>
      </c>
      <c r="E63" s="36">
        <v>43.414999999999999</v>
      </c>
      <c r="F63" s="36">
        <v>42.314999999999998</v>
      </c>
      <c r="G63" s="36">
        <v>42.55</v>
      </c>
      <c r="H63" s="36">
        <v>40.825000000000003</v>
      </c>
      <c r="I63" s="36">
        <v>37.924999999999997</v>
      </c>
      <c r="J63" s="36">
        <v>37.9</v>
      </c>
      <c r="K63" s="36">
        <v>37.65</v>
      </c>
      <c r="L63" s="36">
        <v>26.35</v>
      </c>
      <c r="M63" s="36">
        <v>26.35</v>
      </c>
      <c r="N63" s="36">
        <v>27.225000000000001</v>
      </c>
      <c r="O63" s="36">
        <v>24.625</v>
      </c>
      <c r="P63" s="36">
        <v>23.425000000000001</v>
      </c>
      <c r="Q63" s="36">
        <v>22.75</v>
      </c>
    </row>
    <row r="64" spans="1:17" x14ac:dyDescent="0.2">
      <c r="A64" s="14" t="s">
        <v>39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7" t="s">
        <v>39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40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7" t="s">
        <v>40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9" t="s">
        <v>41</v>
      </c>
      <c r="B68" s="40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41" t="s">
        <v>42</v>
      </c>
      <c r="B69" s="42" t="s">
        <v>18</v>
      </c>
      <c r="C69" s="38">
        <v>5</v>
      </c>
      <c r="D69" s="38">
        <v>5</v>
      </c>
      <c r="E69" s="38">
        <v>5</v>
      </c>
      <c r="F69" s="38">
        <v>4.9249999999999998</v>
      </c>
      <c r="G69" s="38">
        <v>4.625</v>
      </c>
      <c r="H69" s="38">
        <v>4.6749999999999998</v>
      </c>
      <c r="I69" s="38">
        <v>4.8499999999999996</v>
      </c>
      <c r="J69" s="38">
        <v>4.8499999999999996</v>
      </c>
      <c r="K69" s="38">
        <v>5</v>
      </c>
      <c r="L69" s="38">
        <v>5</v>
      </c>
      <c r="M69" s="38">
        <v>5</v>
      </c>
      <c r="N69" s="38">
        <v>5</v>
      </c>
      <c r="O69" s="38">
        <v>5</v>
      </c>
      <c r="P69" s="38">
        <v>5</v>
      </c>
      <c r="Q69" s="38">
        <v>5</v>
      </c>
    </row>
    <row r="70" spans="1:17" x14ac:dyDescent="0.2">
      <c r="A70" s="39" t="s">
        <v>43</v>
      </c>
      <c r="B70" s="40" t="s">
        <v>16</v>
      </c>
      <c r="C70" s="40">
        <v>1</v>
      </c>
      <c r="D70" s="40">
        <v>1</v>
      </c>
      <c r="E70" s="40">
        <v>1</v>
      </c>
      <c r="F70" s="40">
        <v>1</v>
      </c>
      <c r="G70" s="40">
        <v>1</v>
      </c>
      <c r="H70" s="40">
        <v>1</v>
      </c>
      <c r="I70" s="40">
        <v>1</v>
      </c>
      <c r="J70" s="40">
        <v>1</v>
      </c>
      <c r="K70" s="40">
        <v>1</v>
      </c>
      <c r="L70" s="40">
        <v>1</v>
      </c>
      <c r="M70" s="40">
        <v>1</v>
      </c>
      <c r="N70" s="40">
        <v>1</v>
      </c>
      <c r="O70" s="40">
        <v>1</v>
      </c>
      <c r="P70" s="40">
        <v>1</v>
      </c>
      <c r="Q70" s="40">
        <v>1</v>
      </c>
    </row>
    <row r="71" spans="1:17" x14ac:dyDescent="0.2">
      <c r="A71" s="41" t="s">
        <v>44</v>
      </c>
      <c r="B71" s="42" t="s">
        <v>18</v>
      </c>
      <c r="C71" s="38">
        <v>1</v>
      </c>
      <c r="D71" s="38">
        <v>1</v>
      </c>
      <c r="E71" s="38">
        <v>1</v>
      </c>
      <c r="F71" s="38">
        <v>1</v>
      </c>
      <c r="G71" s="38">
        <v>1</v>
      </c>
      <c r="H71" s="38">
        <v>1</v>
      </c>
      <c r="I71" s="38">
        <v>1</v>
      </c>
      <c r="J71" s="38">
        <v>1</v>
      </c>
      <c r="K71" s="38">
        <v>1</v>
      </c>
      <c r="L71" s="38">
        <v>1</v>
      </c>
      <c r="M71" s="38">
        <v>1</v>
      </c>
      <c r="N71" s="38">
        <v>1</v>
      </c>
      <c r="O71" s="38">
        <v>1</v>
      </c>
      <c r="P71" s="38">
        <v>1</v>
      </c>
      <c r="Q71" s="38">
        <v>1</v>
      </c>
    </row>
    <row r="72" spans="1:17" x14ac:dyDescent="0.2">
      <c r="A72" s="14" t="s">
        <v>45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7" t="s">
        <v>45</v>
      </c>
      <c r="B73" s="9" t="s">
        <v>18</v>
      </c>
      <c r="C73" s="7">
        <v>38.93</v>
      </c>
      <c r="D73" s="7">
        <v>40.28</v>
      </c>
      <c r="E73" s="7">
        <v>36.414999999999999</v>
      </c>
      <c r="F73" s="7">
        <v>35.39</v>
      </c>
      <c r="G73" s="7">
        <v>35.924999999999997</v>
      </c>
      <c r="H73" s="7">
        <v>34.15</v>
      </c>
      <c r="I73" s="7">
        <v>31.074999999999999</v>
      </c>
      <c r="J73" s="7">
        <v>31.05</v>
      </c>
      <c r="K73" s="7">
        <v>30.65</v>
      </c>
      <c r="L73" s="7">
        <v>19.350000000000001</v>
      </c>
      <c r="M73" s="7">
        <v>19.350000000000001</v>
      </c>
      <c r="N73" s="7">
        <v>20.225000000000001</v>
      </c>
      <c r="O73" s="7">
        <v>17.625</v>
      </c>
      <c r="P73" s="7">
        <v>16.425000000000001</v>
      </c>
      <c r="Q73" s="7">
        <v>15.75</v>
      </c>
    </row>
    <row r="74" spans="1:17" x14ac:dyDescent="0.2">
      <c r="A74" s="39" t="s">
        <v>46</v>
      </c>
      <c r="B74" s="40" t="s">
        <v>16</v>
      </c>
      <c r="C74" s="40">
        <v>22</v>
      </c>
      <c r="D74" s="40">
        <v>22</v>
      </c>
      <c r="E74" s="40">
        <v>22</v>
      </c>
      <c r="F74" s="40">
        <v>22</v>
      </c>
      <c r="G74" s="40">
        <v>22</v>
      </c>
      <c r="H74" s="40">
        <v>22</v>
      </c>
      <c r="I74" s="40">
        <v>22</v>
      </c>
      <c r="J74" s="40">
        <v>22</v>
      </c>
      <c r="K74" s="40">
        <v>22</v>
      </c>
      <c r="L74" s="40">
        <v>22</v>
      </c>
      <c r="M74" s="40">
        <v>22</v>
      </c>
      <c r="N74" s="40">
        <v>22</v>
      </c>
      <c r="O74" s="40">
        <v>22</v>
      </c>
      <c r="P74" s="40">
        <v>22</v>
      </c>
      <c r="Q74" s="40">
        <v>22</v>
      </c>
    </row>
    <row r="75" spans="1:17" x14ac:dyDescent="0.2">
      <c r="A75" s="41" t="s">
        <v>47</v>
      </c>
      <c r="B75" s="42" t="s">
        <v>18</v>
      </c>
      <c r="C75" s="38">
        <v>21.93</v>
      </c>
      <c r="D75" s="38">
        <v>21.78</v>
      </c>
      <c r="E75" s="38">
        <v>19.114999999999998</v>
      </c>
      <c r="F75" s="38">
        <v>19.14</v>
      </c>
      <c r="G75" s="38">
        <v>18.925000000000001</v>
      </c>
      <c r="H75" s="38">
        <v>17.774999999999999</v>
      </c>
      <c r="I75" s="38">
        <v>17.024999999999999</v>
      </c>
      <c r="J75" s="38">
        <v>17</v>
      </c>
      <c r="K75" s="38">
        <v>17.100000000000001</v>
      </c>
      <c r="L75" s="38">
        <v>11.975</v>
      </c>
      <c r="M75" s="38">
        <v>11.975</v>
      </c>
      <c r="N75" s="38">
        <v>12.85</v>
      </c>
      <c r="O75" s="38">
        <v>10.25</v>
      </c>
      <c r="P75" s="38">
        <v>9.0500000000000007</v>
      </c>
      <c r="Q75" s="38">
        <v>8.375</v>
      </c>
    </row>
    <row r="76" spans="1:17" x14ac:dyDescent="0.2">
      <c r="A76" s="39" t="s">
        <v>48</v>
      </c>
      <c r="B76" s="40" t="s">
        <v>16</v>
      </c>
      <c r="C76" s="40">
        <v>16</v>
      </c>
      <c r="D76" s="40">
        <v>16</v>
      </c>
      <c r="E76" s="40">
        <v>16</v>
      </c>
      <c r="F76" s="40">
        <v>16</v>
      </c>
      <c r="G76" s="40">
        <v>16</v>
      </c>
      <c r="H76" s="40">
        <v>16</v>
      </c>
      <c r="I76" s="40">
        <v>16</v>
      </c>
      <c r="J76" s="40">
        <v>16</v>
      </c>
      <c r="K76" s="40">
        <v>16</v>
      </c>
      <c r="L76" s="40">
        <v>16</v>
      </c>
      <c r="M76" s="40">
        <v>16</v>
      </c>
      <c r="N76" s="40">
        <v>16</v>
      </c>
      <c r="O76" s="40">
        <v>16</v>
      </c>
      <c r="P76" s="40">
        <v>16</v>
      </c>
      <c r="Q76" s="40">
        <v>16</v>
      </c>
    </row>
    <row r="77" spans="1:17" x14ac:dyDescent="0.2">
      <c r="A77" s="41" t="s">
        <v>49</v>
      </c>
      <c r="B77" s="42" t="s">
        <v>18</v>
      </c>
      <c r="C77" s="38">
        <v>16</v>
      </c>
      <c r="D77" s="38">
        <v>16</v>
      </c>
      <c r="E77" s="38">
        <v>14.55</v>
      </c>
      <c r="F77" s="38">
        <v>13.5</v>
      </c>
      <c r="G77" s="38">
        <v>14.25</v>
      </c>
      <c r="H77" s="38">
        <v>13.625</v>
      </c>
      <c r="I77" s="38">
        <v>13.3</v>
      </c>
      <c r="J77" s="38">
        <v>13.3</v>
      </c>
      <c r="K77" s="38">
        <v>12.8</v>
      </c>
      <c r="L77" s="38">
        <v>6.625</v>
      </c>
      <c r="M77" s="38">
        <v>6.625</v>
      </c>
      <c r="N77" s="38">
        <v>6.625</v>
      </c>
      <c r="O77" s="38">
        <v>6.625</v>
      </c>
      <c r="P77" s="38">
        <v>6.625</v>
      </c>
      <c r="Q77" s="38">
        <v>6.625</v>
      </c>
    </row>
    <row r="78" spans="1:17" x14ac:dyDescent="0.2">
      <c r="A78" s="39" t="s">
        <v>50</v>
      </c>
      <c r="B78" s="40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41" t="s">
        <v>51</v>
      </c>
      <c r="B79" s="42" t="s">
        <v>18</v>
      </c>
      <c r="C79" s="38">
        <v>1</v>
      </c>
      <c r="D79" s="38">
        <v>2.5</v>
      </c>
      <c r="E79" s="38">
        <v>2.75</v>
      </c>
      <c r="F79" s="38">
        <v>2.75</v>
      </c>
      <c r="G79" s="38">
        <v>2.75</v>
      </c>
      <c r="H79" s="38">
        <v>2.75</v>
      </c>
      <c r="I79" s="38">
        <v>0.75</v>
      </c>
      <c r="J79" s="38">
        <v>0.75</v>
      </c>
      <c r="K79" s="38">
        <v>0.75</v>
      </c>
      <c r="L79" s="38">
        <v>0.75</v>
      </c>
      <c r="M79" s="38">
        <v>0.75</v>
      </c>
      <c r="N79" s="38">
        <v>0.75</v>
      </c>
      <c r="O79" s="38">
        <v>0.75</v>
      </c>
      <c r="P79" s="38">
        <v>0.75</v>
      </c>
      <c r="Q79" s="38">
        <v>0.75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46</v>
      </c>
      <c r="C4">
        <f>IF(PSE!D4&gt;0,PSE!D4,"")</f>
        <v>47</v>
      </c>
      <c r="D4">
        <f>IF(PSE!E4&gt;0,PSE!E4,"")</f>
        <v>43</v>
      </c>
      <c r="E4">
        <f>IF(PSE!F4&gt;0,PSE!F4,"")</f>
        <v>42</v>
      </c>
      <c r="F4">
        <f>IF(PSE!G4&gt;0,PSE!G4,"")</f>
        <v>43</v>
      </c>
      <c r="G4">
        <f>IF(PSE!H4&gt;0,PSE!H4,"")</f>
        <v>41</v>
      </c>
      <c r="H4">
        <f>IF(PSE!I4&gt;0,PSE!I4,"")</f>
        <v>38</v>
      </c>
      <c r="I4">
        <f>IF(PSE!J4&gt;0,PSE!J4,"")</f>
        <v>38</v>
      </c>
      <c r="J4">
        <f>IF(PSE!K4&gt;0,PSE!K4,"")</f>
        <v>38</v>
      </c>
      <c r="K4">
        <f>IF(PSE!L4&gt;0,PSE!L4,"")</f>
        <v>26</v>
      </c>
      <c r="L4">
        <f>IF(PSE!M4&gt;0,PSE!M4,"")</f>
        <v>26</v>
      </c>
      <c r="M4">
        <f>IF(PSE!N4&gt;0,PSE!N4,"")</f>
        <v>27</v>
      </c>
      <c r="N4">
        <f>IF(PSE!O4&gt;0,PSE!O4,"")</f>
        <v>24.625</v>
      </c>
      <c r="O4">
        <f>IF(PSE!P4&gt;0,PSE!P4,"")</f>
        <v>23.425000000000001</v>
      </c>
      <c r="P4">
        <f>IF(PSE!Q4&gt;0,PSE!Q4,"")</f>
        <v>22.75</v>
      </c>
    </row>
    <row r="5" spans="1:16" x14ac:dyDescent="0.2">
      <c r="A5" t="str">
        <f>IF(PSE!B11&gt;0,PSE!B11,"")</f>
        <v>PAYROLL</v>
      </c>
      <c r="B5">
        <f>IF(PSE!C11&gt;0,PSE!C11,"")</f>
        <v>28</v>
      </c>
      <c r="C5">
        <f>IF(PSE!D11&gt;0,PSE!D11,"")</f>
        <v>28</v>
      </c>
      <c r="D5">
        <f>IF(PSE!E11&gt;0,PSE!E11,"")</f>
        <v>25</v>
      </c>
      <c r="E5">
        <f>IF(PSE!F11&gt;0,PSE!F11,"")</f>
        <v>25</v>
      </c>
      <c r="F5">
        <f>IF(PSE!G11&gt;0,PSE!G11,"")</f>
        <v>25</v>
      </c>
      <c r="G5">
        <f>IF(PSE!H11&gt;0,PSE!H11,"")</f>
        <v>23</v>
      </c>
      <c r="H5">
        <f>IF(PSE!I11&gt;0,PSE!I11,"")</f>
        <v>23</v>
      </c>
      <c r="I5">
        <f>IF(PSE!J11&gt;0,PSE!J11,"")</f>
        <v>23</v>
      </c>
      <c r="J5">
        <f>IF(PSE!K11&gt;0,PSE!K11,"")</f>
        <v>23</v>
      </c>
      <c r="K5">
        <f>IF(PSE!L11&gt;0,PSE!L11,"")</f>
        <v>18</v>
      </c>
      <c r="L5">
        <f>IF(PSE!M11&gt;0,PSE!M11,"")</f>
        <v>18</v>
      </c>
      <c r="M5">
        <f>IF(PSE!N11&gt;0,PSE!N11,"")</f>
        <v>19</v>
      </c>
      <c r="N5">
        <f>IF(PSE!O11&gt;0,PSE!O11,"")</f>
        <v>16.25</v>
      </c>
      <c r="O5">
        <f>IF(PSE!P11&gt;0,PSE!P11,"")</f>
        <v>15.05</v>
      </c>
      <c r="P5">
        <f>IF(PSE!Q11&gt;0,PSE!Q11,"")</f>
        <v>14.375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28</v>
      </c>
      <c r="C14">
        <f>IF(PSE!D11&gt;0,PSE!D11,"")</f>
        <v>28</v>
      </c>
      <c r="D14">
        <f>IF(PSE!E11&gt;0,PSE!E11,"")</f>
        <v>25</v>
      </c>
      <c r="E14">
        <f>IF(PSE!F11&gt;0,PSE!F11,"")</f>
        <v>25</v>
      </c>
      <c r="F14">
        <f>IF(PSE!G11&gt;0,PSE!G11,"")</f>
        <v>25</v>
      </c>
      <c r="G14">
        <f>IF(PSE!H11&gt;0,PSE!H11,"")</f>
        <v>23</v>
      </c>
      <c r="H14">
        <f>IF(PSE!I11&gt;0,PSE!I11,"")</f>
        <v>23</v>
      </c>
      <c r="I14">
        <f>IF(PSE!J11&gt;0,PSE!J11,"")</f>
        <v>23</v>
      </c>
      <c r="J14">
        <f>IF(PSE!K11&gt;0,PSE!K11,"")</f>
        <v>23</v>
      </c>
      <c r="K14">
        <f>IF(PSE!L11&gt;0,PSE!L11,"")</f>
        <v>18</v>
      </c>
      <c r="L14">
        <f>IF(PSE!M11&gt;0,PSE!M11,"")</f>
        <v>18</v>
      </c>
      <c r="M14">
        <f>IF(PSE!N11&gt;0,PSE!N11,"")</f>
        <v>19</v>
      </c>
      <c r="N14">
        <f>IF(PSE!O11&gt;0,PSE!O11,"")</f>
        <v>16.25</v>
      </c>
      <c r="O14">
        <f>IF(PSE!P11&gt;0,PSE!P11,"")</f>
        <v>15.05</v>
      </c>
      <c r="P14">
        <f>IF(PSE!Q11&gt;0,PSE!Q11,"")</f>
        <v>14.375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46</v>
      </c>
      <c r="C44">
        <f>IF(PSE!D34&gt;0,PSE!D34,"")</f>
        <v>42</v>
      </c>
      <c r="D44">
        <f>IF(PSE!E34&gt;0,PSE!E34,"")</f>
        <v>38</v>
      </c>
      <c r="E44">
        <f>IF(PSE!F34&gt;0,PSE!F34,"")</f>
        <v>27</v>
      </c>
      <c r="F44">
        <f>IF(PSE!G34&gt;0,PSE!G34,"")</f>
        <v>24</v>
      </c>
    </row>
    <row r="45" spans="1:16" x14ac:dyDescent="0.2">
      <c r="A45" t="str">
        <f>IF(PSE!B41&gt;0,PSE!B41,"")</f>
        <v>PAYROLL</v>
      </c>
      <c r="B45">
        <f>IF(PSE!C41&gt;0,PSE!C41,"")</f>
        <v>27</v>
      </c>
      <c r="C45">
        <f>IF(PSE!D41&gt;0,PSE!D41,"")</f>
        <v>24</v>
      </c>
      <c r="D45">
        <f>IF(PSE!E41&gt;0,PSE!E41,"")</f>
        <v>23</v>
      </c>
      <c r="E45">
        <f>IF(PSE!F41&gt;0,PSE!F41,"")</f>
        <v>18</v>
      </c>
      <c r="F45">
        <f>IF(PSE!G41&gt;0,PSE!G41,"")</f>
        <v>15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55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3" customFormat="1" x14ac:dyDescent="0.2">
      <c r="A54" s="63" t="s">
        <v>24</v>
      </c>
      <c r="B54" s="64">
        <f>B52-B53</f>
        <v>0</v>
      </c>
      <c r="C54" s="64">
        <f t="shared" ref="C54:P54" si="0">C52-C53</f>
        <v>0</v>
      </c>
      <c r="D54" s="64">
        <f t="shared" si="0"/>
        <v>0</v>
      </c>
      <c r="E54" s="64">
        <f t="shared" si="0"/>
        <v>7.5000000000000178E-2</v>
      </c>
      <c r="F54" s="64">
        <f t="shared" si="0"/>
        <v>0.375</v>
      </c>
      <c r="G54" s="64">
        <f t="shared" si="0"/>
        <v>0.32500000000000018</v>
      </c>
      <c r="H54" s="64">
        <f t="shared" si="0"/>
        <v>0.15000000000000036</v>
      </c>
      <c r="I54" s="64">
        <f t="shared" si="0"/>
        <v>0.15000000000000036</v>
      </c>
      <c r="J54" s="64">
        <f t="shared" si="0"/>
        <v>0</v>
      </c>
      <c r="K54" s="64">
        <f t="shared" si="0"/>
        <v>0</v>
      </c>
      <c r="L54" s="64">
        <f t="shared" si="0"/>
        <v>0</v>
      </c>
      <c r="M54" s="64">
        <f t="shared" si="0"/>
        <v>0</v>
      </c>
      <c r="N54" s="64">
        <f t="shared" si="0"/>
        <v>0</v>
      </c>
      <c r="O54" s="64">
        <f t="shared" si="0"/>
        <v>0</v>
      </c>
      <c r="P54" s="64">
        <f t="shared" si="0"/>
        <v>0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100</v>
      </c>
      <c r="C56" s="56">
        <f>(AVERAGE(E53:G53)/AVERAGE(E52:G52))*100</f>
        <v>95.694444444444443</v>
      </c>
      <c r="D56" s="56">
        <f>(AVERAGE(H53:J53)/AVERAGE(H52:J52))*100</f>
        <v>98.333333333333329</v>
      </c>
      <c r="E56" s="56">
        <f>(AVERAGE(K53:M53)/AVERAGE(K52:M52))*100</f>
        <v>100</v>
      </c>
      <c r="F56" s="56">
        <f>(AVERAGE(N53:P53)/AVERAGE(N52:P52))*100</f>
        <v>100</v>
      </c>
    </row>
    <row r="61" spans="1:16" x14ac:dyDescent="0.2">
      <c r="A61" s="55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38.93</v>
      </c>
      <c r="C63">
        <f>PSE!D73</f>
        <v>40.28</v>
      </c>
      <c r="D63">
        <f>PSE!E73</f>
        <v>36.414999999999999</v>
      </c>
      <c r="E63">
        <f>PSE!F73</f>
        <v>35.39</v>
      </c>
      <c r="F63">
        <f>PSE!G73</f>
        <v>35.924999999999997</v>
      </c>
      <c r="G63">
        <f>PSE!H73</f>
        <v>34.15</v>
      </c>
      <c r="H63">
        <f>PSE!I73</f>
        <v>31.074999999999999</v>
      </c>
      <c r="I63">
        <f>PSE!J73</f>
        <v>31.05</v>
      </c>
      <c r="J63">
        <f>PSE!K73</f>
        <v>30.65</v>
      </c>
      <c r="K63">
        <f>PSE!L73</f>
        <v>19.350000000000001</v>
      </c>
      <c r="L63">
        <f>PSE!M73</f>
        <v>19.350000000000001</v>
      </c>
      <c r="M63">
        <f>PSE!N73</f>
        <v>20.225000000000001</v>
      </c>
      <c r="N63">
        <f>PSE!O73</f>
        <v>17.625</v>
      </c>
      <c r="O63">
        <f>PSE!P73</f>
        <v>16.425000000000001</v>
      </c>
      <c r="P63">
        <f>PSE!Q73</f>
        <v>15.75</v>
      </c>
    </row>
    <row r="64" spans="1:16" s="63" customFormat="1" x14ac:dyDescent="0.2">
      <c r="A64" s="63" t="s">
        <v>24</v>
      </c>
      <c r="B64" s="64">
        <f>B62-B63</f>
        <v>2.0700000000000003</v>
      </c>
      <c r="C64" s="64">
        <f t="shared" ref="C64:P64" si="2">C62-C63</f>
        <v>0.71999999999999886</v>
      </c>
      <c r="D64" s="64">
        <f t="shared" si="2"/>
        <v>4.5850000000000009</v>
      </c>
      <c r="E64" s="64">
        <f t="shared" si="2"/>
        <v>5.6099999999999994</v>
      </c>
      <c r="F64" s="64">
        <f t="shared" si="2"/>
        <v>5.0750000000000028</v>
      </c>
      <c r="G64" s="64">
        <f t="shared" si="2"/>
        <v>6.8500000000000014</v>
      </c>
      <c r="H64" s="64">
        <f t="shared" si="2"/>
        <v>9.9250000000000007</v>
      </c>
      <c r="I64" s="64">
        <f t="shared" si="2"/>
        <v>9.9499999999999993</v>
      </c>
      <c r="J64" s="64">
        <f t="shared" si="2"/>
        <v>10.350000000000001</v>
      </c>
      <c r="K64" s="64">
        <f t="shared" si="2"/>
        <v>21.65</v>
      </c>
      <c r="L64" s="64">
        <f t="shared" si="2"/>
        <v>21.65</v>
      </c>
      <c r="M64" s="64">
        <f t="shared" si="2"/>
        <v>20.774999999999999</v>
      </c>
      <c r="N64" s="64">
        <f t="shared" si="2"/>
        <v>23.375</v>
      </c>
      <c r="O64" s="64">
        <f t="shared" si="2"/>
        <v>24.574999999999999</v>
      </c>
      <c r="P64" s="64">
        <f t="shared" si="2"/>
        <v>25.25</v>
      </c>
    </row>
    <row r="65" spans="1: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6" s="56" customFormat="1" x14ac:dyDescent="0.2">
      <c r="A66" s="56" t="str">
        <f>$A$156</f>
        <v>% Plan</v>
      </c>
      <c r="B66" s="56">
        <f>(AVERAGE(B63:D63)/AVERAGE(B62:D62))*100</f>
        <v>94.004065040650403</v>
      </c>
      <c r="C66" s="56">
        <f>(AVERAGE(E63:G63)/AVERAGE(E62:G62))*100</f>
        <v>85.743902439024396</v>
      </c>
      <c r="D66" s="56">
        <f>(AVERAGE(H63:J63)/AVERAGE(H62:J62))*100</f>
        <v>75.426829268292678</v>
      </c>
      <c r="E66" s="56">
        <f>(AVERAGE(K63:M63)/AVERAGE(K62:M62))*100</f>
        <v>47.906504065040657</v>
      </c>
      <c r="F66" s="56">
        <f>(AVERAGE(N63:P63)/AVERAGE(N62:P62))*100</f>
        <v>40.487804878048777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95.69</v>
      </c>
      <c r="C152">
        <f>PSE!D6*100</f>
        <v>98.5</v>
      </c>
      <c r="D152">
        <f>PSE!E6*100</f>
        <v>90.45</v>
      </c>
      <c r="E152">
        <f>PSE!F6*100</f>
        <v>88.160000000000011</v>
      </c>
      <c r="F152">
        <f>PSE!G6*100</f>
        <v>88.649999999999991</v>
      </c>
      <c r="G152">
        <f>PSE!H6*100</f>
        <v>85.05</v>
      </c>
      <c r="H152">
        <f>PSE!I6*100</f>
        <v>79.010000000000005</v>
      </c>
      <c r="I152">
        <f>PSE!J6*100</f>
        <v>78.959999999999994</v>
      </c>
      <c r="J152">
        <f>PSE!K6*100</f>
        <v>78.44</v>
      </c>
      <c r="K152">
        <f>PSE!L6*100</f>
        <v>54.900000000000006</v>
      </c>
      <c r="L152">
        <f>PSE!M6*100</f>
        <v>54.900000000000006</v>
      </c>
      <c r="M152">
        <f>PSE!N6*100</f>
        <v>56.720000000000006</v>
      </c>
      <c r="N152">
        <f>PSE!O6*100</f>
        <v>51.300000000000004</v>
      </c>
      <c r="O152">
        <f>PSE!P6*100</f>
        <v>48.8</v>
      </c>
      <c r="P152">
        <f>PSE!Q6*100</f>
        <v>47.4</v>
      </c>
    </row>
    <row r="153" spans="1:16" x14ac:dyDescent="0.2">
      <c r="A153" t="str">
        <f>PSE!B7</f>
        <v>Available FTE</v>
      </c>
      <c r="B153">
        <f>PSE!C7</f>
        <v>2</v>
      </c>
      <c r="C153">
        <f>PSE!D7</f>
        <v>1</v>
      </c>
      <c r="D153">
        <f>PSE!E7</f>
        <v>5</v>
      </c>
      <c r="E153">
        <f>PSE!F7</f>
        <v>6</v>
      </c>
      <c r="F153">
        <f>PSE!G7</f>
        <v>5</v>
      </c>
      <c r="G153">
        <f>PSE!H7</f>
        <v>7</v>
      </c>
      <c r="H153">
        <f>PSE!I7</f>
        <v>10</v>
      </c>
      <c r="I153">
        <f>PSE!J7</f>
        <v>10</v>
      </c>
      <c r="J153">
        <f>PSE!K7</f>
        <v>10</v>
      </c>
      <c r="K153">
        <f>PSE!L7</f>
        <v>22</v>
      </c>
      <c r="L153">
        <f>PSE!M7</f>
        <v>22</v>
      </c>
      <c r="M153">
        <f>PSE!N7</f>
        <v>21</v>
      </c>
      <c r="N153">
        <f>PSE!O7</f>
        <v>23</v>
      </c>
      <c r="O153">
        <f>PSE!P7</f>
        <v>25</v>
      </c>
      <c r="P153">
        <f>PSE!Q7</f>
        <v>25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94.88</v>
      </c>
      <c r="C156">
        <f>PSE!D36*100</f>
        <v>87.28</v>
      </c>
      <c r="D156">
        <f>PSE!E36*100</f>
        <v>78.8</v>
      </c>
      <c r="E156">
        <f>PSE!F36*100</f>
        <v>55.500000000000007</v>
      </c>
      <c r="F156">
        <f>PSE!G36*100</f>
        <v>49.17</v>
      </c>
    </row>
    <row r="157" spans="1:16" x14ac:dyDescent="0.2">
      <c r="A157" t="str">
        <f>PSE!B7</f>
        <v>Available FTE</v>
      </c>
      <c r="B157">
        <f>PSE!C37</f>
        <v>2</v>
      </c>
      <c r="C157">
        <f>PSE!D37</f>
        <v>6</v>
      </c>
      <c r="D157">
        <f>PSE!E37</f>
        <v>10</v>
      </c>
      <c r="E157">
        <f>PSE!F37</f>
        <v>14</v>
      </c>
      <c r="F157">
        <f>PSE!G37</f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45" activePane="bottomLeft" state="frozen"/>
      <selection pane="bottomLeft" activeCell="T19" sqref="T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95" t="s">
        <v>4</v>
      </c>
      <c r="D1" s="95" t="s">
        <v>5</v>
      </c>
      <c r="E1" s="95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96" t="s">
        <v>181</v>
      </c>
      <c r="P1" s="96" t="s">
        <v>182</v>
      </c>
      <c r="Q1" s="96" t="s">
        <v>183</v>
      </c>
    </row>
    <row r="2" spans="1:17" x14ac:dyDescent="0.2">
      <c r="A2" s="10" t="s">
        <v>33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33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33</v>
      </c>
      <c r="B4" s="9" t="s">
        <v>18</v>
      </c>
      <c r="C4" s="7">
        <v>42</v>
      </c>
      <c r="D4" s="7">
        <v>45</v>
      </c>
      <c r="E4" s="7">
        <v>46</v>
      </c>
      <c r="F4" s="7">
        <v>46</v>
      </c>
      <c r="G4" s="13">
        <v>55</v>
      </c>
      <c r="H4" s="13">
        <v>54</v>
      </c>
      <c r="I4" s="13">
        <v>54</v>
      </c>
      <c r="J4" s="7">
        <v>50</v>
      </c>
      <c r="K4" s="7">
        <v>49</v>
      </c>
      <c r="L4" s="7">
        <v>37</v>
      </c>
      <c r="M4" s="7">
        <v>36</v>
      </c>
      <c r="N4" s="7">
        <v>36</v>
      </c>
      <c r="O4" s="7">
        <v>22.143750000000001</v>
      </c>
      <c r="P4" s="7">
        <v>21.184999999999999</v>
      </c>
      <c r="Q4" s="7">
        <v>21.184999999999999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0.90980000000000005</v>
      </c>
      <c r="D6" s="18">
        <v>0.92430000000000001</v>
      </c>
      <c r="E6" s="18">
        <v>0.9022</v>
      </c>
      <c r="F6" s="18">
        <v>0.87629999999999997</v>
      </c>
      <c r="G6" s="18">
        <v>1.0302</v>
      </c>
      <c r="H6" s="18">
        <v>1.0116000000000001</v>
      </c>
      <c r="I6" s="18">
        <v>1.0185999999999999</v>
      </c>
      <c r="J6" s="18">
        <v>0.95009999999999994</v>
      </c>
      <c r="K6" s="18">
        <v>0.92530000000000001</v>
      </c>
      <c r="L6" s="18">
        <v>0.70569999999999999</v>
      </c>
      <c r="M6" s="18">
        <v>0.68700000000000006</v>
      </c>
      <c r="N6" s="18">
        <v>0.67849999999999999</v>
      </c>
      <c r="O6" s="18">
        <v>0.4178</v>
      </c>
      <c r="P6" s="18">
        <v>0.3997</v>
      </c>
      <c r="Q6" s="18">
        <v>0.3997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7</v>
      </c>
      <c r="G7" s="19">
        <v>-2</v>
      </c>
      <c r="H7" s="19">
        <v>-1</v>
      </c>
      <c r="I7" s="19">
        <v>-1</v>
      </c>
      <c r="J7" s="19">
        <v>3</v>
      </c>
      <c r="K7" s="19">
        <v>4</v>
      </c>
      <c r="L7" s="19">
        <v>16</v>
      </c>
      <c r="M7" s="19">
        <v>17</v>
      </c>
      <c r="N7" s="19">
        <v>17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32</v>
      </c>
      <c r="D11" s="7">
        <v>33</v>
      </c>
      <c r="E11" s="7">
        <v>32</v>
      </c>
      <c r="F11" s="7">
        <v>32</v>
      </c>
      <c r="G11" s="7">
        <v>35</v>
      </c>
      <c r="H11" s="7">
        <v>34</v>
      </c>
      <c r="I11" s="7">
        <v>35</v>
      </c>
      <c r="J11" s="7">
        <v>33</v>
      </c>
      <c r="K11" s="7">
        <v>32</v>
      </c>
      <c r="L11" s="7">
        <v>25</v>
      </c>
      <c r="M11" s="7">
        <v>24</v>
      </c>
      <c r="N11" s="7">
        <v>24</v>
      </c>
      <c r="O11" s="7">
        <v>19.568750000000001</v>
      </c>
      <c r="P11" s="7">
        <v>18.61</v>
      </c>
      <c r="Q11" s="7">
        <v>18.61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13">
        <v>15</v>
      </c>
      <c r="K19" s="13">
        <v>15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184</v>
      </c>
    </row>
    <row r="32" spans="1:17" x14ac:dyDescent="0.2">
      <c r="A32" s="10" t="s">
        <v>33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33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33</v>
      </c>
      <c r="B34" s="9" t="s">
        <v>18</v>
      </c>
      <c r="C34" s="20">
        <v>44</v>
      </c>
      <c r="D34" s="20">
        <v>52</v>
      </c>
      <c r="E34" s="20">
        <v>51</v>
      </c>
      <c r="F34" s="20">
        <v>37</v>
      </c>
      <c r="G34" s="20">
        <v>22</v>
      </c>
    </row>
    <row r="35" spans="1:7" x14ac:dyDescent="0.2">
      <c r="A35" s="16"/>
      <c r="B35" s="7"/>
      <c r="C35" s="27">
        <v>8.7999999999999995E-2</v>
      </c>
      <c r="D35" s="27">
        <v>2.7300000000000001E-2</v>
      </c>
      <c r="E35" s="27">
        <v>3.5400000000000001E-2</v>
      </c>
      <c r="F35" s="27">
        <v>0.30959999999999999</v>
      </c>
      <c r="G35" s="27">
        <v>0.59430000000000005</v>
      </c>
    </row>
    <row r="36" spans="1:7" x14ac:dyDescent="0.2">
      <c r="A36" s="7"/>
      <c r="B36" s="17" t="s">
        <v>23</v>
      </c>
      <c r="C36" s="18">
        <v>0.91200000000000003</v>
      </c>
      <c r="D36" s="18">
        <v>0.97270000000000001</v>
      </c>
      <c r="E36" s="18">
        <v>0.96460000000000001</v>
      </c>
      <c r="F36" s="18">
        <v>0.69040000000000001</v>
      </c>
      <c r="G36" s="18">
        <v>0.40570000000000001</v>
      </c>
    </row>
    <row r="37" spans="1:7" x14ac:dyDescent="0.2">
      <c r="A37" s="16"/>
      <c r="B37" s="17" t="s">
        <v>24</v>
      </c>
      <c r="C37" s="19">
        <v>4</v>
      </c>
      <c r="D37" s="19">
        <v>1</v>
      </c>
      <c r="E37" s="19">
        <v>2</v>
      </c>
      <c r="F37" s="19">
        <v>7</v>
      </c>
      <c r="G37" s="19">
        <v>31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34</v>
      </c>
      <c r="E41" s="20">
        <v>33</v>
      </c>
      <c r="F41" s="20">
        <v>25</v>
      </c>
      <c r="G41" s="20">
        <v>19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16</v>
      </c>
      <c r="F49" s="20">
        <v>10</v>
      </c>
      <c r="G49" s="20">
        <v>2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96" t="s">
        <v>181</v>
      </c>
      <c r="P61" s="96" t="s">
        <v>182</v>
      </c>
      <c r="Q61" s="96" t="s">
        <v>183</v>
      </c>
    </row>
    <row r="62" spans="1:17" x14ac:dyDescent="0.2">
      <c r="A62" s="11"/>
      <c r="B62" s="43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34"/>
      <c r="B63" s="44" t="s">
        <v>18</v>
      </c>
      <c r="C63" s="45">
        <v>41.85125</v>
      </c>
      <c r="D63" s="45">
        <v>45.28875</v>
      </c>
      <c r="E63" s="45">
        <v>46.013750000000002</v>
      </c>
      <c r="F63" s="45">
        <v>46.445</v>
      </c>
      <c r="G63" s="45">
        <v>54.6</v>
      </c>
      <c r="H63" s="45">
        <v>53.615000000000002</v>
      </c>
      <c r="I63" s="45">
        <v>53.983750000000001</v>
      </c>
      <c r="J63" s="45">
        <v>50.353749999999998</v>
      </c>
      <c r="K63" s="45">
        <v>49.041249999999998</v>
      </c>
      <c r="L63" s="45">
        <v>37.400624999999998</v>
      </c>
      <c r="M63" s="45">
        <v>36.410625000000003</v>
      </c>
      <c r="N63" s="45">
        <v>35.960625</v>
      </c>
      <c r="O63" s="45">
        <v>22.143750000000001</v>
      </c>
      <c r="P63" s="45">
        <v>21.184999999999999</v>
      </c>
      <c r="Q63" s="45">
        <v>21.184999999999999</v>
      </c>
    </row>
    <row r="64" spans="1:17" x14ac:dyDescent="0.2">
      <c r="A64" s="46" t="s">
        <v>52</v>
      </c>
      <c r="B64" s="47" t="s">
        <v>16</v>
      </c>
      <c r="C64" s="46">
        <v>1</v>
      </c>
      <c r="D64" s="46">
        <v>1</v>
      </c>
      <c r="E64" s="46">
        <v>1</v>
      </c>
      <c r="F64" s="46">
        <v>1</v>
      </c>
      <c r="G64" s="46">
        <v>1</v>
      </c>
      <c r="H64" s="46">
        <v>1</v>
      </c>
      <c r="I64" s="46">
        <v>1</v>
      </c>
      <c r="J64" s="46">
        <v>1</v>
      </c>
      <c r="K64" s="46">
        <v>1</v>
      </c>
      <c r="L64" s="46">
        <v>1</v>
      </c>
      <c r="M64" s="46">
        <v>1</v>
      </c>
      <c r="N64" s="46">
        <v>1</v>
      </c>
      <c r="O64" s="46">
        <v>1</v>
      </c>
      <c r="P64" s="46">
        <v>1</v>
      </c>
      <c r="Q64" s="46">
        <v>1</v>
      </c>
    </row>
    <row r="65" spans="1:17" x14ac:dyDescent="0.2">
      <c r="A65" s="37" t="s">
        <v>52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6" t="s">
        <v>53</v>
      </c>
      <c r="B66" s="47" t="s">
        <v>16</v>
      </c>
      <c r="C66" s="46">
        <v>4</v>
      </c>
      <c r="D66" s="46">
        <v>4</v>
      </c>
      <c r="E66" s="46">
        <v>4</v>
      </c>
      <c r="F66" s="46">
        <v>4</v>
      </c>
      <c r="G66" s="46">
        <v>4</v>
      </c>
      <c r="H66" s="46">
        <v>4</v>
      </c>
      <c r="I66" s="46">
        <v>4</v>
      </c>
      <c r="J66" s="46">
        <v>4</v>
      </c>
      <c r="K66" s="46">
        <v>4</v>
      </c>
      <c r="L66" s="46">
        <v>4</v>
      </c>
      <c r="M66" s="46">
        <v>4</v>
      </c>
      <c r="N66" s="46">
        <v>4</v>
      </c>
      <c r="O66" s="46">
        <v>4</v>
      </c>
      <c r="P66" s="46">
        <v>4</v>
      </c>
      <c r="Q66" s="46">
        <v>4</v>
      </c>
    </row>
    <row r="67" spans="1:17" x14ac:dyDescent="0.2">
      <c r="A67" s="37" t="s">
        <v>53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4.8250000000000002</v>
      </c>
      <c r="H67" s="7">
        <v>4.8875000000000002</v>
      </c>
      <c r="I67" s="7">
        <v>5.3312499999999998</v>
      </c>
      <c r="J67" s="7">
        <v>4.5812499999999998</v>
      </c>
      <c r="K67" s="7">
        <v>4.5187499999999998</v>
      </c>
      <c r="L67" s="7">
        <v>3.703125</v>
      </c>
      <c r="M67" s="7">
        <v>3.2281249999999999</v>
      </c>
      <c r="N67" s="7">
        <v>3.2281249999999999</v>
      </c>
      <c r="O67" s="7">
        <v>3.0562499999999999</v>
      </c>
      <c r="P67" s="7">
        <v>2.9125000000000001</v>
      </c>
      <c r="Q67" s="7">
        <v>2.9125000000000001</v>
      </c>
    </row>
    <row r="68" spans="1:17" x14ac:dyDescent="0.2">
      <c r="A68" s="46" t="s">
        <v>54</v>
      </c>
      <c r="B68" s="47" t="s">
        <v>16</v>
      </c>
      <c r="C68" s="46">
        <v>7</v>
      </c>
      <c r="D68" s="46">
        <v>7</v>
      </c>
      <c r="E68" s="46">
        <v>7</v>
      </c>
      <c r="F68" s="46">
        <v>7</v>
      </c>
      <c r="G68" s="46">
        <v>7</v>
      </c>
      <c r="H68" s="46">
        <v>7</v>
      </c>
      <c r="I68" s="46">
        <v>7</v>
      </c>
      <c r="J68" s="46">
        <v>7</v>
      </c>
      <c r="K68" s="46">
        <v>7</v>
      </c>
      <c r="L68" s="46">
        <v>7</v>
      </c>
      <c r="M68" s="46">
        <v>7</v>
      </c>
      <c r="N68" s="46">
        <v>7</v>
      </c>
      <c r="O68" s="46">
        <v>7</v>
      </c>
      <c r="P68" s="46">
        <v>7</v>
      </c>
      <c r="Q68" s="46">
        <v>7</v>
      </c>
    </row>
    <row r="69" spans="1:17" x14ac:dyDescent="0.2">
      <c r="A69" s="37" t="s">
        <v>54</v>
      </c>
      <c r="B69" s="9" t="s">
        <v>18</v>
      </c>
      <c r="C69" s="7">
        <v>6.12</v>
      </c>
      <c r="D69" s="7">
        <v>5.7149999999999999</v>
      </c>
      <c r="E69" s="7">
        <v>6.42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9" t="s">
        <v>55</v>
      </c>
      <c r="B70" s="40" t="s">
        <v>16</v>
      </c>
      <c r="C70" s="40">
        <v>6</v>
      </c>
      <c r="D70" s="40">
        <v>6</v>
      </c>
      <c r="E70" s="40">
        <v>6</v>
      </c>
      <c r="F70" s="40">
        <v>6</v>
      </c>
      <c r="G70" s="40">
        <v>6</v>
      </c>
      <c r="H70" s="40">
        <v>6</v>
      </c>
      <c r="I70" s="40">
        <v>6</v>
      </c>
      <c r="J70" s="40">
        <v>6</v>
      </c>
      <c r="K70" s="40">
        <v>6</v>
      </c>
      <c r="L70" s="40">
        <v>6</v>
      </c>
      <c r="M70" s="40">
        <v>6</v>
      </c>
      <c r="N70" s="40">
        <v>6</v>
      </c>
      <c r="O70" s="40">
        <v>6</v>
      </c>
      <c r="P70" s="40">
        <v>6</v>
      </c>
      <c r="Q70" s="40">
        <v>6</v>
      </c>
    </row>
    <row r="71" spans="1:17" x14ac:dyDescent="0.2">
      <c r="A71" s="41" t="s">
        <v>56</v>
      </c>
      <c r="B71" s="42" t="s">
        <v>18</v>
      </c>
      <c r="C71" s="38">
        <v>5.12</v>
      </c>
      <c r="D71" s="38">
        <v>4.7149999999999999</v>
      </c>
      <c r="E71" s="38">
        <v>5.42</v>
      </c>
      <c r="F71" s="38">
        <v>5.04</v>
      </c>
      <c r="G71" s="38">
        <v>4.87</v>
      </c>
      <c r="H71" s="38">
        <v>4.7450000000000001</v>
      </c>
      <c r="I71" s="38">
        <v>4.3949999999999996</v>
      </c>
      <c r="J71" s="38">
        <v>4.22</v>
      </c>
      <c r="K71" s="38">
        <v>4.17</v>
      </c>
      <c r="L71" s="38">
        <v>3.855</v>
      </c>
      <c r="M71" s="38">
        <v>3.7149999999999999</v>
      </c>
      <c r="N71" s="38">
        <v>3.6150000000000002</v>
      </c>
      <c r="O71" s="38">
        <v>3.7549999999999999</v>
      </c>
      <c r="P71" s="38">
        <v>3.6150000000000002</v>
      </c>
      <c r="Q71" s="38">
        <v>3.6150000000000002</v>
      </c>
    </row>
    <row r="72" spans="1:17" x14ac:dyDescent="0.2">
      <c r="A72" s="39" t="s">
        <v>57</v>
      </c>
      <c r="B72" s="40" t="s">
        <v>16</v>
      </c>
      <c r="C72" s="40">
        <v>1</v>
      </c>
      <c r="D72" s="40">
        <v>1</v>
      </c>
      <c r="E72" s="40">
        <v>1</v>
      </c>
      <c r="F72" s="40">
        <v>1</v>
      </c>
      <c r="G72" s="40">
        <v>1</v>
      </c>
      <c r="H72" s="40">
        <v>1</v>
      </c>
      <c r="I72" s="40">
        <v>1</v>
      </c>
      <c r="J72" s="40">
        <v>1</v>
      </c>
      <c r="K72" s="40">
        <v>1</v>
      </c>
      <c r="L72" s="40">
        <v>1</v>
      </c>
      <c r="M72" s="40">
        <v>1</v>
      </c>
      <c r="N72" s="40">
        <v>1</v>
      </c>
      <c r="O72" s="40">
        <v>1</v>
      </c>
      <c r="P72" s="40">
        <v>1</v>
      </c>
      <c r="Q72" s="40">
        <v>1</v>
      </c>
    </row>
    <row r="73" spans="1:17" x14ac:dyDescent="0.2">
      <c r="A73" s="41" t="s">
        <v>58</v>
      </c>
      <c r="B73" s="42" t="s">
        <v>18</v>
      </c>
      <c r="C73" s="38">
        <v>1</v>
      </c>
      <c r="D73" s="38">
        <v>1</v>
      </c>
      <c r="E73" s="38">
        <v>1</v>
      </c>
      <c r="F73" s="38">
        <v>0.85</v>
      </c>
      <c r="G73" s="38">
        <v>0.85</v>
      </c>
      <c r="H73" s="38">
        <v>0.85</v>
      </c>
      <c r="I73" s="38">
        <v>0.85</v>
      </c>
      <c r="J73" s="38">
        <v>0.85</v>
      </c>
      <c r="K73" s="38">
        <v>0.85</v>
      </c>
      <c r="L73" s="38">
        <v>0.85</v>
      </c>
      <c r="M73" s="38">
        <v>0.85</v>
      </c>
      <c r="N73" s="38">
        <v>0.85</v>
      </c>
      <c r="O73" s="38">
        <v>0.85</v>
      </c>
      <c r="P73" s="38">
        <v>0.85</v>
      </c>
      <c r="Q73" s="38">
        <v>0.85</v>
      </c>
    </row>
    <row r="74" spans="1:17" x14ac:dyDescent="0.2">
      <c r="A74" s="46" t="s">
        <v>59</v>
      </c>
      <c r="B74" s="47" t="s">
        <v>16</v>
      </c>
      <c r="C74" s="46">
        <v>4</v>
      </c>
      <c r="D74" s="46">
        <v>4</v>
      </c>
      <c r="E74" s="46">
        <v>4</v>
      </c>
      <c r="F74" s="46">
        <v>4</v>
      </c>
      <c r="G74" s="46">
        <v>4</v>
      </c>
      <c r="H74" s="46">
        <v>4</v>
      </c>
      <c r="I74" s="46">
        <v>4</v>
      </c>
      <c r="J74" s="46">
        <v>4</v>
      </c>
      <c r="K74" s="46">
        <v>4</v>
      </c>
      <c r="L74" s="46">
        <v>4</v>
      </c>
      <c r="M74" s="46">
        <v>4</v>
      </c>
      <c r="N74" s="46">
        <v>4</v>
      </c>
      <c r="O74" s="46">
        <v>4</v>
      </c>
      <c r="P74" s="46">
        <v>4</v>
      </c>
      <c r="Q74" s="46">
        <v>4</v>
      </c>
    </row>
    <row r="75" spans="1:17" x14ac:dyDescent="0.2">
      <c r="A75" s="37" t="s">
        <v>59</v>
      </c>
      <c r="B75" s="9" t="s">
        <v>18</v>
      </c>
      <c r="C75" s="7">
        <v>3.9275000000000002</v>
      </c>
      <c r="D75" s="7">
        <v>3.5049999999999999</v>
      </c>
      <c r="E75" s="7">
        <v>3.9049999999999998</v>
      </c>
      <c r="F75" s="7">
        <v>4.085</v>
      </c>
      <c r="G75" s="7">
        <v>4.2625000000000002</v>
      </c>
      <c r="H75" s="7">
        <v>3.7749999999999999</v>
      </c>
      <c r="I75" s="7">
        <v>3.7749999999999999</v>
      </c>
      <c r="J75" s="7">
        <v>3.7749999999999999</v>
      </c>
      <c r="K75" s="7">
        <v>3.65</v>
      </c>
      <c r="L75" s="7">
        <v>2.96</v>
      </c>
      <c r="M75" s="7">
        <v>2.96</v>
      </c>
      <c r="N75" s="7">
        <v>2.91</v>
      </c>
      <c r="O75" s="7">
        <v>0.32</v>
      </c>
      <c r="P75" s="7">
        <v>0.27</v>
      </c>
      <c r="Q75" s="7">
        <v>0.27</v>
      </c>
    </row>
    <row r="76" spans="1:17" x14ac:dyDescent="0.2">
      <c r="A76" s="46" t="s">
        <v>60</v>
      </c>
      <c r="B76" s="47" t="s">
        <v>16</v>
      </c>
      <c r="C76" s="46">
        <v>2</v>
      </c>
      <c r="D76" s="46">
        <v>2</v>
      </c>
      <c r="E76" s="46">
        <v>2</v>
      </c>
      <c r="F76" s="46">
        <v>3</v>
      </c>
      <c r="G76" s="46">
        <v>3</v>
      </c>
      <c r="H76" s="46">
        <v>3</v>
      </c>
      <c r="I76" s="46">
        <v>3</v>
      </c>
      <c r="J76" s="46">
        <v>3</v>
      </c>
      <c r="K76" s="46">
        <v>3</v>
      </c>
      <c r="L76" s="46">
        <v>3</v>
      </c>
      <c r="M76" s="46">
        <v>3</v>
      </c>
      <c r="N76" s="46">
        <v>3</v>
      </c>
      <c r="O76" s="46">
        <v>3</v>
      </c>
      <c r="P76" s="46">
        <v>3</v>
      </c>
      <c r="Q76" s="46">
        <v>3</v>
      </c>
    </row>
    <row r="77" spans="1:17" x14ac:dyDescent="0.2">
      <c r="A77" s="37" t="s">
        <v>60</v>
      </c>
      <c r="B77" s="9" t="s">
        <v>18</v>
      </c>
      <c r="C77" s="7">
        <v>2.605</v>
      </c>
      <c r="D77" s="7">
        <v>2.6349999999999998</v>
      </c>
      <c r="E77" s="7">
        <v>2.2650000000000001</v>
      </c>
      <c r="F77" s="7">
        <v>2.4624999999999999</v>
      </c>
      <c r="G77" s="7">
        <v>2.4624999999999999</v>
      </c>
      <c r="H77" s="7">
        <v>2.4424999999999999</v>
      </c>
      <c r="I77" s="7">
        <v>2.5049999999999999</v>
      </c>
      <c r="J77" s="7">
        <v>2.3050000000000002</v>
      </c>
      <c r="K77" s="7">
        <v>2.3050000000000002</v>
      </c>
      <c r="L77" s="7">
        <v>0.92500000000000004</v>
      </c>
      <c r="M77" s="7">
        <v>0.875</v>
      </c>
      <c r="N77" s="7">
        <v>0.875</v>
      </c>
      <c r="O77" s="7">
        <v>0.625</v>
      </c>
      <c r="P77" s="7">
        <v>0.625</v>
      </c>
      <c r="Q77" s="7">
        <v>0.625</v>
      </c>
    </row>
    <row r="78" spans="1:17" x14ac:dyDescent="0.2">
      <c r="A78" s="46" t="s">
        <v>61</v>
      </c>
      <c r="B78" s="47" t="s">
        <v>16</v>
      </c>
      <c r="C78" s="46">
        <v>3</v>
      </c>
      <c r="D78" s="46">
        <v>3</v>
      </c>
      <c r="E78" s="46">
        <v>3</v>
      </c>
      <c r="F78" s="46">
        <v>3</v>
      </c>
      <c r="G78" s="46">
        <v>3</v>
      </c>
      <c r="H78" s="46">
        <v>3</v>
      </c>
      <c r="I78" s="46">
        <v>3</v>
      </c>
      <c r="J78" s="46">
        <v>3</v>
      </c>
      <c r="K78" s="46">
        <v>3</v>
      </c>
      <c r="L78" s="46">
        <v>3</v>
      </c>
      <c r="M78" s="46">
        <v>3</v>
      </c>
      <c r="N78" s="46">
        <v>3</v>
      </c>
      <c r="O78" s="46">
        <v>3</v>
      </c>
      <c r="P78" s="46">
        <v>3</v>
      </c>
      <c r="Q78" s="46">
        <v>3</v>
      </c>
    </row>
    <row r="79" spans="1:17" x14ac:dyDescent="0.2">
      <c r="A79" s="37" t="s">
        <v>61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2.2075</v>
      </c>
      <c r="G79" s="7">
        <v>2.1825000000000001</v>
      </c>
      <c r="H79" s="7">
        <v>2.1575000000000002</v>
      </c>
      <c r="I79" s="7">
        <v>2.1575000000000002</v>
      </c>
      <c r="J79" s="7">
        <v>2.1575000000000002</v>
      </c>
      <c r="K79" s="7">
        <v>1.8574999999999999</v>
      </c>
      <c r="L79" s="7">
        <v>1.3374999999999999</v>
      </c>
      <c r="M79" s="7">
        <v>1.3374999999999999</v>
      </c>
      <c r="N79" s="7">
        <v>1.3374999999999999</v>
      </c>
      <c r="O79" s="7">
        <v>0.53749999999999998</v>
      </c>
      <c r="P79" s="7">
        <v>0.53749999999999998</v>
      </c>
      <c r="Q79" s="7">
        <v>0.53749999999999998</v>
      </c>
    </row>
    <row r="80" spans="1:17" x14ac:dyDescent="0.2">
      <c r="A80" s="46" t="s">
        <v>62</v>
      </c>
      <c r="B80" s="47" t="s">
        <v>16</v>
      </c>
      <c r="C80" s="46">
        <v>4</v>
      </c>
      <c r="D80" s="46">
        <v>4</v>
      </c>
      <c r="E80" s="46">
        <v>4</v>
      </c>
      <c r="F80" s="46">
        <v>4</v>
      </c>
      <c r="G80" s="46">
        <v>4</v>
      </c>
      <c r="H80" s="46">
        <v>4</v>
      </c>
      <c r="I80" s="46">
        <v>4</v>
      </c>
      <c r="J80" s="46">
        <v>4</v>
      </c>
      <c r="K80" s="46">
        <v>4</v>
      </c>
      <c r="L80" s="46">
        <v>4</v>
      </c>
      <c r="M80" s="46">
        <v>4</v>
      </c>
      <c r="N80" s="46">
        <v>4</v>
      </c>
      <c r="O80" s="46">
        <v>4</v>
      </c>
      <c r="P80" s="46">
        <v>4</v>
      </c>
      <c r="Q80" s="46">
        <v>4</v>
      </c>
    </row>
    <row r="81" spans="1:17" x14ac:dyDescent="0.2">
      <c r="A81" s="37" t="s">
        <v>62</v>
      </c>
      <c r="B81" s="9" t="s">
        <v>18</v>
      </c>
      <c r="C81" s="7">
        <v>3.5</v>
      </c>
      <c r="D81" s="7">
        <v>3.53</v>
      </c>
      <c r="E81" s="7">
        <v>3.48</v>
      </c>
      <c r="F81" s="7">
        <v>3.5049999999999999</v>
      </c>
      <c r="G81" s="7">
        <v>4.3550000000000004</v>
      </c>
      <c r="H81" s="7">
        <v>4.4424999999999999</v>
      </c>
      <c r="I81" s="7">
        <v>4.8949999999999996</v>
      </c>
      <c r="J81" s="7">
        <v>4.5449999999999999</v>
      </c>
      <c r="K81" s="7">
        <v>4.0199999999999996</v>
      </c>
      <c r="L81" s="7">
        <v>2.5625</v>
      </c>
      <c r="M81" s="7">
        <v>2.2374999999999998</v>
      </c>
      <c r="N81" s="7">
        <v>1.9375</v>
      </c>
      <c r="O81" s="7">
        <v>1.3875</v>
      </c>
      <c r="P81" s="7">
        <v>1.0125</v>
      </c>
      <c r="Q81" s="7">
        <v>1.0125</v>
      </c>
    </row>
    <row r="82" spans="1:17" x14ac:dyDescent="0.2">
      <c r="A82" s="46" t="s">
        <v>63</v>
      </c>
      <c r="B82" s="47" t="s">
        <v>16</v>
      </c>
      <c r="C82" s="46">
        <v>5</v>
      </c>
      <c r="D82" s="46">
        <v>6</v>
      </c>
      <c r="E82" s="46">
        <v>5</v>
      </c>
      <c r="F82" s="46">
        <v>5</v>
      </c>
      <c r="G82" s="46">
        <v>5</v>
      </c>
      <c r="H82" s="46">
        <v>5</v>
      </c>
      <c r="I82" s="46">
        <v>5</v>
      </c>
      <c r="J82" s="46">
        <v>5</v>
      </c>
      <c r="K82" s="46">
        <v>5</v>
      </c>
      <c r="L82" s="46">
        <v>5</v>
      </c>
      <c r="M82" s="46">
        <v>5</v>
      </c>
      <c r="N82" s="46">
        <v>5</v>
      </c>
      <c r="O82" s="46">
        <v>5</v>
      </c>
      <c r="P82" s="46">
        <v>5</v>
      </c>
      <c r="Q82" s="46">
        <v>5</v>
      </c>
    </row>
    <row r="83" spans="1:17" x14ac:dyDescent="0.2">
      <c r="A83" s="37" t="s">
        <v>63</v>
      </c>
      <c r="B83" s="9" t="s">
        <v>18</v>
      </c>
      <c r="C83" s="7">
        <v>5.0875000000000004</v>
      </c>
      <c r="D83" s="7">
        <v>5.4625000000000004</v>
      </c>
      <c r="E83" s="7">
        <v>5.1375000000000002</v>
      </c>
      <c r="F83" s="7">
        <v>4.9050000000000002</v>
      </c>
      <c r="G83" s="7">
        <v>5.9024999999999999</v>
      </c>
      <c r="H83" s="7">
        <v>5.54</v>
      </c>
      <c r="I83" s="7">
        <v>5.1150000000000002</v>
      </c>
      <c r="J83" s="7">
        <v>5.1150000000000002</v>
      </c>
      <c r="K83" s="7">
        <v>5.1150000000000002</v>
      </c>
      <c r="L83" s="7">
        <v>3.6524999999999999</v>
      </c>
      <c r="M83" s="7">
        <v>3.6524999999999999</v>
      </c>
      <c r="N83" s="7">
        <v>3.6524999999999999</v>
      </c>
      <c r="O83" s="7">
        <v>3.4024999999999999</v>
      </c>
      <c r="P83" s="7">
        <v>3.1524999999999999</v>
      </c>
      <c r="Q83" s="7">
        <v>3.1524999999999999</v>
      </c>
    </row>
    <row r="84" spans="1:17" x14ac:dyDescent="0.2">
      <c r="A84" s="46" t="s">
        <v>64</v>
      </c>
      <c r="B84" s="47" t="s">
        <v>16</v>
      </c>
      <c r="C84" s="46">
        <v>12</v>
      </c>
      <c r="D84" s="46">
        <v>14</v>
      </c>
      <c r="E84" s="46">
        <v>17</v>
      </c>
      <c r="F84" s="46">
        <v>18</v>
      </c>
      <c r="G84" s="46">
        <v>18</v>
      </c>
      <c r="H84" s="46">
        <v>18</v>
      </c>
      <c r="I84" s="46">
        <v>18</v>
      </c>
      <c r="J84" s="46">
        <v>18</v>
      </c>
      <c r="K84" s="46">
        <v>18</v>
      </c>
      <c r="L84" s="46">
        <v>18</v>
      </c>
      <c r="M84" s="46">
        <v>18</v>
      </c>
      <c r="N84" s="46">
        <v>18</v>
      </c>
      <c r="O84" s="46">
        <v>18</v>
      </c>
      <c r="P84" s="46">
        <v>18</v>
      </c>
      <c r="Q84" s="46">
        <v>18</v>
      </c>
    </row>
    <row r="85" spans="1:17" x14ac:dyDescent="0.2">
      <c r="A85" s="37" t="s">
        <v>64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20.76</v>
      </c>
      <c r="H85" s="7">
        <v>20.434999999999999</v>
      </c>
      <c r="I85" s="7">
        <v>20.350000000000001</v>
      </c>
      <c r="J85" s="7">
        <v>18.074999999999999</v>
      </c>
      <c r="K85" s="7">
        <v>17.824999999999999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9" t="s">
        <v>65</v>
      </c>
      <c r="B86" s="40" t="s">
        <v>16</v>
      </c>
      <c r="C86" s="40">
        <v>2</v>
      </c>
      <c r="D86" s="40">
        <v>2</v>
      </c>
      <c r="E86" s="40">
        <v>2</v>
      </c>
      <c r="F86" s="40">
        <v>2</v>
      </c>
      <c r="G86" s="40">
        <v>2</v>
      </c>
      <c r="H86" s="40">
        <v>2</v>
      </c>
      <c r="I86" s="40">
        <v>2</v>
      </c>
      <c r="J86" s="40">
        <v>2</v>
      </c>
      <c r="K86" s="40">
        <v>2</v>
      </c>
      <c r="L86" s="40">
        <v>2</v>
      </c>
      <c r="M86" s="40">
        <v>2</v>
      </c>
      <c r="N86" s="40">
        <v>2</v>
      </c>
      <c r="O86" s="40">
        <v>2</v>
      </c>
      <c r="P86" s="40">
        <v>2</v>
      </c>
      <c r="Q86" s="40">
        <v>2</v>
      </c>
    </row>
    <row r="87" spans="1:17" x14ac:dyDescent="0.2">
      <c r="A87" s="41" t="s">
        <v>66</v>
      </c>
      <c r="B87" s="42" t="s">
        <v>18</v>
      </c>
      <c r="C87" s="38">
        <v>1.885</v>
      </c>
      <c r="D87" s="38">
        <v>1.99</v>
      </c>
      <c r="E87" s="38">
        <v>1.96</v>
      </c>
      <c r="F87" s="38">
        <v>2.21</v>
      </c>
      <c r="G87" s="38">
        <v>2.41</v>
      </c>
      <c r="H87" s="38">
        <v>2.16</v>
      </c>
      <c r="I87" s="38">
        <v>1.95</v>
      </c>
      <c r="J87" s="38">
        <v>1.7</v>
      </c>
      <c r="K87" s="38">
        <v>1.6</v>
      </c>
      <c r="L87" s="38">
        <v>1.6</v>
      </c>
      <c r="M87" s="38">
        <v>1.6</v>
      </c>
      <c r="N87" s="38">
        <v>1.6</v>
      </c>
      <c r="O87" s="38">
        <v>0.6</v>
      </c>
      <c r="P87" s="38">
        <v>0.6</v>
      </c>
      <c r="Q87" s="38">
        <v>0.6</v>
      </c>
    </row>
    <row r="88" spans="1:17" x14ac:dyDescent="0.2">
      <c r="A88" s="39" t="s">
        <v>67</v>
      </c>
      <c r="B88" s="40" t="s">
        <v>16</v>
      </c>
      <c r="C88" s="40">
        <v>1</v>
      </c>
      <c r="D88" s="40">
        <v>1</v>
      </c>
      <c r="E88" s="40">
        <v>1</v>
      </c>
      <c r="F88" s="40">
        <v>1</v>
      </c>
      <c r="G88" s="40">
        <v>1</v>
      </c>
      <c r="H88" s="40">
        <v>1</v>
      </c>
      <c r="I88" s="40">
        <v>1</v>
      </c>
      <c r="J88" s="40">
        <v>1</v>
      </c>
      <c r="K88" s="40">
        <v>1</v>
      </c>
      <c r="L88" s="40">
        <v>1</v>
      </c>
      <c r="M88" s="40">
        <v>1</v>
      </c>
      <c r="N88" s="40">
        <v>1</v>
      </c>
      <c r="O88" s="40">
        <v>1</v>
      </c>
      <c r="P88" s="40">
        <v>1</v>
      </c>
      <c r="Q88" s="40">
        <v>1</v>
      </c>
    </row>
    <row r="89" spans="1:17" x14ac:dyDescent="0.2">
      <c r="A89" s="41" t="s">
        <v>68</v>
      </c>
      <c r="B89" s="42" t="s">
        <v>18</v>
      </c>
      <c r="C89" s="38">
        <v>1</v>
      </c>
      <c r="D89" s="38">
        <v>1</v>
      </c>
      <c r="E89" s="38">
        <v>1</v>
      </c>
      <c r="F89" s="38">
        <v>1</v>
      </c>
      <c r="G89" s="38">
        <v>1</v>
      </c>
      <c r="H89" s="38">
        <v>1</v>
      </c>
      <c r="I89" s="38">
        <v>1</v>
      </c>
      <c r="J89" s="38">
        <v>1</v>
      </c>
      <c r="K89" s="38">
        <v>1</v>
      </c>
      <c r="L89" s="38">
        <v>1</v>
      </c>
      <c r="M89" s="38">
        <v>1</v>
      </c>
      <c r="N89" s="38">
        <v>1</v>
      </c>
      <c r="O89" s="38">
        <v>0</v>
      </c>
      <c r="P89" s="38">
        <v>0</v>
      </c>
      <c r="Q89" s="38">
        <v>0</v>
      </c>
    </row>
    <row r="90" spans="1:17" x14ac:dyDescent="0.2">
      <c r="A90" s="39" t="s">
        <v>69</v>
      </c>
      <c r="B90" s="40" t="s">
        <v>16</v>
      </c>
      <c r="C90" s="40">
        <v>9</v>
      </c>
      <c r="D90" s="40">
        <v>11</v>
      </c>
      <c r="E90" s="40">
        <v>14</v>
      </c>
      <c r="F90" s="40">
        <v>15</v>
      </c>
      <c r="G90" s="40">
        <v>15</v>
      </c>
      <c r="H90" s="40">
        <v>15</v>
      </c>
      <c r="I90" s="40">
        <v>15</v>
      </c>
      <c r="J90" s="40">
        <v>15</v>
      </c>
      <c r="K90" s="40">
        <v>15</v>
      </c>
      <c r="L90" s="40">
        <v>15</v>
      </c>
      <c r="M90" s="40">
        <v>15</v>
      </c>
      <c r="N90" s="40">
        <v>15</v>
      </c>
      <c r="O90" s="40">
        <v>15</v>
      </c>
      <c r="P90" s="40">
        <v>15</v>
      </c>
      <c r="Q90" s="40">
        <v>15</v>
      </c>
    </row>
    <row r="91" spans="1:17" x14ac:dyDescent="0.2">
      <c r="A91" s="41" t="s">
        <v>70</v>
      </c>
      <c r="B91" s="42" t="s">
        <v>18</v>
      </c>
      <c r="C91" s="38">
        <v>8.35</v>
      </c>
      <c r="D91" s="38">
        <v>10.5</v>
      </c>
      <c r="E91" s="38">
        <v>11.9</v>
      </c>
      <c r="F91" s="38">
        <v>12.85</v>
      </c>
      <c r="G91" s="38">
        <v>17.350000000000001</v>
      </c>
      <c r="H91" s="38">
        <v>17.274999999999999</v>
      </c>
      <c r="I91" s="38">
        <v>17.399999999999999</v>
      </c>
      <c r="J91" s="38">
        <v>15.375</v>
      </c>
      <c r="K91" s="38">
        <v>15.225</v>
      </c>
      <c r="L91" s="38">
        <v>10.225</v>
      </c>
      <c r="M91" s="38">
        <v>10.225</v>
      </c>
      <c r="N91" s="38">
        <v>10.225</v>
      </c>
      <c r="O91" s="38">
        <v>1.7250000000000001</v>
      </c>
      <c r="P91" s="38">
        <v>1.7250000000000001</v>
      </c>
      <c r="Q91" s="38">
        <v>1.7250000000000001</v>
      </c>
    </row>
    <row r="92" spans="1:17" x14ac:dyDescent="0.2">
      <c r="A92" s="46" t="s">
        <v>71</v>
      </c>
      <c r="B92" s="47" t="s">
        <v>16</v>
      </c>
      <c r="C92" s="46">
        <v>4</v>
      </c>
      <c r="D92" s="46">
        <v>4</v>
      </c>
      <c r="E92" s="46">
        <v>4</v>
      </c>
      <c r="F92" s="46">
        <v>4</v>
      </c>
      <c r="G92" s="46">
        <v>4</v>
      </c>
      <c r="H92" s="46">
        <v>4</v>
      </c>
      <c r="I92" s="46">
        <v>4</v>
      </c>
      <c r="J92" s="46">
        <v>4</v>
      </c>
      <c r="K92" s="46">
        <v>4</v>
      </c>
      <c r="L92" s="46">
        <v>4</v>
      </c>
      <c r="M92" s="46">
        <v>4</v>
      </c>
      <c r="N92" s="46">
        <v>4</v>
      </c>
      <c r="O92" s="46">
        <v>4</v>
      </c>
      <c r="P92" s="46">
        <v>4</v>
      </c>
      <c r="Q92" s="46">
        <v>4</v>
      </c>
    </row>
    <row r="93" spans="1:17" x14ac:dyDescent="0.2">
      <c r="A93" s="37" t="s">
        <v>71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4.8849999999999998</v>
      </c>
      <c r="P93" s="7">
        <v>4.8849999999999998</v>
      </c>
      <c r="Q93" s="7">
        <v>4.8849999999999998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46</v>
      </c>
      <c r="F4">
        <f>IF(SD!G4&gt;0,SD!G4,"")</f>
        <v>55</v>
      </c>
      <c r="G4">
        <f>IF(SD!H4&gt;0,SD!H4,"")</f>
        <v>54</v>
      </c>
      <c r="H4">
        <f>IF(SD!I4&gt;0,SD!I4,"")</f>
        <v>54</v>
      </c>
      <c r="I4">
        <f>IF(SD!J4&gt;0,SD!J4,"")</f>
        <v>50</v>
      </c>
      <c r="J4">
        <f>IF(SD!K4&gt;0,SD!K4,"")</f>
        <v>49</v>
      </c>
      <c r="K4">
        <f>IF(SD!L4&gt;0,SD!L4,"")</f>
        <v>37</v>
      </c>
      <c r="L4">
        <f>IF(SD!M4&gt;0,SD!M4,"")</f>
        <v>36</v>
      </c>
      <c r="M4">
        <f>IF(SD!N4&gt;0,SD!N4,"")</f>
        <v>36</v>
      </c>
      <c r="N4">
        <f>IF(SD!O4&gt;0,SD!O4,"")</f>
        <v>22.143750000000001</v>
      </c>
      <c r="O4">
        <f>IF(SD!P4&gt;0,SD!P4,"")</f>
        <v>21.184999999999999</v>
      </c>
      <c r="P4">
        <f>IF(SD!Q4&gt;0,SD!Q4,"")</f>
        <v>21.184999999999999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33</v>
      </c>
      <c r="D5">
        <f>IF(SD!E11&gt;0,SD!E11,"")</f>
        <v>32</v>
      </c>
      <c r="E5">
        <f>IF(SD!F11&gt;0,SD!F11,"")</f>
        <v>32</v>
      </c>
      <c r="F5">
        <f>IF(SD!G11&gt;0,SD!G11,"")</f>
        <v>35</v>
      </c>
      <c r="G5">
        <f>IF(SD!H11&gt;0,SD!H11,"")</f>
        <v>34</v>
      </c>
      <c r="H5">
        <f>IF(SD!I11&gt;0,SD!I11,"")</f>
        <v>35</v>
      </c>
      <c r="I5">
        <f>IF(SD!J11&gt;0,SD!J11,"")</f>
        <v>33</v>
      </c>
      <c r="J5">
        <f>IF(SD!K11&gt;0,SD!K11,"")</f>
        <v>32</v>
      </c>
      <c r="K5">
        <f>IF(SD!L11&gt;0,SD!L11,"")</f>
        <v>25</v>
      </c>
      <c r="L5">
        <f>IF(SD!M11&gt;0,SD!M11,"")</f>
        <v>24</v>
      </c>
      <c r="M5">
        <f>IF(SD!N11&gt;0,SD!N11,"")</f>
        <v>24</v>
      </c>
      <c r="N5">
        <f>IF(SD!O11&gt;0,SD!O11,"")</f>
        <v>19.568750000000001</v>
      </c>
      <c r="O5">
        <f>IF(SD!P11&gt;0,SD!P11,"")</f>
        <v>18.61</v>
      </c>
      <c r="P5">
        <f>IF(SD!Q11&gt;0,SD!Q11,"")</f>
        <v>18.61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17</v>
      </c>
      <c r="G7">
        <f>IF(SD!H19&gt;0,SD!H19,"")</f>
        <v>17</v>
      </c>
      <c r="H7">
        <f>IF(SD!I19&gt;0,SD!I19,"")</f>
        <v>17</v>
      </c>
      <c r="I7">
        <f>IF(SD!J19&gt;0,SD!J19,"")</f>
        <v>15</v>
      </c>
      <c r="J7">
        <f>IF(SD!K19&gt;0,SD!K19,"")</f>
        <v>15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33</v>
      </c>
      <c r="D14">
        <f>IF(SD!E11&gt;0,SD!E11,"")</f>
        <v>32</v>
      </c>
      <c r="E14">
        <f>IF(SD!F11&gt;0,SD!F11,"")</f>
        <v>32</v>
      </c>
      <c r="F14">
        <f>IF(SD!G11&gt;0,SD!G11,"")</f>
        <v>35</v>
      </c>
      <c r="G14">
        <f>IF(SD!H11&gt;0,SD!H11,"")</f>
        <v>34</v>
      </c>
      <c r="H14">
        <f>IF(SD!I11&gt;0,SD!I11,"")</f>
        <v>35</v>
      </c>
      <c r="I14">
        <f>IF(SD!J11&gt;0,SD!J11,"")</f>
        <v>33</v>
      </c>
      <c r="J14">
        <f>IF(SD!K11&gt;0,SD!K11,"")</f>
        <v>32</v>
      </c>
      <c r="K14">
        <f>IF(SD!L11&gt;0,SD!L11,"")</f>
        <v>25</v>
      </c>
      <c r="L14">
        <f>IF(SD!M11&gt;0,SD!M11,"")</f>
        <v>24</v>
      </c>
      <c r="M14">
        <f>IF(SD!N11&gt;0,SD!N11,"")</f>
        <v>24</v>
      </c>
      <c r="N14">
        <f>IF(SD!O11&gt;0,SD!O11,"")</f>
        <v>19.568750000000001</v>
      </c>
      <c r="O14">
        <f>IF(SD!P11&gt;0,SD!P11,"")</f>
        <v>18.61</v>
      </c>
      <c r="P14">
        <f>IF(SD!Q11&gt;0,SD!Q11,"")</f>
        <v>18.61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17</v>
      </c>
      <c r="G34">
        <f>IF(SD!H19&gt;0,SD!H19,"")</f>
        <v>17</v>
      </c>
      <c r="H34">
        <f>IF(SD!I19&gt;0,SD!I19,"")</f>
        <v>17</v>
      </c>
      <c r="I34">
        <f>IF(SD!J19&gt;0,SD!J19,"")</f>
        <v>15</v>
      </c>
      <c r="J34">
        <f>IF(SD!K19&gt;0,SD!K19,"")</f>
        <v>15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52</v>
      </c>
      <c r="D44">
        <f>IF(SD!E34&gt;0,SD!E34,"")</f>
        <v>51</v>
      </c>
      <c r="E44">
        <f>IF(SD!F34&gt;0,SD!F34,"")</f>
        <v>37</v>
      </c>
      <c r="F44">
        <f>IF(SD!G34&gt;0,SD!G34,"")</f>
        <v>22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34</v>
      </c>
      <c r="D45">
        <f>IF(SD!E41&gt;0,SD!E41,"")</f>
        <v>33</v>
      </c>
      <c r="E45">
        <f>IF(SD!F41&gt;0,SD!F41,"")</f>
        <v>25</v>
      </c>
      <c r="F45">
        <f>IF(SD!G41&gt;0,SD!G41,"")</f>
        <v>19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16</v>
      </c>
      <c r="D47">
        <f>IF(SD!E49&gt;0,SD!E49,"")</f>
        <v>16</v>
      </c>
      <c r="E47">
        <f>IF(SD!F49&gt;0,SD!F49,"")</f>
        <v>10</v>
      </c>
      <c r="F47">
        <f>IF(SD!G49&gt;0,SD!G49,"")</f>
        <v>2</v>
      </c>
    </row>
    <row r="51" spans="1:16" x14ac:dyDescent="0.2">
      <c r="A51" s="55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4.8250000000000002</v>
      </c>
      <c r="G53">
        <f>SD!H67</f>
        <v>4.8875000000000002</v>
      </c>
      <c r="H53">
        <f>SD!I67</f>
        <v>5.3312499999999998</v>
      </c>
      <c r="I53">
        <f>SD!J67</f>
        <v>4.5812499999999998</v>
      </c>
      <c r="J53">
        <f>SD!K67</f>
        <v>4.5187499999999998</v>
      </c>
      <c r="K53">
        <f>SD!L67</f>
        <v>3.703125</v>
      </c>
      <c r="L53">
        <f>SD!M67</f>
        <v>3.2281249999999999</v>
      </c>
      <c r="M53">
        <f>SD!N67</f>
        <v>3.2281249999999999</v>
      </c>
      <c r="N53">
        <f>SD!O67</f>
        <v>3.0562499999999999</v>
      </c>
      <c r="O53">
        <f>SD!P67</f>
        <v>2.9125000000000001</v>
      </c>
      <c r="P53">
        <f>SD!Q67</f>
        <v>2.9125000000000001</v>
      </c>
    </row>
    <row r="54" spans="1:16" s="63" customFormat="1" x14ac:dyDescent="0.2">
      <c r="A54" s="63" t="s">
        <v>24</v>
      </c>
      <c r="B54" s="64">
        <f>B52-B53</f>
        <v>1.5437500000000002</v>
      </c>
      <c r="C54" s="64">
        <f t="shared" ref="C54:P54" si="0">C52-C53</f>
        <v>0.46875</v>
      </c>
      <c r="D54" s="64">
        <f t="shared" si="0"/>
        <v>0.80624999999999991</v>
      </c>
      <c r="E54" s="64">
        <f t="shared" si="0"/>
        <v>0.79999999999999982</v>
      </c>
      <c r="F54" s="64">
        <f t="shared" si="0"/>
        <v>-0.82500000000000018</v>
      </c>
      <c r="G54" s="64">
        <f t="shared" si="0"/>
        <v>-0.88750000000000018</v>
      </c>
      <c r="H54" s="64">
        <f t="shared" si="0"/>
        <v>-1.3312499999999998</v>
      </c>
      <c r="I54" s="64">
        <f t="shared" si="0"/>
        <v>-0.58124999999999982</v>
      </c>
      <c r="J54" s="64">
        <f t="shared" si="0"/>
        <v>-0.51874999999999982</v>
      </c>
      <c r="K54" s="64">
        <f t="shared" si="0"/>
        <v>0.296875</v>
      </c>
      <c r="L54" s="64">
        <f t="shared" si="0"/>
        <v>0.77187500000000009</v>
      </c>
      <c r="M54" s="64">
        <f t="shared" si="0"/>
        <v>0.77187500000000009</v>
      </c>
      <c r="N54" s="64">
        <f t="shared" si="0"/>
        <v>0.94375000000000009</v>
      </c>
      <c r="O54" s="64">
        <f t="shared" si="0"/>
        <v>1.0874999999999999</v>
      </c>
      <c r="P54" s="64">
        <f t="shared" si="0"/>
        <v>1.0874999999999999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76.510416666666671</v>
      </c>
      <c r="C56" s="56">
        <f>(AVERAGE(E53:G53)/AVERAGE(E52:G52))*100</f>
        <v>107.60416666666669</v>
      </c>
      <c r="D56" s="56">
        <f>(AVERAGE(H53:J53)/AVERAGE(H52:J52))*100</f>
        <v>120.26041666666664</v>
      </c>
      <c r="E56" s="56">
        <f>(AVERAGE(K53:M53)/AVERAGE(K52:M52))*100</f>
        <v>84.661458333333343</v>
      </c>
      <c r="F56" s="56">
        <f>(AVERAGE(N53:P53)/AVERAGE(N52:P52))*100</f>
        <v>74.010416666666671</v>
      </c>
    </row>
    <row r="61" spans="1:16" x14ac:dyDescent="0.2">
      <c r="A61" s="55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6.42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63" customFormat="1" x14ac:dyDescent="0.2">
      <c r="A64" s="63" t="s">
        <v>24</v>
      </c>
      <c r="B64" s="64">
        <f>B62-B63</f>
        <v>0.87999999999999989</v>
      </c>
      <c r="C64" s="64">
        <f t="shared" ref="C64:P64" si="2">C62-C63</f>
        <v>1.2850000000000001</v>
      </c>
      <c r="D64" s="64">
        <f t="shared" si="2"/>
        <v>0.58000000000000007</v>
      </c>
      <c r="E64" s="64">
        <f t="shared" si="2"/>
        <v>1.1100000000000003</v>
      </c>
      <c r="F64" s="64">
        <f t="shared" si="2"/>
        <v>1.2800000000000002</v>
      </c>
      <c r="G64" s="64">
        <f t="shared" si="2"/>
        <v>1.4050000000000002</v>
      </c>
      <c r="H64" s="64">
        <f t="shared" si="2"/>
        <v>1.7549999999999999</v>
      </c>
      <c r="I64" s="64">
        <f t="shared" si="2"/>
        <v>1.9299999999999997</v>
      </c>
      <c r="J64" s="64">
        <f t="shared" si="2"/>
        <v>1.9800000000000004</v>
      </c>
      <c r="K64" s="64">
        <f t="shared" si="2"/>
        <v>2.2949999999999999</v>
      </c>
      <c r="L64" s="64">
        <f t="shared" si="2"/>
        <v>2.4349999999999996</v>
      </c>
      <c r="M64" s="64">
        <f t="shared" si="2"/>
        <v>2.5350000000000001</v>
      </c>
      <c r="N64" s="64">
        <f t="shared" si="2"/>
        <v>2.3949999999999996</v>
      </c>
      <c r="O64" s="64">
        <f t="shared" si="2"/>
        <v>2.5350000000000001</v>
      </c>
      <c r="P64" s="64">
        <f t="shared" si="2"/>
        <v>2.5350000000000001</v>
      </c>
    </row>
    <row r="65" spans="1:1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16" s="56" customFormat="1" x14ac:dyDescent="0.2">
      <c r="A66" s="56" t="str">
        <f>$A$156</f>
        <v>% Plan</v>
      </c>
      <c r="B66" s="56">
        <f>(AVERAGE(B63:D63)/AVERAGE(B62:D62))*100</f>
        <v>86.928571428571445</v>
      </c>
      <c r="C66" s="56">
        <f>(AVERAGE(E63:G63)/AVERAGE(E62:G62))*100</f>
        <v>81.928571428571416</v>
      </c>
      <c r="D66" s="56">
        <f>(AVERAGE(H63:J63)/AVERAGE(H62:J62))*100</f>
        <v>73.023809523809533</v>
      </c>
      <c r="E66" s="56">
        <f>(AVERAGE(K63:M63)/AVERAGE(K62:M62))*100</f>
        <v>65.404761904761898</v>
      </c>
      <c r="F66" s="56">
        <f>(AVERAGE(N63:P63)/AVERAGE(N62:P62))*100</f>
        <v>64.452380952380949</v>
      </c>
    </row>
    <row r="71" spans="1:16" x14ac:dyDescent="0.2">
      <c r="A71" s="55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3.9275000000000002</v>
      </c>
      <c r="C73">
        <f>SD!D75</f>
        <v>3.5049999999999999</v>
      </c>
      <c r="D73">
        <f>SD!E75</f>
        <v>3.9049999999999998</v>
      </c>
      <c r="E73">
        <f>SD!F75</f>
        <v>4.085</v>
      </c>
      <c r="F73">
        <f>SD!G75</f>
        <v>4.2625000000000002</v>
      </c>
      <c r="G73">
        <f>SD!H75</f>
        <v>3.7749999999999999</v>
      </c>
      <c r="H73">
        <f>SD!I75</f>
        <v>3.7749999999999999</v>
      </c>
      <c r="I73">
        <f>SD!J75</f>
        <v>3.7749999999999999</v>
      </c>
      <c r="J73">
        <f>SD!K75</f>
        <v>3.65</v>
      </c>
      <c r="K73">
        <f>SD!L75</f>
        <v>2.96</v>
      </c>
      <c r="L73">
        <f>SD!M75</f>
        <v>2.96</v>
      </c>
      <c r="M73">
        <f>SD!N75</f>
        <v>2.91</v>
      </c>
      <c r="N73">
        <f>SD!O75</f>
        <v>0.32</v>
      </c>
      <c r="O73">
        <f>SD!P75</f>
        <v>0.27</v>
      </c>
      <c r="P73">
        <f>SD!Q75</f>
        <v>0.27</v>
      </c>
    </row>
    <row r="74" spans="1:16" s="63" customFormat="1" x14ac:dyDescent="0.2">
      <c r="A74" s="63" t="s">
        <v>24</v>
      </c>
      <c r="B74" s="64">
        <f>B72-B73</f>
        <v>7.2499999999999787E-2</v>
      </c>
      <c r="C74" s="64">
        <f t="shared" ref="C74:P74" si="4">C72-C73</f>
        <v>0.49500000000000011</v>
      </c>
      <c r="D74" s="64">
        <f t="shared" si="4"/>
        <v>9.5000000000000195E-2</v>
      </c>
      <c r="E74" s="64">
        <f t="shared" si="4"/>
        <v>-8.4999999999999964E-2</v>
      </c>
      <c r="F74" s="64">
        <f t="shared" si="4"/>
        <v>-0.26250000000000018</v>
      </c>
      <c r="G74" s="64">
        <f t="shared" si="4"/>
        <v>0.22500000000000009</v>
      </c>
      <c r="H74" s="64">
        <f t="shared" si="4"/>
        <v>0.22500000000000009</v>
      </c>
      <c r="I74" s="64">
        <f t="shared" si="4"/>
        <v>0.22500000000000009</v>
      </c>
      <c r="J74" s="64">
        <f t="shared" si="4"/>
        <v>0.35000000000000009</v>
      </c>
      <c r="K74" s="64">
        <f t="shared" si="4"/>
        <v>1.04</v>
      </c>
      <c r="L74" s="64">
        <f t="shared" si="4"/>
        <v>1.04</v>
      </c>
      <c r="M74" s="64">
        <f t="shared" si="4"/>
        <v>1.0899999999999999</v>
      </c>
      <c r="N74" s="64">
        <f t="shared" si="4"/>
        <v>3.68</v>
      </c>
      <c r="O74" s="64">
        <f t="shared" si="4"/>
        <v>3.73</v>
      </c>
      <c r="P74" s="64">
        <f t="shared" si="4"/>
        <v>3.73</v>
      </c>
    </row>
    <row r="75" spans="1:16" s="56" customFormat="1" x14ac:dyDescent="0.2">
      <c r="B75" s="56" t="str">
        <f>B$155</f>
        <v>Q2</v>
      </c>
      <c r="C75" s="56" t="str">
        <f t="shared" ref="C75:F75" si="5">C$155</f>
        <v>Q3</v>
      </c>
      <c r="D75" s="56" t="str">
        <f t="shared" si="5"/>
        <v>Q4</v>
      </c>
      <c r="E75" s="56" t="str">
        <f t="shared" si="5"/>
        <v>Q1'27</v>
      </c>
      <c r="F75" s="56" t="str">
        <f t="shared" si="5"/>
        <v>Q2'27</v>
      </c>
    </row>
    <row r="76" spans="1:16" s="56" customFormat="1" x14ac:dyDescent="0.2">
      <c r="A76" s="56" t="str">
        <f>$A$156</f>
        <v>% Plan</v>
      </c>
      <c r="B76" s="56">
        <f>(AVERAGE(B73:D73)/AVERAGE(B72:D72))*100</f>
        <v>94.479166666666671</v>
      </c>
      <c r="C76" s="56">
        <f>(AVERAGE(E73:G73)/AVERAGE(E72:G72))*100</f>
        <v>101.02083333333334</v>
      </c>
      <c r="D76" s="56">
        <f>(AVERAGE(H73:J73)/AVERAGE(H72:J72))*100</f>
        <v>93.333333333333329</v>
      </c>
      <c r="E76" s="56">
        <f>(AVERAGE(K73:M73)/AVERAGE(K72:M72))*100</f>
        <v>73.583333333333329</v>
      </c>
      <c r="F76" s="56">
        <f>(AVERAGE(N73:P73)/AVERAGE(N72:P72))*100</f>
        <v>7.166666666666667</v>
      </c>
    </row>
    <row r="81" spans="1:16" x14ac:dyDescent="0.2">
      <c r="A81" s="55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2.605</v>
      </c>
      <c r="C83">
        <f>SD!D77</f>
        <v>2.6349999999999998</v>
      </c>
      <c r="D83">
        <f>SD!E77</f>
        <v>2.2650000000000001</v>
      </c>
      <c r="E83">
        <f>SD!F77</f>
        <v>2.4624999999999999</v>
      </c>
      <c r="F83">
        <f>SD!G77</f>
        <v>2.4624999999999999</v>
      </c>
      <c r="G83">
        <f>SD!H77</f>
        <v>2.4424999999999999</v>
      </c>
      <c r="H83">
        <f>SD!I77</f>
        <v>2.5049999999999999</v>
      </c>
      <c r="I83">
        <f>SD!J77</f>
        <v>2.3050000000000002</v>
      </c>
      <c r="J83">
        <f>SD!K77</f>
        <v>2.3050000000000002</v>
      </c>
      <c r="K83">
        <f>SD!L77</f>
        <v>0.92500000000000004</v>
      </c>
      <c r="L83">
        <f>SD!M77</f>
        <v>0.875</v>
      </c>
      <c r="M83">
        <f>SD!N77</f>
        <v>0.875</v>
      </c>
      <c r="N83">
        <f>SD!O77</f>
        <v>0.625</v>
      </c>
      <c r="O83">
        <f>SD!P77</f>
        <v>0.625</v>
      </c>
      <c r="P83">
        <f>SD!Q77</f>
        <v>0.625</v>
      </c>
    </row>
    <row r="84" spans="1:16" s="63" customFormat="1" x14ac:dyDescent="0.2">
      <c r="A84" s="63" t="s">
        <v>24</v>
      </c>
      <c r="B84" s="64">
        <f>B82-B83</f>
        <v>-0.60499999999999998</v>
      </c>
      <c r="C84" s="64">
        <f t="shared" ref="C84:P84" si="6">C82-C83</f>
        <v>-0.63499999999999979</v>
      </c>
      <c r="D84" s="64">
        <f t="shared" si="6"/>
        <v>-0.26500000000000012</v>
      </c>
      <c r="E84" s="64">
        <f t="shared" si="6"/>
        <v>0.53750000000000009</v>
      </c>
      <c r="F84" s="64">
        <f t="shared" si="6"/>
        <v>0.53750000000000009</v>
      </c>
      <c r="G84" s="64">
        <f t="shared" si="6"/>
        <v>0.55750000000000011</v>
      </c>
      <c r="H84" s="64">
        <f t="shared" si="6"/>
        <v>0.49500000000000011</v>
      </c>
      <c r="I84" s="64">
        <f t="shared" si="6"/>
        <v>0.69499999999999984</v>
      </c>
      <c r="J84" s="64">
        <f t="shared" si="6"/>
        <v>0.69499999999999984</v>
      </c>
      <c r="K84" s="64">
        <f t="shared" si="6"/>
        <v>2.0750000000000002</v>
      </c>
      <c r="L84" s="64">
        <f t="shared" si="6"/>
        <v>2.125</v>
      </c>
      <c r="M84" s="64">
        <f t="shared" si="6"/>
        <v>2.125</v>
      </c>
      <c r="N84" s="64">
        <f t="shared" si="6"/>
        <v>2.375</v>
      </c>
      <c r="O84" s="64">
        <f t="shared" si="6"/>
        <v>2.375</v>
      </c>
      <c r="P84" s="64">
        <f t="shared" si="6"/>
        <v>2.375</v>
      </c>
    </row>
    <row r="85" spans="1:16" s="56" customFormat="1" x14ac:dyDescent="0.2">
      <c r="B85" s="56" t="str">
        <f>B$155</f>
        <v>Q2</v>
      </c>
      <c r="C85" s="56" t="str">
        <f t="shared" ref="C85:F85" si="7">C$155</f>
        <v>Q3</v>
      </c>
      <c r="D85" s="56" t="str">
        <f t="shared" si="7"/>
        <v>Q4</v>
      </c>
      <c r="E85" s="56" t="str">
        <f t="shared" si="7"/>
        <v>Q1'27</v>
      </c>
      <c r="F85" s="56" t="str">
        <f t="shared" si="7"/>
        <v>Q2'27</v>
      </c>
    </row>
    <row r="86" spans="1:16" s="56" customFormat="1" x14ac:dyDescent="0.2">
      <c r="A86" s="56" t="str">
        <f>$A$156</f>
        <v>% Plan</v>
      </c>
      <c r="B86" s="56">
        <f>(AVERAGE(B83:D83)/AVERAGE(B82:D82))*100</f>
        <v>125.08333333333334</v>
      </c>
      <c r="C86" s="56">
        <f>(AVERAGE(E83:G83)/AVERAGE(E82:G82))*100</f>
        <v>81.8611111111111</v>
      </c>
      <c r="D86" s="56">
        <f>(AVERAGE(H83:J83)/AVERAGE(H82:J82))*100</f>
        <v>79.055555555555557</v>
      </c>
      <c r="E86" s="56">
        <f>(AVERAGE(K83:M83)/AVERAGE(K82:M82))*100</f>
        <v>29.722222222222221</v>
      </c>
      <c r="F86" s="56">
        <f>(AVERAGE(N83:P83)/AVERAGE(N82:P82))*100</f>
        <v>20.833333333333336</v>
      </c>
    </row>
    <row r="91" spans="1:16" x14ac:dyDescent="0.2">
      <c r="A91" s="55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2.2075</v>
      </c>
      <c r="F93">
        <f>SD!G79</f>
        <v>2.1825000000000001</v>
      </c>
      <c r="G93">
        <f>SD!H79</f>
        <v>2.1575000000000002</v>
      </c>
      <c r="H93">
        <f>SD!I79</f>
        <v>2.1575000000000002</v>
      </c>
      <c r="I93">
        <f>SD!J79</f>
        <v>2.1575000000000002</v>
      </c>
      <c r="J93">
        <f>SD!K79</f>
        <v>1.8574999999999999</v>
      </c>
      <c r="K93">
        <f>SD!L79</f>
        <v>1.3374999999999999</v>
      </c>
      <c r="L93">
        <f>SD!M79</f>
        <v>1.3374999999999999</v>
      </c>
      <c r="M93">
        <f>SD!N79</f>
        <v>1.3374999999999999</v>
      </c>
      <c r="N93">
        <f>SD!O79</f>
        <v>0.53749999999999998</v>
      </c>
      <c r="O93">
        <f>SD!P79</f>
        <v>0.53749999999999998</v>
      </c>
      <c r="P93">
        <f>SD!Q79</f>
        <v>0.53749999999999998</v>
      </c>
    </row>
    <row r="94" spans="1:16" s="63" customFormat="1" x14ac:dyDescent="0.2">
      <c r="A94" s="63" t="s">
        <v>24</v>
      </c>
      <c r="B94" s="64">
        <f>B92-B93</f>
        <v>0.14999999999999991</v>
      </c>
      <c r="C94" s="64">
        <f t="shared" ref="C94:P94" si="8">C92-C93</f>
        <v>-0.35000000000000009</v>
      </c>
      <c r="D94" s="64">
        <f t="shared" si="8"/>
        <v>0.48749999999999982</v>
      </c>
      <c r="E94" s="64">
        <f t="shared" si="8"/>
        <v>0.79249999999999998</v>
      </c>
      <c r="F94" s="64">
        <f t="shared" si="8"/>
        <v>0.81749999999999989</v>
      </c>
      <c r="G94" s="64">
        <f t="shared" si="8"/>
        <v>0.8424999999999998</v>
      </c>
      <c r="H94" s="64">
        <f t="shared" si="8"/>
        <v>0.8424999999999998</v>
      </c>
      <c r="I94" s="64">
        <f t="shared" si="8"/>
        <v>0.8424999999999998</v>
      </c>
      <c r="J94" s="64">
        <f t="shared" si="8"/>
        <v>1.1425000000000001</v>
      </c>
      <c r="K94" s="64">
        <f t="shared" si="8"/>
        <v>1.6625000000000001</v>
      </c>
      <c r="L94" s="64">
        <f t="shared" si="8"/>
        <v>1.6625000000000001</v>
      </c>
      <c r="M94" s="64">
        <f t="shared" si="8"/>
        <v>1.6625000000000001</v>
      </c>
      <c r="N94" s="64">
        <f t="shared" si="8"/>
        <v>2.4624999999999999</v>
      </c>
      <c r="O94" s="64">
        <f t="shared" si="8"/>
        <v>2.4624999999999999</v>
      </c>
      <c r="P94" s="64">
        <f t="shared" si="8"/>
        <v>2.4624999999999999</v>
      </c>
    </row>
    <row r="95" spans="1:16" s="56" customFormat="1" x14ac:dyDescent="0.2">
      <c r="B95" s="56" t="str">
        <f>B$155</f>
        <v>Q2</v>
      </c>
      <c r="C95" s="56" t="str">
        <f t="shared" ref="C95:F95" si="9">C$155</f>
        <v>Q3</v>
      </c>
      <c r="D95" s="56" t="str">
        <f t="shared" si="9"/>
        <v>Q4</v>
      </c>
      <c r="E95" s="56" t="str">
        <f t="shared" si="9"/>
        <v>Q1'27</v>
      </c>
      <c r="F95" s="56" t="str">
        <f t="shared" si="9"/>
        <v>Q2'27</v>
      </c>
    </row>
    <row r="96" spans="1:16" s="56" customFormat="1" x14ac:dyDescent="0.2">
      <c r="A96" s="56" t="str">
        <f>$A$156</f>
        <v>% Plan</v>
      </c>
      <c r="B96" s="56">
        <f>(AVERAGE(B93:D93)/AVERAGE(B92:D92))*100</f>
        <v>96.805555555555557</v>
      </c>
      <c r="C96" s="56">
        <f>(AVERAGE(E93:G93)/AVERAGE(E92:G92))*100</f>
        <v>72.750000000000014</v>
      </c>
      <c r="D96" s="56">
        <f>(AVERAGE(H93:J93)/AVERAGE(H92:J92))*100</f>
        <v>68.583333333333343</v>
      </c>
      <c r="E96" s="56">
        <f>(AVERAGE(K93:M93)/AVERAGE(K92:M92))*100</f>
        <v>44.583333333333321</v>
      </c>
      <c r="F96" s="56">
        <f>(AVERAGE(N93:P93)/AVERAGE(N92:P92))*100</f>
        <v>17.916666666666668</v>
      </c>
    </row>
    <row r="101" spans="1:16" x14ac:dyDescent="0.2">
      <c r="A101" s="55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3.5049999999999999</v>
      </c>
      <c r="F103">
        <f>SD!G81</f>
        <v>4.3550000000000004</v>
      </c>
      <c r="G103">
        <f>SD!H81</f>
        <v>4.4424999999999999</v>
      </c>
      <c r="H103">
        <f>SD!I81</f>
        <v>4.8949999999999996</v>
      </c>
      <c r="I103">
        <f>SD!J81</f>
        <v>4.5449999999999999</v>
      </c>
      <c r="J103">
        <f>SD!K81</f>
        <v>4.0199999999999996</v>
      </c>
      <c r="K103">
        <f>SD!L81</f>
        <v>2.5625</v>
      </c>
      <c r="L103">
        <f>SD!M81</f>
        <v>2.2374999999999998</v>
      </c>
      <c r="M103">
        <f>SD!N81</f>
        <v>1.9375</v>
      </c>
      <c r="N103">
        <f>SD!O81</f>
        <v>1.3875</v>
      </c>
      <c r="O103">
        <f>SD!P81</f>
        <v>1.0125</v>
      </c>
      <c r="P103">
        <f>SD!Q81</f>
        <v>1.0125</v>
      </c>
    </row>
    <row r="104" spans="1:16" s="63" customFormat="1" x14ac:dyDescent="0.2">
      <c r="A104" s="63" t="s">
        <v>24</v>
      </c>
      <c r="B104" s="64">
        <f>B102-B103</f>
        <v>0.5</v>
      </c>
      <c r="C104" s="64">
        <f t="shared" ref="C104:P104" si="10">C102-C103</f>
        <v>0.4700000000000002</v>
      </c>
      <c r="D104" s="64">
        <f t="shared" si="10"/>
        <v>0.52</v>
      </c>
      <c r="E104" s="64">
        <f t="shared" si="10"/>
        <v>0.49500000000000011</v>
      </c>
      <c r="F104" s="64">
        <f t="shared" si="10"/>
        <v>-0.35500000000000043</v>
      </c>
      <c r="G104" s="64">
        <f t="shared" si="10"/>
        <v>-0.44249999999999989</v>
      </c>
      <c r="H104" s="64">
        <f t="shared" si="10"/>
        <v>-0.89499999999999957</v>
      </c>
      <c r="I104" s="64">
        <f t="shared" si="10"/>
        <v>-0.54499999999999993</v>
      </c>
      <c r="J104" s="64">
        <f t="shared" si="10"/>
        <v>-1.9999999999999574E-2</v>
      </c>
      <c r="K104" s="64">
        <f t="shared" si="10"/>
        <v>1.4375</v>
      </c>
      <c r="L104" s="64">
        <f t="shared" si="10"/>
        <v>1.7625000000000002</v>
      </c>
      <c r="M104" s="64">
        <f t="shared" si="10"/>
        <v>2.0625</v>
      </c>
      <c r="N104" s="64">
        <f t="shared" si="10"/>
        <v>2.6124999999999998</v>
      </c>
      <c r="O104" s="64">
        <f t="shared" si="10"/>
        <v>2.9874999999999998</v>
      </c>
      <c r="P104" s="64">
        <f t="shared" si="10"/>
        <v>2.9874999999999998</v>
      </c>
    </row>
    <row r="105" spans="1:16" s="56" customFormat="1" x14ac:dyDescent="0.2">
      <c r="B105" s="56" t="str">
        <f>B$155</f>
        <v>Q2</v>
      </c>
      <c r="C105" s="56" t="str">
        <f t="shared" ref="C105:F105" si="11">C$155</f>
        <v>Q3</v>
      </c>
      <c r="D105" s="56" t="str">
        <f t="shared" si="11"/>
        <v>Q4</v>
      </c>
      <c r="E105" s="56" t="str">
        <f t="shared" si="11"/>
        <v>Q1'27</v>
      </c>
      <c r="F105" s="56" t="str">
        <f t="shared" si="11"/>
        <v>Q2'27</v>
      </c>
    </row>
    <row r="106" spans="1:16" s="56" customFormat="1" x14ac:dyDescent="0.2">
      <c r="A106" s="56" t="str">
        <f>$A$156</f>
        <v>% Plan</v>
      </c>
      <c r="B106" s="56">
        <f>(AVERAGE(B103:D103)/AVERAGE(B102:D102))*100</f>
        <v>87.583333333333329</v>
      </c>
      <c r="C106" s="56">
        <f>(AVERAGE(E103:G103)/AVERAGE(E102:G102))*100</f>
        <v>102.52083333333333</v>
      </c>
      <c r="D106" s="56">
        <f>(AVERAGE(H103:J103)/AVERAGE(H102:J102))*100</f>
        <v>112.16666666666666</v>
      </c>
      <c r="E106" s="56">
        <f>(AVERAGE(K103:M103)/AVERAGE(K102:M102))*100</f>
        <v>56.145833333333329</v>
      </c>
      <c r="F106" s="56">
        <f>(AVERAGE(N103:P103)/AVERAGE(N102:P102))*100</f>
        <v>28.4375</v>
      </c>
    </row>
    <row r="111" spans="1:16" x14ac:dyDescent="0.2">
      <c r="A111" s="55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5.0875000000000004</v>
      </c>
      <c r="C113">
        <f>SD!D83</f>
        <v>5.4625000000000004</v>
      </c>
      <c r="D113">
        <f>SD!E83</f>
        <v>5.1375000000000002</v>
      </c>
      <c r="E113">
        <f>SD!F83</f>
        <v>4.9050000000000002</v>
      </c>
      <c r="F113">
        <f>SD!G83</f>
        <v>5.9024999999999999</v>
      </c>
      <c r="G113">
        <f>SD!H83</f>
        <v>5.54</v>
      </c>
      <c r="H113">
        <f>SD!I83</f>
        <v>5.1150000000000002</v>
      </c>
      <c r="I113">
        <f>SD!J83</f>
        <v>5.1150000000000002</v>
      </c>
      <c r="J113">
        <f>SD!K83</f>
        <v>5.1150000000000002</v>
      </c>
      <c r="K113">
        <f>SD!L83</f>
        <v>3.6524999999999999</v>
      </c>
      <c r="L113">
        <f>SD!M83</f>
        <v>3.6524999999999999</v>
      </c>
      <c r="M113">
        <f>SD!N83</f>
        <v>3.6524999999999999</v>
      </c>
      <c r="N113">
        <f>SD!O83</f>
        <v>3.4024999999999999</v>
      </c>
      <c r="O113">
        <f>SD!P83</f>
        <v>3.1524999999999999</v>
      </c>
      <c r="P113">
        <f>SD!Q83</f>
        <v>3.1524999999999999</v>
      </c>
    </row>
    <row r="114" spans="1:16" s="63" customFormat="1" x14ac:dyDescent="0.2">
      <c r="A114" s="63" t="s">
        <v>24</v>
      </c>
      <c r="B114" s="64">
        <f>B112-B113</f>
        <v>-8.7500000000000355E-2</v>
      </c>
      <c r="C114" s="64">
        <f t="shared" ref="C114:P114" si="12">C112-C113</f>
        <v>0.53749999999999964</v>
      </c>
      <c r="D114" s="64">
        <f t="shared" si="12"/>
        <v>-0.13750000000000018</v>
      </c>
      <c r="E114" s="64">
        <f t="shared" si="12"/>
        <v>9.4999999999999751E-2</v>
      </c>
      <c r="F114" s="64">
        <f t="shared" si="12"/>
        <v>-0.90249999999999986</v>
      </c>
      <c r="G114" s="64">
        <f t="shared" si="12"/>
        <v>-0.54</v>
      </c>
      <c r="H114" s="64">
        <f t="shared" si="12"/>
        <v>-0.11500000000000021</v>
      </c>
      <c r="I114" s="64">
        <f t="shared" si="12"/>
        <v>-0.11500000000000021</v>
      </c>
      <c r="J114" s="64">
        <f t="shared" si="12"/>
        <v>-0.11500000000000021</v>
      </c>
      <c r="K114" s="64">
        <f t="shared" si="12"/>
        <v>1.3475000000000001</v>
      </c>
      <c r="L114" s="64">
        <f t="shared" si="12"/>
        <v>1.3475000000000001</v>
      </c>
      <c r="M114" s="64">
        <f t="shared" si="12"/>
        <v>1.3475000000000001</v>
      </c>
      <c r="N114" s="64">
        <f t="shared" si="12"/>
        <v>1.5975000000000001</v>
      </c>
      <c r="O114" s="64">
        <f t="shared" si="12"/>
        <v>1.8475000000000001</v>
      </c>
      <c r="P114" s="64">
        <f t="shared" si="12"/>
        <v>1.8475000000000001</v>
      </c>
    </row>
    <row r="115" spans="1:16" s="56" customFormat="1" x14ac:dyDescent="0.2">
      <c r="B115" s="56" t="str">
        <f>B$155</f>
        <v>Q2</v>
      </c>
      <c r="C115" s="56" t="str">
        <f t="shared" ref="C115:F115" si="13">C$155</f>
        <v>Q3</v>
      </c>
      <c r="D115" s="56" t="str">
        <f t="shared" si="13"/>
        <v>Q4</v>
      </c>
      <c r="E115" s="56" t="str">
        <f t="shared" si="13"/>
        <v>Q1'27</v>
      </c>
      <c r="F115" s="56" t="str">
        <f t="shared" si="13"/>
        <v>Q2'27</v>
      </c>
    </row>
    <row r="116" spans="1:16" s="56" customFormat="1" x14ac:dyDescent="0.2">
      <c r="A116" s="56" t="str">
        <f>$A$156</f>
        <v>% Plan</v>
      </c>
      <c r="B116" s="56">
        <f>(AVERAGE(B113:D113)/AVERAGE(B112:D112))*100</f>
        <v>98.046875000000014</v>
      </c>
      <c r="C116" s="56">
        <f>(AVERAGE(E113:G113)/AVERAGE(E112:G112))*100</f>
        <v>108.98333333333335</v>
      </c>
      <c r="D116" s="56">
        <f>(AVERAGE(H113:J113)/AVERAGE(H112:J112))*100</f>
        <v>102.30000000000001</v>
      </c>
      <c r="E116" s="56">
        <f>(AVERAGE(K113:M113)/AVERAGE(K112:M112))*100</f>
        <v>73.05</v>
      </c>
      <c r="F116" s="56">
        <f>(AVERAGE(N113:P113)/AVERAGE(N112:P112))*100</f>
        <v>64.716666666666669</v>
      </c>
    </row>
    <row r="121" spans="1:16" x14ac:dyDescent="0.2">
      <c r="A121" s="55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20.76</v>
      </c>
      <c r="G123">
        <f>SD!H85</f>
        <v>20.434999999999999</v>
      </c>
      <c r="H123">
        <f>SD!I85</f>
        <v>20.350000000000001</v>
      </c>
      <c r="I123">
        <f>SD!J85</f>
        <v>18.074999999999999</v>
      </c>
      <c r="J123">
        <f>SD!K85</f>
        <v>17.824999999999999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63" customFormat="1" x14ac:dyDescent="0.2">
      <c r="A124" s="63" t="s">
        <v>24</v>
      </c>
      <c r="B124" s="64">
        <f>B122-B123</f>
        <v>0.76500000000000057</v>
      </c>
      <c r="C124" s="64">
        <f t="shared" ref="C124:P124" si="14">C122-C123</f>
        <v>0.50999999999999979</v>
      </c>
      <c r="D124" s="64">
        <f t="shared" si="14"/>
        <v>2.1400000000000006</v>
      </c>
      <c r="E124" s="64">
        <f t="shared" si="14"/>
        <v>1.9400000000000013</v>
      </c>
      <c r="F124" s="64">
        <f t="shared" si="14"/>
        <v>-2.7600000000000016</v>
      </c>
      <c r="G124" s="64">
        <f t="shared" si="14"/>
        <v>-2.4349999999999987</v>
      </c>
      <c r="H124" s="64">
        <f t="shared" si="14"/>
        <v>-2.3500000000000014</v>
      </c>
      <c r="I124" s="64">
        <f t="shared" si="14"/>
        <v>-7.4999999999999289E-2</v>
      </c>
      <c r="J124" s="64">
        <f t="shared" si="14"/>
        <v>0.17500000000000071</v>
      </c>
      <c r="K124" s="64">
        <f t="shared" si="14"/>
        <v>5.1750000000000007</v>
      </c>
      <c r="L124" s="64">
        <f t="shared" si="14"/>
        <v>5.1750000000000007</v>
      </c>
      <c r="M124" s="64">
        <f t="shared" si="14"/>
        <v>5.1750000000000007</v>
      </c>
      <c r="N124" s="64">
        <f t="shared" si="14"/>
        <v>15.675000000000001</v>
      </c>
      <c r="O124" s="64">
        <f t="shared" si="14"/>
        <v>15.675000000000001</v>
      </c>
      <c r="P124" s="64">
        <f t="shared" si="14"/>
        <v>15.675000000000001</v>
      </c>
    </row>
    <row r="125" spans="1:16" s="56" customFormat="1" x14ac:dyDescent="0.2">
      <c r="B125" s="56" t="str">
        <f>B$155</f>
        <v>Q2</v>
      </c>
      <c r="C125" s="56" t="str">
        <f t="shared" ref="C125:F125" si="15">C$155</f>
        <v>Q3</v>
      </c>
      <c r="D125" s="56" t="str">
        <f t="shared" si="15"/>
        <v>Q4</v>
      </c>
      <c r="E125" s="56" t="str">
        <f t="shared" si="15"/>
        <v>Q1'27</v>
      </c>
      <c r="F125" s="56" t="str">
        <f t="shared" si="15"/>
        <v>Q2'27</v>
      </c>
    </row>
    <row r="126" spans="1:16" s="56" customFormat="1" x14ac:dyDescent="0.2">
      <c r="A126" s="56" t="str">
        <f>$A$156</f>
        <v>% Plan</v>
      </c>
      <c r="B126" s="56">
        <f>(AVERAGE(B123:D123)/AVERAGE(B122:D122))*100</f>
        <v>92.058139534883722</v>
      </c>
      <c r="C126" s="56">
        <f>(AVERAGE(E123:G123)/AVERAGE(E122:G122))*100</f>
        <v>106.02777777777777</v>
      </c>
      <c r="D126" s="56">
        <f>(AVERAGE(H123:J123)/AVERAGE(H122:J122))*100</f>
        <v>104.16666666666667</v>
      </c>
      <c r="E126" s="56">
        <f>(AVERAGE(K123:M123)/AVERAGE(K122:M122))*100</f>
        <v>71.249999999999986</v>
      </c>
      <c r="F126" s="56">
        <f>(AVERAGE(N123:P123)/AVERAGE(N122:P122))*100</f>
        <v>12.916666666666668</v>
      </c>
    </row>
    <row r="131" spans="1:16" x14ac:dyDescent="0.2">
      <c r="A131" s="55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4.8849999999999998</v>
      </c>
      <c r="O133">
        <f>SD!P93</f>
        <v>4.8849999999999998</v>
      </c>
      <c r="P133">
        <f>SD!Q93</f>
        <v>4.8849999999999998</v>
      </c>
    </row>
    <row r="134" spans="1:16" s="63" customFormat="1" x14ac:dyDescent="0.2">
      <c r="A134" s="63" t="s">
        <v>24</v>
      </c>
      <c r="B134" s="64">
        <f>B132-B133</f>
        <v>0.93000000000000016</v>
      </c>
      <c r="C134" s="64">
        <f t="shared" ref="C134:P134" si="16">C132-C133</f>
        <v>0.93000000000000016</v>
      </c>
      <c r="D134" s="64">
        <f t="shared" si="16"/>
        <v>0.75999999999999979</v>
      </c>
      <c r="E134" s="64">
        <f t="shared" si="16"/>
        <v>0.87000000000000011</v>
      </c>
      <c r="F134" s="64">
        <f t="shared" si="16"/>
        <v>0.87000000000000011</v>
      </c>
      <c r="G134" s="64">
        <f t="shared" si="16"/>
        <v>0.66000000000000014</v>
      </c>
      <c r="H134" s="64">
        <f t="shared" si="16"/>
        <v>0.39000000000000012</v>
      </c>
      <c r="I134" s="64">
        <f t="shared" si="16"/>
        <v>0.27</v>
      </c>
      <c r="J134" s="64">
        <f t="shared" si="16"/>
        <v>0.27</v>
      </c>
      <c r="K134" s="64">
        <f t="shared" si="16"/>
        <v>0.27</v>
      </c>
      <c r="L134" s="64">
        <f t="shared" si="16"/>
        <v>0.27</v>
      </c>
      <c r="M134" s="64">
        <f t="shared" si="16"/>
        <v>0.27</v>
      </c>
      <c r="N134" s="64">
        <f t="shared" si="16"/>
        <v>-0.88499999999999979</v>
      </c>
      <c r="O134" s="64">
        <f t="shared" si="16"/>
        <v>-0.88499999999999979</v>
      </c>
      <c r="P134" s="64">
        <f t="shared" si="16"/>
        <v>-0.88499999999999979</v>
      </c>
    </row>
    <row r="135" spans="1:16" s="56" customFormat="1" x14ac:dyDescent="0.2">
      <c r="B135" s="56" t="str">
        <f>B$155</f>
        <v>Q2</v>
      </c>
      <c r="C135" s="56" t="str">
        <f t="shared" ref="C135:F135" si="17">C$155</f>
        <v>Q3</v>
      </c>
      <c r="D135" s="56" t="str">
        <f t="shared" si="17"/>
        <v>Q4</v>
      </c>
      <c r="E135" s="56" t="str">
        <f t="shared" si="17"/>
        <v>Q1'27</v>
      </c>
      <c r="F135" s="56" t="str">
        <f t="shared" si="17"/>
        <v>Q2'27</v>
      </c>
    </row>
    <row r="136" spans="1:16" s="56" customFormat="1" x14ac:dyDescent="0.2">
      <c r="A136" s="56" t="str">
        <f>$A$156</f>
        <v>% Plan</v>
      </c>
      <c r="B136" s="56">
        <f>(AVERAGE(B133:D133)/AVERAGE(B132:D132))*100</f>
        <v>78.166666666666657</v>
      </c>
      <c r="C136" s="56">
        <f>(AVERAGE(E133:G133)/AVERAGE(E132:G132))*100</f>
        <v>80</v>
      </c>
      <c r="D136" s="56">
        <f>(AVERAGE(H133:J133)/AVERAGE(H132:J132))*100</f>
        <v>92.25</v>
      </c>
      <c r="E136" s="56">
        <f>(AVERAGE(K133:M133)/AVERAGE(K132:M132))*100</f>
        <v>93.25</v>
      </c>
      <c r="F136" s="56">
        <f>(AVERAGE(N133:P133)/AVERAGE(N132:P132))*100</f>
        <v>122.125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90.98</v>
      </c>
      <c r="C152">
        <f>SD!D6*100</f>
        <v>92.43</v>
      </c>
      <c r="D152">
        <f>SD!E6*100</f>
        <v>90.22</v>
      </c>
      <c r="E152">
        <f>SD!F6*100</f>
        <v>87.63</v>
      </c>
      <c r="F152">
        <f>SD!G6*100</f>
        <v>103.02</v>
      </c>
      <c r="G152">
        <f>SD!H6*100</f>
        <v>101.16000000000001</v>
      </c>
      <c r="H152">
        <f>SD!I6*100</f>
        <v>101.86</v>
      </c>
      <c r="I152">
        <f>SD!J6*100</f>
        <v>95.009999999999991</v>
      </c>
      <c r="J152">
        <f>SD!K6*100</f>
        <v>92.53</v>
      </c>
      <c r="K152">
        <f>SD!L6*100</f>
        <v>70.569999999999993</v>
      </c>
      <c r="L152">
        <f>SD!M6*100</f>
        <v>68.7</v>
      </c>
      <c r="M152">
        <f>SD!N6*100</f>
        <v>67.849999999999994</v>
      </c>
      <c r="N152">
        <f>SD!O6*100</f>
        <v>41.78</v>
      </c>
      <c r="O152">
        <f>SD!P6*100</f>
        <v>39.97</v>
      </c>
      <c r="P152">
        <f>SD!Q6*100</f>
        <v>39.97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7</v>
      </c>
      <c r="F153">
        <f>SD!G7</f>
        <v>-2</v>
      </c>
      <c r="G153">
        <f>SD!H7</f>
        <v>-1</v>
      </c>
      <c r="H153">
        <f>SD!I7</f>
        <v>-1</v>
      </c>
      <c r="I153">
        <f>SD!J7</f>
        <v>3</v>
      </c>
      <c r="J153">
        <f>SD!K7</f>
        <v>4</v>
      </c>
      <c r="K153">
        <f>SD!L7</f>
        <v>16</v>
      </c>
      <c r="L153">
        <f>SD!M7</f>
        <v>17</v>
      </c>
      <c r="M153">
        <f>SD!N7</f>
        <v>17</v>
      </c>
      <c r="N153">
        <f>SD!O7</f>
        <v>31</v>
      </c>
      <c r="O153">
        <f>SD!P7</f>
        <v>32</v>
      </c>
      <c r="P153">
        <f>SD!Q7</f>
        <v>32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91.2</v>
      </c>
      <c r="C156">
        <f>SD!D36*100</f>
        <v>97.27</v>
      </c>
      <c r="D156">
        <f>SD!E36*100</f>
        <v>96.460000000000008</v>
      </c>
      <c r="E156">
        <f>SD!F36*100</f>
        <v>69.040000000000006</v>
      </c>
      <c r="F156">
        <f>SD!G36*100</f>
        <v>40.57</v>
      </c>
    </row>
    <row r="157" spans="1:16" x14ac:dyDescent="0.2">
      <c r="A157" t="str">
        <f>SD!B7</f>
        <v>Available FTE</v>
      </c>
      <c r="B157">
        <f>SD!C37</f>
        <v>4</v>
      </c>
      <c r="C157">
        <f>SD!D37</f>
        <v>1</v>
      </c>
      <c r="D157">
        <f>SD!E37</f>
        <v>2</v>
      </c>
      <c r="E157">
        <f>SD!F37</f>
        <v>7</v>
      </c>
      <c r="F157">
        <f>SD!G37</f>
        <v>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pane ySplit="1" topLeftCell="A96" activePane="bottomLeft" state="frozen"/>
      <selection pane="bottomLeft" activeCell="S9" sqref="S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95" t="s">
        <v>4</v>
      </c>
      <c r="D1" s="95" t="s">
        <v>5</v>
      </c>
      <c r="E1" s="95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96" t="s">
        <v>181</v>
      </c>
      <c r="P1" s="96" t="s">
        <v>182</v>
      </c>
      <c r="Q1" s="96" t="s">
        <v>183</v>
      </c>
    </row>
    <row r="2" spans="1:17" x14ac:dyDescent="0.2">
      <c r="A2" s="10" t="s">
        <v>34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34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34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30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30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184</v>
      </c>
    </row>
    <row r="32" spans="1:17" x14ac:dyDescent="0.2">
      <c r="A32" s="10" t="s">
        <v>34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34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34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7">
        <v>0.1961</v>
      </c>
      <c r="D35" s="27">
        <v>0.18429999999999999</v>
      </c>
      <c r="E35" s="27">
        <v>0.18490000000000001</v>
      </c>
      <c r="F35" s="27">
        <v>0.32529999999999998</v>
      </c>
      <c r="G35" s="27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30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30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181</v>
      </c>
      <c r="P61" s="5" t="s">
        <v>182</v>
      </c>
      <c r="Q61" s="5" t="s">
        <v>183</v>
      </c>
    </row>
    <row r="62" spans="1:17" x14ac:dyDescent="0.2">
      <c r="A62" s="11"/>
      <c r="B62" s="43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34"/>
      <c r="B63" s="44" t="s">
        <v>18</v>
      </c>
      <c r="C63" s="45">
        <v>17.488125</v>
      </c>
      <c r="D63" s="45">
        <v>16.893125000000001</v>
      </c>
      <c r="E63" s="45">
        <v>16.263124999999999</v>
      </c>
      <c r="F63" s="45">
        <v>15.7325</v>
      </c>
      <c r="G63" s="45">
        <v>15.8325</v>
      </c>
      <c r="H63" s="45">
        <v>14.932499999999999</v>
      </c>
      <c r="I63" s="45">
        <v>15.545</v>
      </c>
      <c r="J63" s="45">
        <v>15.5075</v>
      </c>
      <c r="K63" s="45">
        <v>15.407500000000001</v>
      </c>
      <c r="L63" s="45">
        <v>13.845000000000001</v>
      </c>
      <c r="M63" s="45">
        <v>13.7075</v>
      </c>
      <c r="N63" s="45">
        <v>12.932499999999999</v>
      </c>
      <c r="O63" s="45">
        <v>11.445</v>
      </c>
      <c r="P63" s="45">
        <v>11.307499999999999</v>
      </c>
      <c r="Q63" s="45">
        <v>11.307499999999999</v>
      </c>
    </row>
    <row r="64" spans="1:17" x14ac:dyDescent="0.2">
      <c r="A64" s="14" t="s">
        <v>72</v>
      </c>
      <c r="B64" s="6" t="s">
        <v>16</v>
      </c>
      <c r="C64" s="33">
        <v>3</v>
      </c>
      <c r="D64" s="33">
        <v>3</v>
      </c>
      <c r="E64" s="33">
        <v>3</v>
      </c>
      <c r="F64" s="33">
        <v>2</v>
      </c>
      <c r="G64" s="33">
        <v>2</v>
      </c>
      <c r="H64" s="33">
        <v>2</v>
      </c>
      <c r="I64" s="33">
        <v>2</v>
      </c>
      <c r="J64" s="33">
        <v>2</v>
      </c>
      <c r="K64" s="33">
        <v>2</v>
      </c>
      <c r="L64" s="33">
        <v>3</v>
      </c>
      <c r="M64" s="33">
        <v>3</v>
      </c>
      <c r="N64" s="33">
        <v>3</v>
      </c>
      <c r="O64" s="33">
        <v>3</v>
      </c>
      <c r="P64" s="33">
        <v>3</v>
      </c>
      <c r="Q64" s="33">
        <v>3</v>
      </c>
    </row>
    <row r="65" spans="1:17" x14ac:dyDescent="0.2">
      <c r="A65" s="37" t="s">
        <v>72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73</v>
      </c>
      <c r="B66" s="6" t="s">
        <v>16</v>
      </c>
      <c r="C66" s="33">
        <v>8</v>
      </c>
      <c r="D66" s="33">
        <v>8</v>
      </c>
      <c r="E66" s="33">
        <v>8</v>
      </c>
      <c r="F66" s="33">
        <v>8</v>
      </c>
      <c r="G66" s="33">
        <v>8</v>
      </c>
      <c r="H66" s="33">
        <v>8</v>
      </c>
      <c r="I66" s="33">
        <v>8</v>
      </c>
      <c r="J66" s="33">
        <v>8</v>
      </c>
      <c r="K66" s="33">
        <v>8</v>
      </c>
      <c r="L66" s="33">
        <v>8</v>
      </c>
      <c r="M66" s="33">
        <v>8</v>
      </c>
      <c r="N66" s="33">
        <v>8</v>
      </c>
      <c r="O66" s="33">
        <v>8</v>
      </c>
      <c r="P66" s="33">
        <v>8</v>
      </c>
      <c r="Q66" s="33">
        <v>8</v>
      </c>
    </row>
    <row r="67" spans="1:17" x14ac:dyDescent="0.2">
      <c r="A67" s="37" t="s">
        <v>73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74</v>
      </c>
      <c r="B68" s="6" t="s">
        <v>16</v>
      </c>
      <c r="C68" s="33">
        <v>6</v>
      </c>
      <c r="D68" s="33">
        <v>6</v>
      </c>
      <c r="E68" s="33">
        <v>6</v>
      </c>
      <c r="F68" s="33">
        <v>5</v>
      </c>
      <c r="G68" s="33">
        <v>5</v>
      </c>
      <c r="H68" s="33">
        <v>5</v>
      </c>
      <c r="I68" s="33">
        <v>5</v>
      </c>
      <c r="J68" s="33">
        <v>5</v>
      </c>
      <c r="K68" s="33">
        <v>5</v>
      </c>
      <c r="L68" s="33">
        <v>5</v>
      </c>
      <c r="M68" s="33">
        <v>5</v>
      </c>
      <c r="N68" s="33">
        <v>5</v>
      </c>
      <c r="O68" s="33">
        <v>5</v>
      </c>
      <c r="P68" s="33">
        <v>5</v>
      </c>
      <c r="Q68" s="33">
        <v>5</v>
      </c>
    </row>
    <row r="69" spans="1:17" x14ac:dyDescent="0.2">
      <c r="A69" s="37" t="s">
        <v>74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75</v>
      </c>
      <c r="B70" s="6" t="s">
        <v>16</v>
      </c>
      <c r="C70" s="33">
        <v>4</v>
      </c>
      <c r="D70" s="33">
        <v>4</v>
      </c>
      <c r="E70" s="33">
        <v>4</v>
      </c>
      <c r="F70" s="33">
        <v>4</v>
      </c>
      <c r="G70" s="33">
        <v>4</v>
      </c>
      <c r="H70" s="33">
        <v>4</v>
      </c>
      <c r="I70" s="33">
        <v>4</v>
      </c>
      <c r="J70" s="33">
        <v>4</v>
      </c>
      <c r="K70" s="33">
        <v>4</v>
      </c>
      <c r="L70" s="33">
        <v>4</v>
      </c>
      <c r="M70" s="33">
        <v>4</v>
      </c>
      <c r="N70" s="33">
        <v>4</v>
      </c>
      <c r="O70" s="33">
        <v>4</v>
      </c>
      <c r="P70" s="33">
        <v>4</v>
      </c>
      <c r="Q70" s="33">
        <v>4</v>
      </c>
    </row>
    <row r="71" spans="1:17" x14ac:dyDescent="0.2">
      <c r="A71" s="37" t="s">
        <v>75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76</v>
      </c>
      <c r="B72" s="6" t="s">
        <v>16</v>
      </c>
      <c r="C72" s="33">
        <v>0</v>
      </c>
      <c r="D72" s="33">
        <v>0</v>
      </c>
      <c r="E72" s="33">
        <v>0</v>
      </c>
      <c r="F72" s="33">
        <v>0</v>
      </c>
      <c r="G72" s="33">
        <v>0</v>
      </c>
      <c r="H72" s="33">
        <v>0</v>
      </c>
      <c r="I72" s="33">
        <v>0</v>
      </c>
      <c r="J72" s="33">
        <v>0</v>
      </c>
      <c r="K72" s="33">
        <v>0</v>
      </c>
      <c r="L72" s="33">
        <v>0</v>
      </c>
      <c r="M72" s="33">
        <v>0</v>
      </c>
      <c r="N72" s="33">
        <v>0</v>
      </c>
      <c r="O72" s="33">
        <v>0</v>
      </c>
      <c r="P72" s="33">
        <v>0</v>
      </c>
      <c r="Q72" s="33">
        <v>0</v>
      </c>
    </row>
    <row r="73" spans="1:17" x14ac:dyDescent="0.2">
      <c r="A73" s="37" t="s">
        <v>76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5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3" customFormat="1" x14ac:dyDescent="0.2">
      <c r="A54" s="63" t="s">
        <v>24</v>
      </c>
      <c r="B54" s="64">
        <f>B52-B53</f>
        <v>0.10000000000000009</v>
      </c>
      <c r="C54" s="64">
        <f t="shared" ref="C54:P54" si="0">C52-C53</f>
        <v>0.10000000000000009</v>
      </c>
      <c r="D54" s="64">
        <f t="shared" si="0"/>
        <v>0.10000000000000009</v>
      </c>
      <c r="E54" s="64">
        <f t="shared" si="0"/>
        <v>0</v>
      </c>
      <c r="F54" s="64">
        <f t="shared" si="0"/>
        <v>0</v>
      </c>
      <c r="G54" s="64">
        <f t="shared" si="0"/>
        <v>0</v>
      </c>
      <c r="H54" s="64">
        <f t="shared" si="0"/>
        <v>0</v>
      </c>
      <c r="I54" s="64">
        <f t="shared" si="0"/>
        <v>0</v>
      </c>
      <c r="J54" s="64">
        <f t="shared" si="0"/>
        <v>0</v>
      </c>
      <c r="K54" s="64">
        <f t="shared" si="0"/>
        <v>0.10000000000000009</v>
      </c>
      <c r="L54" s="64">
        <f t="shared" si="0"/>
        <v>0.10000000000000009</v>
      </c>
      <c r="M54" s="64">
        <f t="shared" si="0"/>
        <v>0.10000000000000009</v>
      </c>
      <c r="N54" s="64">
        <f t="shared" si="0"/>
        <v>0.10000000000000009</v>
      </c>
      <c r="O54" s="64">
        <f t="shared" si="0"/>
        <v>0.10000000000000009</v>
      </c>
      <c r="P54" s="64">
        <f t="shared" si="0"/>
        <v>0.10000000000000009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96.666666666666671</v>
      </c>
      <c r="C56" s="56">
        <f>(AVERAGE(E53:G53)/AVERAGE(E52:G52))*100</f>
        <v>100</v>
      </c>
      <c r="D56" s="56">
        <f>(AVERAGE(H53:J53)/AVERAGE(H52:J52))*100</f>
        <v>100</v>
      </c>
      <c r="E56" s="56">
        <f>(AVERAGE(K53:M53)/AVERAGE(K52:M52))*100</f>
        <v>96.666666666666671</v>
      </c>
      <c r="F56" s="56">
        <f>(AVERAGE(N53:P53)/AVERAGE(N52:P52))*100</f>
        <v>96.666666666666671</v>
      </c>
    </row>
    <row r="61" spans="1:16" x14ac:dyDescent="0.2">
      <c r="A61" s="55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63" customFormat="1" x14ac:dyDescent="0.2">
      <c r="A64" s="63" t="s">
        <v>24</v>
      </c>
      <c r="B64" s="64">
        <f>B62-B63</f>
        <v>1.086875</v>
      </c>
      <c r="C64" s="64">
        <f t="shared" ref="C64:P64" si="2">C62-C63</f>
        <v>1.0118749999999999</v>
      </c>
      <c r="D64" s="64">
        <f t="shared" si="2"/>
        <v>1.1118750000000004</v>
      </c>
      <c r="E64" s="64">
        <f t="shared" si="2"/>
        <v>1.8425000000000002</v>
      </c>
      <c r="F64" s="64">
        <f t="shared" si="2"/>
        <v>1.8925000000000001</v>
      </c>
      <c r="G64" s="64">
        <f t="shared" si="2"/>
        <v>1.8925000000000001</v>
      </c>
      <c r="H64" s="64">
        <f t="shared" si="2"/>
        <v>1.58</v>
      </c>
      <c r="I64" s="64">
        <f t="shared" si="2"/>
        <v>1.8674999999999997</v>
      </c>
      <c r="J64" s="64">
        <f t="shared" si="2"/>
        <v>1.8674999999999997</v>
      </c>
      <c r="K64" s="64">
        <f t="shared" si="2"/>
        <v>2.38</v>
      </c>
      <c r="L64" s="64">
        <f t="shared" si="2"/>
        <v>2.5175000000000001</v>
      </c>
      <c r="M64" s="64">
        <f t="shared" si="2"/>
        <v>2.5175000000000001</v>
      </c>
      <c r="N64" s="64">
        <f t="shared" si="2"/>
        <v>3.3550000000000004</v>
      </c>
      <c r="O64" s="64">
        <f t="shared" si="2"/>
        <v>3.4924999999999997</v>
      </c>
      <c r="P64" s="64">
        <f t="shared" si="2"/>
        <v>3.4924999999999997</v>
      </c>
    </row>
    <row r="65" spans="1:1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16" s="56" customFormat="1" x14ac:dyDescent="0.2">
      <c r="A66" s="56" t="str">
        <f>$A$156</f>
        <v>% Plan</v>
      </c>
      <c r="B66" s="56">
        <f>(AVERAGE(B63:D63)/AVERAGE(B62:D62))*100</f>
        <v>86.622395833333329</v>
      </c>
      <c r="C66" s="56">
        <f>(AVERAGE(E63:G63)/AVERAGE(E62:G62))*100</f>
        <v>76.552083333333343</v>
      </c>
      <c r="D66" s="56">
        <f>(AVERAGE(H63:J63)/AVERAGE(H62:J62))*100</f>
        <v>77.854166666666686</v>
      </c>
      <c r="E66" s="56">
        <f>(AVERAGE(K63:M63)/AVERAGE(K62:M62))*100</f>
        <v>69.104166666666671</v>
      </c>
      <c r="F66" s="56">
        <f>(AVERAGE(N63:P63)/AVERAGE(N62:P62))*100</f>
        <v>56.916666666666671</v>
      </c>
    </row>
    <row r="71" spans="1:16" x14ac:dyDescent="0.2">
      <c r="A71" s="55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63" customFormat="1" x14ac:dyDescent="0.2">
      <c r="A74" s="63" t="s">
        <v>24</v>
      </c>
      <c r="B74" s="64">
        <f>B72-B73</f>
        <v>1.5750000000000002</v>
      </c>
      <c r="C74" s="64">
        <f t="shared" ref="C74:P74" si="4">C72-C73</f>
        <v>1.6500000000000004</v>
      </c>
      <c r="D74" s="64">
        <f t="shared" si="4"/>
        <v>1.9000000000000004</v>
      </c>
      <c r="E74" s="64">
        <f t="shared" si="4"/>
        <v>0.77500000000000036</v>
      </c>
      <c r="F74" s="64">
        <f t="shared" si="4"/>
        <v>0.77500000000000036</v>
      </c>
      <c r="G74" s="64">
        <f t="shared" si="4"/>
        <v>0.77500000000000036</v>
      </c>
      <c r="H74" s="64">
        <f t="shared" si="4"/>
        <v>0.875</v>
      </c>
      <c r="I74" s="64">
        <f t="shared" si="4"/>
        <v>0.875</v>
      </c>
      <c r="J74" s="64">
        <f t="shared" si="4"/>
        <v>0.875</v>
      </c>
      <c r="K74" s="64">
        <f t="shared" si="4"/>
        <v>2.125</v>
      </c>
      <c r="L74" s="64">
        <f t="shared" si="4"/>
        <v>2.125</v>
      </c>
      <c r="M74" s="64">
        <f t="shared" si="4"/>
        <v>2.9</v>
      </c>
      <c r="N74" s="64">
        <f t="shared" si="4"/>
        <v>3.15</v>
      </c>
      <c r="O74" s="64">
        <f t="shared" si="4"/>
        <v>3.15</v>
      </c>
      <c r="P74" s="64">
        <f t="shared" si="4"/>
        <v>3.15</v>
      </c>
    </row>
    <row r="75" spans="1:16" s="56" customFormat="1" x14ac:dyDescent="0.2">
      <c r="B75" s="56" t="str">
        <f>B$155</f>
        <v>Q2</v>
      </c>
      <c r="C75" s="56" t="str">
        <f t="shared" ref="C75:F75" si="5">C$155</f>
        <v>Q3</v>
      </c>
      <c r="D75" s="56" t="str">
        <f t="shared" si="5"/>
        <v>Q4</v>
      </c>
      <c r="E75" s="56" t="str">
        <f t="shared" si="5"/>
        <v>Q1'27</v>
      </c>
      <c r="F75" s="56" t="str">
        <f t="shared" si="5"/>
        <v>Q2'27</v>
      </c>
    </row>
    <row r="76" spans="1:16" s="56" customFormat="1" x14ac:dyDescent="0.2">
      <c r="A76" s="56" t="str">
        <f>$A$156</f>
        <v>% Plan</v>
      </c>
      <c r="B76" s="56">
        <f>(AVERAGE(B73:D73)/AVERAGE(B72:D72))*100</f>
        <v>71.527777777777771</v>
      </c>
      <c r="C76" s="56">
        <f>(AVERAGE(E73:G73)/AVERAGE(E72:G72))*100</f>
        <v>84.5</v>
      </c>
      <c r="D76" s="56">
        <f>(AVERAGE(H73:J73)/AVERAGE(H72:J72))*100</f>
        <v>82.5</v>
      </c>
      <c r="E76" s="56">
        <f>(AVERAGE(K73:M73)/AVERAGE(K72:M72))*100</f>
        <v>52.333333333333329</v>
      </c>
      <c r="F76" s="56">
        <f>(AVERAGE(N73:P73)/AVERAGE(N72:P72))*100</f>
        <v>37.000000000000007</v>
      </c>
    </row>
    <row r="81" spans="1:16" x14ac:dyDescent="0.2">
      <c r="A81" s="55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63" customFormat="1" x14ac:dyDescent="0.2">
      <c r="A84" s="63" t="s">
        <v>24</v>
      </c>
      <c r="B84" s="64">
        <f>B82-B83</f>
        <v>0.75</v>
      </c>
      <c r="C84" s="64">
        <f t="shared" ref="C84:P84" si="6">C82-C83</f>
        <v>1.3450000000000002</v>
      </c>
      <c r="D84" s="64">
        <f t="shared" si="6"/>
        <v>1.625</v>
      </c>
      <c r="E84" s="64">
        <f t="shared" si="6"/>
        <v>0.64999999999999991</v>
      </c>
      <c r="F84" s="64">
        <f t="shared" si="6"/>
        <v>0.5</v>
      </c>
      <c r="G84" s="64">
        <f t="shared" si="6"/>
        <v>1.4</v>
      </c>
      <c r="H84" s="64">
        <f t="shared" si="6"/>
        <v>1</v>
      </c>
      <c r="I84" s="64">
        <f t="shared" si="6"/>
        <v>0.75</v>
      </c>
      <c r="J84" s="64">
        <f t="shared" si="6"/>
        <v>0.85000000000000009</v>
      </c>
      <c r="K84" s="64">
        <f t="shared" si="6"/>
        <v>1.5499999999999998</v>
      </c>
      <c r="L84" s="64">
        <f t="shared" si="6"/>
        <v>1.5499999999999998</v>
      </c>
      <c r="M84" s="64">
        <f t="shared" si="6"/>
        <v>1.5499999999999998</v>
      </c>
      <c r="N84" s="64">
        <f t="shared" si="6"/>
        <v>1.9500000000000002</v>
      </c>
      <c r="O84" s="64">
        <f t="shared" si="6"/>
        <v>1.9500000000000002</v>
      </c>
      <c r="P84" s="64">
        <f t="shared" si="6"/>
        <v>1.9500000000000002</v>
      </c>
    </row>
    <row r="85" spans="1:16" s="56" customFormat="1" x14ac:dyDescent="0.2">
      <c r="B85" s="56" t="str">
        <f>B$155</f>
        <v>Q2</v>
      </c>
      <c r="C85" s="56" t="str">
        <f t="shared" ref="C85:F85" si="7">C$155</f>
        <v>Q3</v>
      </c>
      <c r="D85" s="56" t="str">
        <f t="shared" si="7"/>
        <v>Q4</v>
      </c>
      <c r="E85" s="56" t="str">
        <f t="shared" si="7"/>
        <v>Q1'27</v>
      </c>
      <c r="F85" s="56" t="str">
        <f t="shared" si="7"/>
        <v>Q2'27</v>
      </c>
    </row>
    <row r="86" spans="1:16" s="56" customFormat="1" x14ac:dyDescent="0.2">
      <c r="A86" s="56" t="str">
        <f>$A$156</f>
        <v>% Plan</v>
      </c>
      <c r="B86" s="56">
        <f>(AVERAGE(B83:D83)/AVERAGE(B82:D82))*100</f>
        <v>69</v>
      </c>
      <c r="C86" s="56">
        <f>(AVERAGE(E83:G83)/AVERAGE(E82:G82))*100</f>
        <v>78.75</v>
      </c>
      <c r="D86" s="56">
        <f>(AVERAGE(H83:J83)/AVERAGE(H82:J82))*100</f>
        <v>78.333333333333329</v>
      </c>
      <c r="E86" s="56">
        <f>(AVERAGE(K83:M83)/AVERAGE(K82:M82))*100</f>
        <v>61.250000000000007</v>
      </c>
      <c r="F86" s="56">
        <f>(AVERAGE(N83:P83)/AVERAGE(N82:P82))*100</f>
        <v>51.249999999999993</v>
      </c>
    </row>
    <row r="91" spans="1:16" x14ac:dyDescent="0.2">
      <c r="A91" s="55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3" customFormat="1" x14ac:dyDescent="0.2">
      <c r="A94" s="63" t="s">
        <v>24</v>
      </c>
      <c r="B94" s="64">
        <f>B92-B93</f>
        <v>0</v>
      </c>
      <c r="C94" s="64">
        <f t="shared" ref="C94:P94" si="8">C92-C93</f>
        <v>0</v>
      </c>
      <c r="D94" s="64">
        <f t="shared" si="8"/>
        <v>0</v>
      </c>
      <c r="E94" s="64">
        <f t="shared" si="8"/>
        <v>0</v>
      </c>
      <c r="F94" s="64">
        <f t="shared" si="8"/>
        <v>0</v>
      </c>
      <c r="G94" s="64">
        <f t="shared" si="8"/>
        <v>0</v>
      </c>
      <c r="H94" s="64">
        <f t="shared" si="8"/>
        <v>0</v>
      </c>
      <c r="I94" s="64">
        <f t="shared" si="8"/>
        <v>0</v>
      </c>
      <c r="J94" s="64">
        <f t="shared" si="8"/>
        <v>0</v>
      </c>
      <c r="K94" s="64">
        <f t="shared" si="8"/>
        <v>0</v>
      </c>
      <c r="L94" s="64">
        <f t="shared" si="8"/>
        <v>0</v>
      </c>
      <c r="M94" s="64">
        <f t="shared" si="8"/>
        <v>0</v>
      </c>
      <c r="N94" s="64">
        <f t="shared" si="8"/>
        <v>0</v>
      </c>
      <c r="O94" s="64">
        <f t="shared" si="8"/>
        <v>0</v>
      </c>
      <c r="P94" s="64">
        <f t="shared" si="8"/>
        <v>0</v>
      </c>
    </row>
    <row r="95" spans="1:16" s="56" customFormat="1" x14ac:dyDescent="0.2">
      <c r="B95" s="56" t="str">
        <f>B$155</f>
        <v>Q2</v>
      </c>
      <c r="C95" s="56" t="str">
        <f t="shared" ref="C95:F95" si="9">C$155</f>
        <v>Q3</v>
      </c>
      <c r="D95" s="56" t="str">
        <f t="shared" si="9"/>
        <v>Q4</v>
      </c>
      <c r="E95" s="56" t="str">
        <f t="shared" si="9"/>
        <v>Q1'27</v>
      </c>
      <c r="F95" s="56" t="str">
        <f t="shared" si="9"/>
        <v>Q2'27</v>
      </c>
    </row>
    <row r="96" spans="1:16" s="56" customFormat="1" x14ac:dyDescent="0.2">
      <c r="A96" s="56" t="str">
        <f>$A$156</f>
        <v>% Plan</v>
      </c>
      <c r="B96" s="56" t="e">
        <f>(AVERAGE(B93:D93)/AVERAGE(B92:D92))*100</f>
        <v>#DIV/0!</v>
      </c>
      <c r="C96" s="57">
        <v>0</v>
      </c>
      <c r="D96" s="57">
        <v>0</v>
      </c>
      <c r="E96" s="57">
        <v>0</v>
      </c>
      <c r="F96" s="57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70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95" t="s">
        <v>4</v>
      </c>
      <c r="D1" s="95" t="s">
        <v>5</v>
      </c>
      <c r="E1" s="95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96" t="s">
        <v>181</v>
      </c>
      <c r="P1" s="96" t="s">
        <v>182</v>
      </c>
      <c r="Q1" s="96" t="s">
        <v>183</v>
      </c>
    </row>
    <row r="2" spans="1:17" x14ac:dyDescent="0.2">
      <c r="A2" s="10" t="s">
        <v>77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77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77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30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184</v>
      </c>
    </row>
    <row r="32" spans="1:17" x14ac:dyDescent="0.2">
      <c r="A32" s="10" t="s">
        <v>77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77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77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7">
        <v>0</v>
      </c>
      <c r="D35" s="27">
        <v>0</v>
      </c>
      <c r="E35" s="27">
        <v>0</v>
      </c>
      <c r="F35" s="27">
        <v>0</v>
      </c>
      <c r="G35" s="27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30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96" t="s">
        <v>181</v>
      </c>
      <c r="P61" s="96" t="s">
        <v>182</v>
      </c>
      <c r="Q61" s="96" t="s">
        <v>183</v>
      </c>
    </row>
    <row r="62" spans="1:17" x14ac:dyDescent="0.2">
      <c r="A62" s="11"/>
      <c r="B62" s="43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34"/>
      <c r="B63" s="44" t="s">
        <v>18</v>
      </c>
      <c r="C63" s="45">
        <v>16</v>
      </c>
      <c r="D63" s="45">
        <v>16</v>
      </c>
      <c r="E63" s="45">
        <v>16</v>
      </c>
      <c r="F63" s="45">
        <v>16</v>
      </c>
      <c r="G63" s="45">
        <v>16</v>
      </c>
      <c r="H63" s="45">
        <v>16</v>
      </c>
      <c r="I63" s="45">
        <v>15</v>
      </c>
      <c r="J63" s="45">
        <v>15</v>
      </c>
      <c r="K63" s="45">
        <v>15</v>
      </c>
      <c r="L63" s="45">
        <v>15</v>
      </c>
      <c r="M63" s="45">
        <v>16</v>
      </c>
      <c r="N63" s="45">
        <v>16</v>
      </c>
      <c r="O63" s="45">
        <v>16</v>
      </c>
      <c r="P63" s="45">
        <v>16</v>
      </c>
      <c r="Q63" s="45">
        <v>16</v>
      </c>
    </row>
    <row r="64" spans="1:17" x14ac:dyDescent="0.2">
      <c r="A64" s="46" t="s">
        <v>78</v>
      </c>
      <c r="B64" s="47" t="s">
        <v>16</v>
      </c>
      <c r="C64" s="46">
        <v>1</v>
      </c>
      <c r="D64" s="46">
        <v>1</v>
      </c>
      <c r="E64" s="46">
        <v>1</v>
      </c>
      <c r="F64" s="46">
        <v>1</v>
      </c>
      <c r="G64" s="46">
        <v>1</v>
      </c>
      <c r="H64" s="46">
        <v>1</v>
      </c>
      <c r="I64" s="46">
        <v>1</v>
      </c>
      <c r="J64" s="46">
        <v>1</v>
      </c>
      <c r="K64" s="46">
        <v>1</v>
      </c>
      <c r="L64" s="46">
        <v>1</v>
      </c>
      <c r="M64" s="46">
        <v>1</v>
      </c>
      <c r="N64" s="46">
        <v>1</v>
      </c>
      <c r="O64" s="46">
        <v>1</v>
      </c>
      <c r="P64" s="46">
        <v>1</v>
      </c>
      <c r="Q64" s="46">
        <v>1</v>
      </c>
    </row>
    <row r="65" spans="1:17" x14ac:dyDescent="0.2">
      <c r="A65" s="37" t="s">
        <v>78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6" t="s">
        <v>79</v>
      </c>
      <c r="B66" s="47" t="s">
        <v>16</v>
      </c>
      <c r="C66" s="46">
        <v>4</v>
      </c>
      <c r="D66" s="46">
        <v>4</v>
      </c>
      <c r="E66" s="46">
        <v>4</v>
      </c>
      <c r="F66" s="46">
        <v>4</v>
      </c>
      <c r="G66" s="46">
        <v>4</v>
      </c>
      <c r="H66" s="46">
        <v>4</v>
      </c>
      <c r="I66" s="46">
        <v>4</v>
      </c>
      <c r="J66" s="46">
        <v>4</v>
      </c>
      <c r="K66" s="46">
        <v>4</v>
      </c>
      <c r="L66" s="46">
        <v>4</v>
      </c>
      <c r="M66" s="46">
        <v>4</v>
      </c>
      <c r="N66" s="46">
        <v>4</v>
      </c>
      <c r="O66" s="46">
        <v>4</v>
      </c>
      <c r="P66" s="46">
        <v>4</v>
      </c>
      <c r="Q66" s="46">
        <v>4</v>
      </c>
    </row>
    <row r="67" spans="1:17" x14ac:dyDescent="0.2">
      <c r="A67" s="37" t="s">
        <v>79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6" t="s">
        <v>80</v>
      </c>
      <c r="B68" s="47" t="s">
        <v>16</v>
      </c>
      <c r="C68" s="46">
        <v>5</v>
      </c>
      <c r="D68" s="46">
        <v>5</v>
      </c>
      <c r="E68" s="46">
        <v>5</v>
      </c>
      <c r="F68" s="46">
        <v>5</v>
      </c>
      <c r="G68" s="46">
        <v>5</v>
      </c>
      <c r="H68" s="46">
        <v>5</v>
      </c>
      <c r="I68" s="46">
        <v>5</v>
      </c>
      <c r="J68" s="46">
        <v>5</v>
      </c>
      <c r="K68" s="46">
        <v>5</v>
      </c>
      <c r="L68" s="46">
        <v>5</v>
      </c>
      <c r="M68" s="46">
        <v>5</v>
      </c>
      <c r="N68" s="46">
        <v>5</v>
      </c>
      <c r="O68" s="46">
        <v>5</v>
      </c>
      <c r="P68" s="46">
        <v>5</v>
      </c>
      <c r="Q68" s="46">
        <v>5</v>
      </c>
    </row>
    <row r="69" spans="1:17" x14ac:dyDescent="0.2">
      <c r="A69" s="37" t="s">
        <v>80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9" t="s">
        <v>81</v>
      </c>
      <c r="B70" s="40" t="s">
        <v>16</v>
      </c>
      <c r="C70" s="48">
        <v>4</v>
      </c>
      <c r="D70" s="48">
        <v>4</v>
      </c>
      <c r="E70" s="48">
        <v>4</v>
      </c>
      <c r="F70" s="48">
        <v>4</v>
      </c>
      <c r="G70" s="48">
        <v>4</v>
      </c>
      <c r="H70" s="48">
        <v>4</v>
      </c>
      <c r="I70" s="48">
        <v>4</v>
      </c>
      <c r="J70" s="48">
        <v>4</v>
      </c>
      <c r="K70" s="48">
        <v>4</v>
      </c>
      <c r="L70" s="48">
        <v>4</v>
      </c>
      <c r="M70" s="48">
        <v>4</v>
      </c>
      <c r="N70" s="48">
        <v>4</v>
      </c>
      <c r="O70" s="48">
        <v>4</v>
      </c>
      <c r="P70" s="48">
        <v>4</v>
      </c>
      <c r="Q70" s="48">
        <v>4</v>
      </c>
    </row>
    <row r="71" spans="1:17" x14ac:dyDescent="0.2">
      <c r="A71" s="41" t="s">
        <v>82</v>
      </c>
      <c r="B71" s="42" t="s">
        <v>18</v>
      </c>
      <c r="C71" s="49">
        <v>4</v>
      </c>
      <c r="D71" s="49">
        <v>4</v>
      </c>
      <c r="E71" s="49">
        <v>4</v>
      </c>
      <c r="F71" s="49">
        <v>4</v>
      </c>
      <c r="G71" s="49">
        <v>4</v>
      </c>
      <c r="H71" s="49">
        <v>4</v>
      </c>
      <c r="I71" s="49">
        <v>4</v>
      </c>
      <c r="J71" s="49">
        <v>4</v>
      </c>
      <c r="K71" s="49">
        <v>4</v>
      </c>
      <c r="L71" s="49">
        <v>4</v>
      </c>
      <c r="M71" s="49">
        <v>4</v>
      </c>
      <c r="N71" s="49">
        <v>4</v>
      </c>
      <c r="O71" s="49">
        <v>4</v>
      </c>
      <c r="P71" s="49">
        <v>4</v>
      </c>
      <c r="Q71" s="49">
        <v>4</v>
      </c>
    </row>
    <row r="72" spans="1:17" x14ac:dyDescent="0.2">
      <c r="A72" s="39" t="s">
        <v>83</v>
      </c>
      <c r="B72" s="40" t="s">
        <v>16</v>
      </c>
      <c r="C72" s="48">
        <v>1</v>
      </c>
      <c r="D72" s="48">
        <v>1</v>
      </c>
      <c r="E72" s="48">
        <v>1</v>
      </c>
      <c r="F72" s="48">
        <v>1</v>
      </c>
      <c r="G72" s="48">
        <v>1</v>
      </c>
      <c r="H72" s="48">
        <v>1</v>
      </c>
      <c r="I72" s="48">
        <v>1</v>
      </c>
      <c r="J72" s="48">
        <v>1</v>
      </c>
      <c r="K72" s="48">
        <v>1</v>
      </c>
      <c r="L72" s="48">
        <v>1</v>
      </c>
      <c r="M72" s="48">
        <v>1</v>
      </c>
      <c r="N72" s="48">
        <v>1</v>
      </c>
      <c r="O72" s="48">
        <v>1</v>
      </c>
      <c r="P72" s="48">
        <v>1</v>
      </c>
      <c r="Q72" s="48">
        <v>1</v>
      </c>
    </row>
    <row r="73" spans="1:17" x14ac:dyDescent="0.2">
      <c r="A73" s="41" t="s">
        <v>84</v>
      </c>
      <c r="B73" s="42" t="s">
        <v>18</v>
      </c>
      <c r="C73" s="49">
        <v>1</v>
      </c>
      <c r="D73" s="49">
        <v>1</v>
      </c>
      <c r="E73" s="49">
        <v>1</v>
      </c>
      <c r="F73" s="49">
        <v>1</v>
      </c>
      <c r="G73" s="49">
        <v>1</v>
      </c>
      <c r="H73" s="49">
        <v>1</v>
      </c>
      <c r="I73" s="49">
        <v>1</v>
      </c>
      <c r="J73" s="49">
        <v>1</v>
      </c>
      <c r="K73" s="49">
        <v>1</v>
      </c>
      <c r="L73" s="49">
        <v>1</v>
      </c>
      <c r="M73" s="49">
        <v>1</v>
      </c>
      <c r="N73" s="49">
        <v>1</v>
      </c>
      <c r="O73" s="49">
        <v>1</v>
      </c>
      <c r="P73" s="49">
        <v>1</v>
      </c>
      <c r="Q73" s="49">
        <v>1</v>
      </c>
    </row>
    <row r="74" spans="1:17" x14ac:dyDescent="0.2">
      <c r="A74" s="46" t="s">
        <v>85</v>
      </c>
      <c r="B74" s="47" t="s">
        <v>16</v>
      </c>
      <c r="C74" s="46">
        <v>3</v>
      </c>
      <c r="D74" s="46">
        <v>3</v>
      </c>
      <c r="E74" s="46">
        <v>3</v>
      </c>
      <c r="F74" s="46">
        <v>3</v>
      </c>
      <c r="G74" s="46">
        <v>3</v>
      </c>
      <c r="H74" s="46">
        <v>3</v>
      </c>
      <c r="I74" s="46">
        <v>3</v>
      </c>
      <c r="J74" s="46">
        <v>3</v>
      </c>
      <c r="K74" s="46">
        <v>3</v>
      </c>
      <c r="L74" s="46">
        <v>3</v>
      </c>
      <c r="M74" s="46">
        <v>3</v>
      </c>
      <c r="N74" s="46">
        <v>3</v>
      </c>
      <c r="O74" s="46">
        <v>3</v>
      </c>
      <c r="P74" s="46">
        <v>3</v>
      </c>
      <c r="Q74" s="46">
        <v>3</v>
      </c>
    </row>
    <row r="75" spans="1:17" x14ac:dyDescent="0.2">
      <c r="A75" s="37" t="s">
        <v>85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9" t="s">
        <v>86</v>
      </c>
      <c r="B76" s="40" t="s">
        <v>16</v>
      </c>
      <c r="C76" s="48">
        <v>2</v>
      </c>
      <c r="D76" s="48">
        <v>2</v>
      </c>
      <c r="E76" s="48">
        <v>2</v>
      </c>
      <c r="F76" s="48">
        <v>2</v>
      </c>
      <c r="G76" s="48">
        <v>2</v>
      </c>
      <c r="H76" s="48">
        <v>2</v>
      </c>
      <c r="I76" s="48">
        <v>2</v>
      </c>
      <c r="J76" s="48">
        <v>2</v>
      </c>
      <c r="K76" s="48">
        <v>2</v>
      </c>
      <c r="L76" s="48">
        <v>2</v>
      </c>
      <c r="M76" s="48">
        <v>2</v>
      </c>
      <c r="N76" s="48">
        <v>2</v>
      </c>
      <c r="O76" s="48">
        <v>2</v>
      </c>
      <c r="P76" s="48">
        <v>2</v>
      </c>
      <c r="Q76" s="48">
        <v>2</v>
      </c>
    </row>
    <row r="77" spans="1:17" x14ac:dyDescent="0.2">
      <c r="A77" s="41" t="s">
        <v>87</v>
      </c>
      <c r="B77" s="42" t="s">
        <v>18</v>
      </c>
      <c r="C77" s="49">
        <v>2</v>
      </c>
      <c r="D77" s="49">
        <v>2</v>
      </c>
      <c r="E77" s="49">
        <v>2</v>
      </c>
      <c r="F77" s="49">
        <v>2</v>
      </c>
      <c r="G77" s="49">
        <v>2</v>
      </c>
      <c r="H77" s="49">
        <v>2</v>
      </c>
      <c r="I77" s="49">
        <v>2</v>
      </c>
      <c r="J77" s="49">
        <v>2</v>
      </c>
      <c r="K77" s="49">
        <v>2</v>
      </c>
      <c r="L77" s="49">
        <v>2</v>
      </c>
      <c r="M77" s="49">
        <v>2</v>
      </c>
      <c r="N77" s="49">
        <v>2</v>
      </c>
      <c r="O77" s="49">
        <v>2</v>
      </c>
      <c r="P77" s="49">
        <v>2</v>
      </c>
      <c r="Q77" s="49">
        <v>2</v>
      </c>
    </row>
    <row r="78" spans="1:17" x14ac:dyDescent="0.2">
      <c r="A78" s="39" t="s">
        <v>88</v>
      </c>
      <c r="B78" s="40" t="s">
        <v>16</v>
      </c>
      <c r="C78" s="48">
        <v>1</v>
      </c>
      <c r="D78" s="48">
        <v>1</v>
      </c>
      <c r="E78" s="48">
        <v>1</v>
      </c>
      <c r="F78" s="48">
        <v>1</v>
      </c>
      <c r="G78" s="48">
        <v>1</v>
      </c>
      <c r="H78" s="48">
        <v>1</v>
      </c>
      <c r="I78" s="48">
        <v>1</v>
      </c>
      <c r="J78" s="48">
        <v>1</v>
      </c>
      <c r="K78" s="48">
        <v>1</v>
      </c>
      <c r="L78" s="48">
        <v>1</v>
      </c>
      <c r="M78" s="48">
        <v>1</v>
      </c>
      <c r="N78" s="48">
        <v>1</v>
      </c>
      <c r="O78" s="48">
        <v>1</v>
      </c>
      <c r="P78" s="48">
        <v>1</v>
      </c>
      <c r="Q78" s="48">
        <v>1</v>
      </c>
    </row>
    <row r="79" spans="1:17" x14ac:dyDescent="0.2">
      <c r="A79" s="41" t="s">
        <v>89</v>
      </c>
      <c r="B79" s="42" t="s">
        <v>18</v>
      </c>
      <c r="C79" s="49">
        <v>1</v>
      </c>
      <c r="D79" s="49">
        <v>1</v>
      </c>
      <c r="E79" s="49">
        <v>1</v>
      </c>
      <c r="F79" s="49">
        <v>1</v>
      </c>
      <c r="G79" s="49">
        <v>1</v>
      </c>
      <c r="H79" s="49">
        <v>1</v>
      </c>
      <c r="I79" s="49">
        <v>1</v>
      </c>
      <c r="J79" s="49">
        <v>1</v>
      </c>
      <c r="K79" s="49">
        <v>1</v>
      </c>
      <c r="L79" s="49">
        <v>1</v>
      </c>
      <c r="M79" s="49">
        <v>1</v>
      </c>
      <c r="N79" s="49">
        <v>1</v>
      </c>
      <c r="O79" s="49">
        <v>1</v>
      </c>
      <c r="P79" s="49">
        <v>1</v>
      </c>
      <c r="Q79" s="49">
        <v>1</v>
      </c>
    </row>
    <row r="80" spans="1:17" x14ac:dyDescent="0.2">
      <c r="A80" s="46" t="s">
        <v>90</v>
      </c>
      <c r="B80" s="47" t="s">
        <v>16</v>
      </c>
      <c r="C80" s="46">
        <v>3</v>
      </c>
      <c r="D80" s="46">
        <v>3</v>
      </c>
      <c r="E80" s="46">
        <v>3</v>
      </c>
      <c r="F80" s="46">
        <v>3</v>
      </c>
      <c r="G80" s="46">
        <v>3</v>
      </c>
      <c r="H80" s="46">
        <v>3</v>
      </c>
      <c r="I80" s="46">
        <v>2</v>
      </c>
      <c r="J80" s="46">
        <v>2</v>
      </c>
      <c r="K80" s="46">
        <v>2</v>
      </c>
      <c r="L80" s="46">
        <v>2</v>
      </c>
      <c r="M80" s="46">
        <v>3</v>
      </c>
      <c r="N80" s="46">
        <v>3</v>
      </c>
      <c r="O80" s="46">
        <v>3</v>
      </c>
      <c r="P80" s="46">
        <v>3</v>
      </c>
      <c r="Q80" s="46">
        <v>3</v>
      </c>
    </row>
    <row r="81" spans="1:17" x14ac:dyDescent="0.2">
      <c r="A81" s="37" t="s">
        <v>90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5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3" customFormat="1" x14ac:dyDescent="0.2">
      <c r="A54" s="63" t="s">
        <v>24</v>
      </c>
      <c r="B54" s="64">
        <f>B52-B53</f>
        <v>0</v>
      </c>
      <c r="C54" s="64">
        <f t="shared" ref="C54:P54" si="0">C52-C53</f>
        <v>0</v>
      </c>
      <c r="D54" s="64">
        <f t="shared" si="0"/>
        <v>0</v>
      </c>
      <c r="E54" s="64">
        <f t="shared" si="0"/>
        <v>0</v>
      </c>
      <c r="F54" s="64">
        <f t="shared" si="0"/>
        <v>0</v>
      </c>
      <c r="G54" s="64">
        <f t="shared" si="0"/>
        <v>0</v>
      </c>
      <c r="H54" s="64">
        <f t="shared" si="0"/>
        <v>0</v>
      </c>
      <c r="I54" s="64">
        <f t="shared" si="0"/>
        <v>0</v>
      </c>
      <c r="J54" s="64">
        <f t="shared" si="0"/>
        <v>0</v>
      </c>
      <c r="K54" s="64">
        <f t="shared" si="0"/>
        <v>0</v>
      </c>
      <c r="L54" s="64">
        <f t="shared" si="0"/>
        <v>0</v>
      </c>
      <c r="M54" s="64">
        <f t="shared" si="0"/>
        <v>0</v>
      </c>
      <c r="N54" s="64">
        <f t="shared" si="0"/>
        <v>0</v>
      </c>
      <c r="O54" s="64">
        <f t="shared" si="0"/>
        <v>0</v>
      </c>
      <c r="P54" s="64">
        <f t="shared" si="0"/>
        <v>0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100</v>
      </c>
      <c r="C56" s="56">
        <f>(AVERAGE(E53:G53)/AVERAGE(E52:G52))*100</f>
        <v>100</v>
      </c>
      <c r="D56" s="56">
        <f>(AVERAGE(H53:J53)/AVERAGE(H52:J52))*100</f>
        <v>100</v>
      </c>
      <c r="E56" s="56">
        <f>(AVERAGE(K53:M53)/AVERAGE(K52:M52))*100</f>
        <v>100</v>
      </c>
      <c r="F56" s="56">
        <f>(AVERAGE(N53:P53)/AVERAGE(N52:P52))*100</f>
        <v>100</v>
      </c>
    </row>
    <row r="61" spans="1:16" x14ac:dyDescent="0.2">
      <c r="A61" s="55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3" customFormat="1" x14ac:dyDescent="0.2">
      <c r="A64" s="63" t="s">
        <v>24</v>
      </c>
      <c r="B64" s="64">
        <f>B62-B63</f>
        <v>0</v>
      </c>
      <c r="C64" s="64">
        <f t="shared" ref="C64:P64" si="2">C62-C63</f>
        <v>0</v>
      </c>
      <c r="D64" s="64">
        <f t="shared" si="2"/>
        <v>0</v>
      </c>
      <c r="E64" s="64">
        <f t="shared" si="2"/>
        <v>0</v>
      </c>
      <c r="F64" s="64">
        <f t="shared" si="2"/>
        <v>0</v>
      </c>
      <c r="G64" s="64">
        <f t="shared" si="2"/>
        <v>0</v>
      </c>
      <c r="H64" s="64">
        <f t="shared" si="2"/>
        <v>0</v>
      </c>
      <c r="I64" s="64">
        <f t="shared" si="2"/>
        <v>0</v>
      </c>
      <c r="J64" s="64">
        <f t="shared" si="2"/>
        <v>0</v>
      </c>
      <c r="K64" s="64">
        <f t="shared" si="2"/>
        <v>0</v>
      </c>
      <c r="L64" s="64">
        <f t="shared" si="2"/>
        <v>0</v>
      </c>
      <c r="M64" s="64">
        <f t="shared" si="2"/>
        <v>0</v>
      </c>
      <c r="N64" s="64">
        <f t="shared" si="2"/>
        <v>0</v>
      </c>
      <c r="O64" s="64">
        <f t="shared" si="2"/>
        <v>0</v>
      </c>
      <c r="P64" s="64">
        <f t="shared" si="2"/>
        <v>0</v>
      </c>
    </row>
    <row r="65" spans="1:1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16" s="56" customFormat="1" x14ac:dyDescent="0.2">
      <c r="A66" s="56" t="str">
        <f>$A$156</f>
        <v>% Plan</v>
      </c>
      <c r="B66" s="56">
        <f>(AVERAGE(B63:D63)/AVERAGE(B62:D62))*100</f>
        <v>100</v>
      </c>
      <c r="C66" s="56">
        <f>(AVERAGE(E63:G63)/AVERAGE(E62:G62))*100</f>
        <v>100</v>
      </c>
      <c r="D66" s="56">
        <f>(AVERAGE(H63:J63)/AVERAGE(H62:J62))*100</f>
        <v>100</v>
      </c>
      <c r="E66" s="56">
        <f>(AVERAGE(K63:M63)/AVERAGE(K62:M62))*100</f>
        <v>100</v>
      </c>
      <c r="F66" s="56">
        <f>(AVERAGE(N63:P63)/AVERAGE(N62:P62))*100</f>
        <v>100</v>
      </c>
    </row>
    <row r="71" spans="1:16" x14ac:dyDescent="0.2">
      <c r="A71" s="55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3" customFormat="1" x14ac:dyDescent="0.2">
      <c r="A74" s="63" t="s">
        <v>24</v>
      </c>
      <c r="B74" s="64">
        <f>B72-B73</f>
        <v>0</v>
      </c>
      <c r="C74" s="64">
        <f t="shared" ref="C74:P74" si="4">C72-C73</f>
        <v>0</v>
      </c>
      <c r="D74" s="64">
        <f t="shared" si="4"/>
        <v>0</v>
      </c>
      <c r="E74" s="64">
        <f t="shared" si="4"/>
        <v>0</v>
      </c>
      <c r="F74" s="64">
        <f t="shared" si="4"/>
        <v>0</v>
      </c>
      <c r="G74" s="64">
        <f t="shared" si="4"/>
        <v>0</v>
      </c>
      <c r="H74" s="64">
        <f t="shared" si="4"/>
        <v>0</v>
      </c>
      <c r="I74" s="64">
        <f t="shared" si="4"/>
        <v>0</v>
      </c>
      <c r="J74" s="64">
        <f t="shared" si="4"/>
        <v>0</v>
      </c>
      <c r="K74" s="64">
        <f t="shared" si="4"/>
        <v>0</v>
      </c>
      <c r="L74" s="64">
        <f t="shared" si="4"/>
        <v>0</v>
      </c>
      <c r="M74" s="64">
        <f t="shared" si="4"/>
        <v>0</v>
      </c>
      <c r="N74" s="64">
        <f t="shared" si="4"/>
        <v>0</v>
      </c>
      <c r="O74" s="64">
        <f t="shared" si="4"/>
        <v>0</v>
      </c>
      <c r="P74" s="64">
        <f t="shared" si="4"/>
        <v>0</v>
      </c>
    </row>
    <row r="75" spans="1:16" s="56" customFormat="1" x14ac:dyDescent="0.2">
      <c r="B75" s="56" t="str">
        <f>B$155</f>
        <v>Q2</v>
      </c>
      <c r="C75" s="56" t="str">
        <f t="shared" ref="C75:F75" si="5">C$155</f>
        <v>Q3</v>
      </c>
      <c r="D75" s="56" t="str">
        <f t="shared" si="5"/>
        <v>Q4</v>
      </c>
      <c r="E75" s="56" t="str">
        <f t="shared" si="5"/>
        <v>Q1'27</v>
      </c>
      <c r="F75" s="56" t="str">
        <f t="shared" si="5"/>
        <v>Q2'27</v>
      </c>
    </row>
    <row r="76" spans="1:16" s="56" customFormat="1" x14ac:dyDescent="0.2">
      <c r="A76" s="56" t="str">
        <f>$A$156</f>
        <v>% Plan</v>
      </c>
      <c r="B76" s="56">
        <f>(AVERAGE(B73:D73)/AVERAGE(B72:D72))*100</f>
        <v>100</v>
      </c>
      <c r="C76" s="56">
        <f>(AVERAGE(E73:G73)/AVERAGE(E72:G72))*100</f>
        <v>100</v>
      </c>
      <c r="D76" s="56">
        <f>(AVERAGE(H73:J73)/AVERAGE(H72:J72))*100</f>
        <v>100</v>
      </c>
      <c r="E76" s="56">
        <f>(AVERAGE(K73:M73)/AVERAGE(K72:M72))*100</f>
        <v>100</v>
      </c>
      <c r="F76" s="56">
        <f>(AVERAGE(N73:P73)/AVERAGE(N72:P72))*100</f>
        <v>100</v>
      </c>
    </row>
    <row r="81" spans="1:16" x14ac:dyDescent="0.2">
      <c r="A81" s="55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3" customFormat="1" x14ac:dyDescent="0.2">
      <c r="A84" s="63" t="s">
        <v>24</v>
      </c>
      <c r="B84" s="64">
        <f>B82-B83</f>
        <v>0</v>
      </c>
      <c r="C84" s="64">
        <f t="shared" ref="C84:P84" si="6">C82-C83</f>
        <v>0</v>
      </c>
      <c r="D84" s="64">
        <f t="shared" si="6"/>
        <v>0</v>
      </c>
      <c r="E84" s="64">
        <f t="shared" si="6"/>
        <v>0</v>
      </c>
      <c r="F84" s="64">
        <f t="shared" si="6"/>
        <v>0</v>
      </c>
      <c r="G84" s="64">
        <f t="shared" si="6"/>
        <v>0</v>
      </c>
      <c r="H84" s="64">
        <f t="shared" si="6"/>
        <v>0</v>
      </c>
      <c r="I84" s="64">
        <f t="shared" si="6"/>
        <v>0</v>
      </c>
      <c r="J84" s="64">
        <f t="shared" si="6"/>
        <v>0</v>
      </c>
      <c r="K84" s="64">
        <f t="shared" si="6"/>
        <v>0</v>
      </c>
      <c r="L84" s="64">
        <f t="shared" si="6"/>
        <v>0</v>
      </c>
      <c r="M84" s="64">
        <f t="shared" si="6"/>
        <v>0</v>
      </c>
      <c r="N84" s="64">
        <f t="shared" si="6"/>
        <v>0</v>
      </c>
      <c r="O84" s="64">
        <f t="shared" si="6"/>
        <v>0</v>
      </c>
      <c r="P84" s="64">
        <f t="shared" si="6"/>
        <v>0</v>
      </c>
    </row>
    <row r="85" spans="1:16" s="56" customFormat="1" x14ac:dyDescent="0.2">
      <c r="B85" s="56" t="str">
        <f>B$155</f>
        <v>Q2</v>
      </c>
      <c r="C85" s="56" t="str">
        <f t="shared" ref="C85:F85" si="7">C$155</f>
        <v>Q3</v>
      </c>
      <c r="D85" s="56" t="str">
        <f t="shared" si="7"/>
        <v>Q4</v>
      </c>
      <c r="E85" s="56" t="str">
        <f t="shared" si="7"/>
        <v>Q1'27</v>
      </c>
      <c r="F85" s="56" t="str">
        <f t="shared" si="7"/>
        <v>Q2'27</v>
      </c>
    </row>
    <row r="86" spans="1:16" s="56" customFormat="1" x14ac:dyDescent="0.2">
      <c r="A86" s="56" t="str">
        <f>$A$156</f>
        <v>% Plan</v>
      </c>
      <c r="B86" s="56">
        <f>(AVERAGE(B83:D83)/AVERAGE(B82:D82))*100</f>
        <v>100</v>
      </c>
      <c r="C86" s="56">
        <f>(AVERAGE(E83:G83)/AVERAGE(E82:G82))*100</f>
        <v>100</v>
      </c>
      <c r="D86" s="56">
        <f>(AVERAGE(H83:J83)/AVERAGE(H82:J82))*100</f>
        <v>100</v>
      </c>
      <c r="E86" s="56">
        <f>(AVERAGE(K83:M83)/AVERAGE(K82:M82))*100</f>
        <v>100</v>
      </c>
      <c r="F86" s="56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3" activePane="bottomLeft" state="frozen"/>
      <selection pane="bottomLeft" activeCell="J22" sqref="J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0" t="s">
        <v>119</v>
      </c>
      <c r="B1" s="95" t="s">
        <v>4</v>
      </c>
      <c r="C1" s="95" t="s">
        <v>5</v>
      </c>
      <c r="D1" s="95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96" t="s">
        <v>181</v>
      </c>
      <c r="O1" s="96" t="s">
        <v>182</v>
      </c>
      <c r="P1" s="96" t="s">
        <v>183</v>
      </c>
      <c r="Q1" s="51"/>
      <c r="R1" s="51"/>
      <c r="S1" s="51"/>
      <c r="T1" s="51"/>
      <c r="U1" s="51"/>
      <c r="V1" s="51"/>
    </row>
    <row r="2" spans="1:22" x14ac:dyDescent="0.2">
      <c r="A2" s="7" t="s">
        <v>136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53"/>
      <c r="T2" s="7"/>
      <c r="U2" s="7"/>
      <c r="V2" s="53"/>
    </row>
    <row r="3" spans="1:22" x14ac:dyDescent="0.2">
      <c r="A3" s="7" t="s">
        <v>120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53"/>
      <c r="T3" s="7"/>
      <c r="U3" s="7"/>
      <c r="V3" s="53"/>
    </row>
    <row r="4" spans="1:22" x14ac:dyDescent="0.2">
      <c r="A4" s="7" t="s">
        <v>137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53"/>
      <c r="T4" s="7"/>
      <c r="U4" s="7"/>
      <c r="V4" s="53"/>
    </row>
    <row r="5" spans="1:22" x14ac:dyDescent="0.2">
      <c r="A5" s="7" t="s">
        <v>138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53"/>
      <c r="T5" s="7"/>
      <c r="U5" s="7"/>
      <c r="V5" s="53"/>
    </row>
    <row r="6" spans="1:22" x14ac:dyDescent="0.2">
      <c r="A6" s="7" t="s">
        <v>121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53"/>
      <c r="T6" s="7"/>
      <c r="U6" s="7"/>
      <c r="V6" s="53"/>
    </row>
    <row r="7" spans="1:22" x14ac:dyDescent="0.2">
      <c r="A7" s="7" t="s">
        <v>129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53"/>
      <c r="T7" s="7"/>
      <c r="U7" s="7"/>
      <c r="V7" s="53"/>
    </row>
    <row r="9" spans="1:22" x14ac:dyDescent="0.2">
      <c r="A9" s="54" t="s">
        <v>100</v>
      </c>
    </row>
    <row r="11" spans="1:22" x14ac:dyDescent="0.2">
      <c r="A11" s="98" t="s">
        <v>91</v>
      </c>
      <c r="B11" s="50" t="s">
        <v>102</v>
      </c>
      <c r="C11" s="50" t="s">
        <v>31</v>
      </c>
      <c r="D11" s="50" t="s">
        <v>103</v>
      </c>
      <c r="E11" s="50" t="s">
        <v>104</v>
      </c>
      <c r="F11" s="50" t="s">
        <v>105</v>
      </c>
      <c r="G11" s="50" t="s">
        <v>106</v>
      </c>
      <c r="H11" s="50" t="s">
        <v>107</v>
      </c>
      <c r="I11" s="50" t="s">
        <v>108</v>
      </c>
      <c r="J11" s="50" t="s">
        <v>109</v>
      </c>
      <c r="K11" s="50" t="s">
        <v>110</v>
      </c>
      <c r="L11" s="50" t="s">
        <v>111</v>
      </c>
      <c r="M11" s="50" t="s">
        <v>112</v>
      </c>
      <c r="N11" s="50" t="s">
        <v>113</v>
      </c>
      <c r="O11" s="50" t="s">
        <v>114</v>
      </c>
      <c r="P11" s="50" t="s">
        <v>115</v>
      </c>
      <c r="Q11" s="50" t="s">
        <v>116</v>
      </c>
      <c r="R11" s="50" t="s">
        <v>117</v>
      </c>
      <c r="S11" s="50" t="s">
        <v>118</v>
      </c>
      <c r="T11" s="50" t="s">
        <v>77</v>
      </c>
    </row>
    <row r="12" spans="1:22" x14ac:dyDescent="0.2">
      <c r="A12" s="7" t="s">
        <v>92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93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374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94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130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375</v>
      </c>
    </row>
    <row r="19" spans="1:17" x14ac:dyDescent="0.2">
      <c r="A19" s="97" t="s">
        <v>101</v>
      </c>
    </row>
    <row r="21" spans="1:17" x14ac:dyDescent="0.2">
      <c r="A21" s="50" t="s">
        <v>91</v>
      </c>
      <c r="B21" s="99" t="s">
        <v>95</v>
      </c>
      <c r="C21" s="99" t="s">
        <v>96</v>
      </c>
      <c r="D21" s="99" t="s">
        <v>97</v>
      </c>
      <c r="E21" s="99" t="s">
        <v>98</v>
      </c>
      <c r="F21" s="99" t="s">
        <v>99</v>
      </c>
      <c r="G21" s="51"/>
      <c r="H21" s="51"/>
      <c r="I21" s="51"/>
      <c r="K21" s="51"/>
      <c r="L21" s="51"/>
      <c r="M21" s="51"/>
      <c r="N21" s="51"/>
      <c r="Q21" s="51"/>
    </row>
    <row r="22" spans="1:17" x14ac:dyDescent="0.2">
      <c r="A22" s="7" t="s">
        <v>92</v>
      </c>
      <c r="B22" s="100"/>
      <c r="C22" s="100"/>
      <c r="D22" s="100"/>
      <c r="E22" s="100"/>
      <c r="F22" s="100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93</v>
      </c>
      <c r="B23" s="100">
        <v>1.65</v>
      </c>
      <c r="C23" s="100">
        <v>110.52500000000001</v>
      </c>
      <c r="D23" s="100">
        <v>5.04</v>
      </c>
      <c r="E23" s="100">
        <v>0.6</v>
      </c>
      <c r="F23" s="100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374</v>
      </c>
      <c r="B24" s="7">
        <v>0.3</v>
      </c>
      <c r="C24" s="7">
        <v>48.756250000000001</v>
      </c>
      <c r="D24" s="101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94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130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376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52" t="s">
        <v>1</v>
      </c>
      <c r="C30" s="52" t="s">
        <v>2</v>
      </c>
      <c r="D30" s="52" t="s">
        <v>3</v>
      </c>
      <c r="E30" s="52" t="s">
        <v>4</v>
      </c>
      <c r="F30" s="52" t="s">
        <v>5</v>
      </c>
      <c r="G30" s="52" t="s">
        <v>6</v>
      </c>
      <c r="H30" s="52" t="s">
        <v>7</v>
      </c>
      <c r="I30" s="52" t="s">
        <v>8</v>
      </c>
      <c r="J30" s="52" t="s">
        <v>9</v>
      </c>
      <c r="K30" s="52" t="s">
        <v>10</v>
      </c>
      <c r="L30" s="52" t="s">
        <v>11</v>
      </c>
      <c r="M30" s="52" t="s">
        <v>12</v>
      </c>
      <c r="N30" s="16"/>
      <c r="O30" s="16"/>
      <c r="P30" s="16"/>
    </row>
    <row r="31" spans="1:17" s="69" customFormat="1" ht="15" x14ac:dyDescent="0.2">
      <c r="A31" s="75" t="s">
        <v>18</v>
      </c>
      <c r="B31" s="70">
        <f t="shared" ref="B31:M31" si="0">SUM(B32,B33)</f>
        <v>2717433</v>
      </c>
      <c r="C31" s="70">
        <f t="shared" si="0"/>
        <v>6209433</v>
      </c>
      <c r="D31" s="70">
        <f t="shared" si="0"/>
        <v>13563433</v>
      </c>
      <c r="E31" s="70">
        <f t="shared" si="0"/>
        <v>7233433</v>
      </c>
      <c r="F31" s="70">
        <f t="shared" si="0"/>
        <v>7406433</v>
      </c>
      <c r="G31" s="70">
        <f t="shared" si="0"/>
        <v>19319433</v>
      </c>
      <c r="H31" s="70">
        <f t="shared" si="0"/>
        <v>13479433</v>
      </c>
      <c r="I31" s="70">
        <f t="shared" si="0"/>
        <v>10679433</v>
      </c>
      <c r="J31" s="70">
        <f t="shared" si="0"/>
        <v>18089433</v>
      </c>
      <c r="K31" s="70">
        <f t="shared" si="0"/>
        <v>16179433</v>
      </c>
      <c r="L31" s="70">
        <f t="shared" si="0"/>
        <v>14539433</v>
      </c>
      <c r="M31" s="70">
        <f t="shared" si="0"/>
        <v>19853233</v>
      </c>
    </row>
    <row r="32" spans="1:17" s="68" customFormat="1" ht="15" x14ac:dyDescent="0.2">
      <c r="A32" s="72" t="s">
        <v>125</v>
      </c>
      <c r="B32" s="71">
        <v>1787433</v>
      </c>
      <c r="C32" s="71">
        <v>4779433</v>
      </c>
      <c r="D32" s="71">
        <v>7833433</v>
      </c>
      <c r="E32" s="71">
        <v>5233433</v>
      </c>
      <c r="F32" s="71">
        <v>4206433</v>
      </c>
      <c r="G32" s="71">
        <v>14379433</v>
      </c>
      <c r="H32" s="71">
        <v>9279433</v>
      </c>
      <c r="I32" s="71">
        <v>6279433</v>
      </c>
      <c r="J32" s="71">
        <v>10379433</v>
      </c>
      <c r="K32" s="71">
        <v>11279433</v>
      </c>
      <c r="L32" s="71">
        <v>4379433</v>
      </c>
      <c r="M32" s="71">
        <v>10453233</v>
      </c>
    </row>
    <row r="33" spans="1:13" s="68" customFormat="1" ht="15" x14ac:dyDescent="0.2">
      <c r="A33" s="72" t="s">
        <v>126</v>
      </c>
      <c r="B33" s="71">
        <v>930000</v>
      </c>
      <c r="C33" s="71">
        <v>1430000</v>
      </c>
      <c r="D33" s="71">
        <v>5730000</v>
      </c>
      <c r="E33" s="71">
        <v>2000000</v>
      </c>
      <c r="F33" s="71">
        <v>3200000</v>
      </c>
      <c r="G33" s="71">
        <v>4940000</v>
      </c>
      <c r="H33" s="71">
        <v>4200000</v>
      </c>
      <c r="I33" s="71">
        <v>4400000</v>
      </c>
      <c r="J33" s="71">
        <v>7710000</v>
      </c>
      <c r="K33" s="71">
        <v>4900000</v>
      </c>
      <c r="L33" s="71">
        <v>10160000</v>
      </c>
      <c r="M33" s="71">
        <v>9400000</v>
      </c>
    </row>
    <row r="34" spans="1:13" s="69" customFormat="1" ht="15" x14ac:dyDescent="0.2">
      <c r="A34" s="74" t="s">
        <v>122</v>
      </c>
      <c r="B34" s="70">
        <f>SUM(B35,B36)</f>
        <v>1049908</v>
      </c>
      <c r="C34" s="70">
        <f t="shared" ref="C34:E34" si="1">SUM(C35,C36)</f>
        <v>6155989</v>
      </c>
      <c r="D34" s="70">
        <f t="shared" si="1"/>
        <v>9094371</v>
      </c>
      <c r="E34" s="70">
        <f t="shared" si="1"/>
        <v>6308025</v>
      </c>
    </row>
    <row r="35" spans="1:13" s="68" customFormat="1" ht="15" x14ac:dyDescent="0.2">
      <c r="A35" s="73" t="s">
        <v>127</v>
      </c>
      <c r="B35" s="71">
        <v>1002658</v>
      </c>
      <c r="C35" s="71">
        <v>5710093</v>
      </c>
      <c r="D35" s="71">
        <v>8544505</v>
      </c>
      <c r="E35" s="71">
        <v>4855248</v>
      </c>
    </row>
    <row r="36" spans="1:13" s="68" customFormat="1" ht="15" x14ac:dyDescent="0.2">
      <c r="A36" s="73" t="s">
        <v>128</v>
      </c>
      <c r="B36" s="71">
        <v>47250</v>
      </c>
      <c r="C36" s="71">
        <v>445896</v>
      </c>
      <c r="D36" s="71">
        <v>549866</v>
      </c>
      <c r="E36" s="71">
        <v>1452777</v>
      </c>
    </row>
    <row r="40" spans="1:13" s="76" customFormat="1" x14ac:dyDescent="0.2">
      <c r="B40" s="76" t="str">
        <f>B30</f>
        <v>JAN</v>
      </c>
      <c r="C40" s="76" t="str">
        <f t="shared" ref="C40:M40" si="2">C30</f>
        <v>FEB</v>
      </c>
      <c r="D40" s="76" t="str">
        <f t="shared" si="2"/>
        <v>MAR</v>
      </c>
      <c r="E40" s="76" t="str">
        <f t="shared" si="2"/>
        <v>APR</v>
      </c>
      <c r="F40" s="76" t="str">
        <f t="shared" si="2"/>
        <v>MAY</v>
      </c>
      <c r="G40" s="76" t="str">
        <f t="shared" si="2"/>
        <v>JUN</v>
      </c>
      <c r="H40" s="76" t="str">
        <f t="shared" si="2"/>
        <v>JUL</v>
      </c>
      <c r="I40" s="76" t="str">
        <f t="shared" si="2"/>
        <v>AUG</v>
      </c>
      <c r="J40" s="76" t="str">
        <f t="shared" si="2"/>
        <v>SEP</v>
      </c>
      <c r="K40" s="76" t="str">
        <f t="shared" si="2"/>
        <v>OCT</v>
      </c>
      <c r="L40" s="76" t="str">
        <f t="shared" si="2"/>
        <v>NOV</v>
      </c>
      <c r="M40" s="76" t="str">
        <f t="shared" si="2"/>
        <v>DEC</v>
      </c>
    </row>
    <row r="41" spans="1:13" s="76" customFormat="1" x14ac:dyDescent="0.2">
      <c r="A41" s="76" t="str">
        <f>A31</f>
        <v>Plan</v>
      </c>
      <c r="B41" s="77">
        <f>B31/1000000</f>
        <v>2.7174330000000002</v>
      </c>
      <c r="C41" s="77">
        <f t="shared" ref="C41:M41" si="3">C31/1000000</f>
        <v>6.2094329999999998</v>
      </c>
      <c r="D41" s="77">
        <f t="shared" si="3"/>
        <v>13.563433</v>
      </c>
      <c r="E41" s="77">
        <f t="shared" si="3"/>
        <v>7.2334329999999998</v>
      </c>
      <c r="F41" s="77">
        <f t="shared" si="3"/>
        <v>7.4064329999999998</v>
      </c>
      <c r="G41" s="77">
        <f t="shared" si="3"/>
        <v>19.319433</v>
      </c>
      <c r="H41" s="77">
        <f t="shared" si="3"/>
        <v>13.479433</v>
      </c>
      <c r="I41" s="77">
        <f t="shared" si="3"/>
        <v>10.679433</v>
      </c>
      <c r="J41" s="77">
        <f t="shared" si="3"/>
        <v>18.089433</v>
      </c>
      <c r="K41" s="77">
        <f t="shared" si="3"/>
        <v>16.179433</v>
      </c>
      <c r="L41" s="77">
        <f t="shared" si="3"/>
        <v>14.539433000000001</v>
      </c>
      <c r="M41" s="77">
        <f t="shared" si="3"/>
        <v>19.853232999999999</v>
      </c>
    </row>
    <row r="42" spans="1:13" s="76" customFormat="1" x14ac:dyDescent="0.2">
      <c r="A42" s="76" t="str">
        <f>A34</f>
        <v>Actual</v>
      </c>
      <c r="B42" s="77">
        <f>B34/1000000</f>
        <v>1.0499080000000001</v>
      </c>
      <c r="C42" s="77">
        <f t="shared" ref="C42:E42" si="4">C34/1000000</f>
        <v>6.1559889999999999</v>
      </c>
      <c r="D42" s="77">
        <f t="shared" si="4"/>
        <v>9.0943710000000006</v>
      </c>
      <c r="E42" s="77">
        <f t="shared" si="4"/>
        <v>6.3080249999999998</v>
      </c>
      <c r="F42" s="77"/>
      <c r="G42" s="77"/>
      <c r="H42" s="77"/>
      <c r="I42" s="77"/>
      <c r="J42" s="77"/>
      <c r="K42" s="77"/>
      <c r="L42" s="77"/>
      <c r="M42" s="77"/>
    </row>
    <row r="43" spans="1:13" s="76" customFormat="1" x14ac:dyDescent="0.2">
      <c r="A43" s="76" t="str">
        <f>A32</f>
        <v>Plan-PS</v>
      </c>
      <c r="B43" s="77">
        <f>B32/1000000</f>
        <v>1.787433</v>
      </c>
      <c r="C43" s="77">
        <f t="shared" ref="C43:M43" si="5">C32/1000000</f>
        <v>4.779433</v>
      </c>
      <c r="D43" s="77">
        <f t="shared" si="5"/>
        <v>7.8334330000000003</v>
      </c>
      <c r="E43" s="77">
        <f t="shared" si="5"/>
        <v>5.2334329999999998</v>
      </c>
      <c r="F43" s="77">
        <f t="shared" si="5"/>
        <v>4.2064329999999996</v>
      </c>
      <c r="G43" s="77">
        <f t="shared" si="5"/>
        <v>14.379433000000001</v>
      </c>
      <c r="H43" s="77">
        <f t="shared" si="5"/>
        <v>9.2794329999999992</v>
      </c>
      <c r="I43" s="77">
        <f t="shared" si="5"/>
        <v>6.279433</v>
      </c>
      <c r="J43" s="77">
        <f t="shared" si="5"/>
        <v>10.379433000000001</v>
      </c>
      <c r="K43" s="77">
        <f t="shared" si="5"/>
        <v>11.279432999999999</v>
      </c>
      <c r="L43" s="77">
        <f t="shared" si="5"/>
        <v>4.3794329999999997</v>
      </c>
      <c r="M43" s="77">
        <f t="shared" si="5"/>
        <v>10.453233000000001</v>
      </c>
    </row>
    <row r="44" spans="1:13" s="76" customFormat="1" x14ac:dyDescent="0.2">
      <c r="A44" s="76" t="str">
        <f>A35</f>
        <v>Actual-PS</v>
      </c>
      <c r="B44" s="77">
        <f>B35/1000000</f>
        <v>1.002658</v>
      </c>
      <c r="C44" s="77">
        <f t="shared" ref="C44:E44" si="6">C35/1000000</f>
        <v>5.7100929999999996</v>
      </c>
      <c r="D44" s="77">
        <f t="shared" si="6"/>
        <v>8.5445049999999991</v>
      </c>
      <c r="E44" s="77">
        <f t="shared" si="6"/>
        <v>4.8552479999999996</v>
      </c>
      <c r="F44" s="77"/>
      <c r="G44" s="77"/>
      <c r="H44" s="77"/>
      <c r="I44" s="77"/>
      <c r="J44" s="77"/>
      <c r="K44" s="77"/>
      <c r="L44" s="77"/>
      <c r="M44" s="77"/>
    </row>
    <row r="45" spans="1:13" s="76" customFormat="1" x14ac:dyDescent="0.2">
      <c r="A45" s="76" t="str">
        <f>A33</f>
        <v>Plan-PD</v>
      </c>
      <c r="B45" s="77">
        <f>B33/1000000</f>
        <v>0.93</v>
      </c>
      <c r="C45" s="77">
        <f t="shared" ref="C45:M45" si="7">C33/1000000</f>
        <v>1.43</v>
      </c>
      <c r="D45" s="77">
        <f t="shared" si="7"/>
        <v>5.73</v>
      </c>
      <c r="E45" s="77">
        <f t="shared" si="7"/>
        <v>2</v>
      </c>
      <c r="F45" s="77">
        <f t="shared" si="7"/>
        <v>3.2</v>
      </c>
      <c r="G45" s="77">
        <f t="shared" si="7"/>
        <v>4.9400000000000004</v>
      </c>
      <c r="H45" s="77">
        <f t="shared" si="7"/>
        <v>4.2</v>
      </c>
      <c r="I45" s="77">
        <f t="shared" si="7"/>
        <v>4.4000000000000004</v>
      </c>
      <c r="J45" s="77">
        <f t="shared" si="7"/>
        <v>7.71</v>
      </c>
      <c r="K45" s="77">
        <f t="shared" si="7"/>
        <v>4.9000000000000004</v>
      </c>
      <c r="L45" s="77">
        <f t="shared" si="7"/>
        <v>10.16</v>
      </c>
      <c r="M45" s="77">
        <f t="shared" si="7"/>
        <v>9.4</v>
      </c>
    </row>
    <row r="46" spans="1:13" s="76" customFormat="1" x14ac:dyDescent="0.2">
      <c r="A46" s="76" t="str">
        <f>A36</f>
        <v>Actual-PD</v>
      </c>
      <c r="B46" s="77">
        <f>B36/1000000</f>
        <v>4.725E-2</v>
      </c>
      <c r="C46" s="77">
        <f t="shared" ref="C46:E46" si="8">C36/1000000</f>
        <v>0.44589600000000001</v>
      </c>
      <c r="D46" s="77">
        <f t="shared" si="8"/>
        <v>0.54986599999999997</v>
      </c>
      <c r="E46" s="77">
        <f t="shared" si="8"/>
        <v>1.452777</v>
      </c>
      <c r="F46" s="77"/>
      <c r="G46" s="77"/>
      <c r="H46" s="77"/>
      <c r="I46" s="77"/>
      <c r="J46" s="77"/>
      <c r="K46" s="77"/>
      <c r="L46" s="77"/>
      <c r="M46" s="77"/>
    </row>
    <row r="47" spans="1:13" s="76" customFormat="1" x14ac:dyDescent="0.2"/>
    <row r="48" spans="1:13" s="76" customFormat="1" x14ac:dyDescent="0.2"/>
    <row r="49" spans="1:16" s="76" customFormat="1" x14ac:dyDescent="0.2"/>
    <row r="50" spans="1:16" s="76" customFormat="1" x14ac:dyDescent="0.2"/>
    <row r="51" spans="1:16" s="76" customFormat="1" x14ac:dyDescent="0.2">
      <c r="B51" s="76" t="str">
        <f t="shared" ref="B51:M51" si="9">B40</f>
        <v>JAN</v>
      </c>
      <c r="C51" s="76" t="str">
        <f t="shared" si="9"/>
        <v>FEB</v>
      </c>
      <c r="D51" s="76" t="str">
        <f t="shared" si="9"/>
        <v>MAR</v>
      </c>
      <c r="E51" s="76" t="str">
        <f t="shared" si="9"/>
        <v>APR</v>
      </c>
      <c r="F51" s="76" t="str">
        <f t="shared" si="9"/>
        <v>MAY</v>
      </c>
      <c r="G51" s="76" t="str">
        <f t="shared" si="9"/>
        <v>JUN</v>
      </c>
      <c r="H51" s="76" t="str">
        <f t="shared" si="9"/>
        <v>JUL</v>
      </c>
      <c r="I51" s="76" t="str">
        <f t="shared" si="9"/>
        <v>AUG</v>
      </c>
      <c r="J51" s="76" t="str">
        <f t="shared" si="9"/>
        <v>SEP</v>
      </c>
      <c r="K51" s="76" t="str">
        <f t="shared" si="9"/>
        <v>OCT</v>
      </c>
      <c r="L51" s="76" t="str">
        <f t="shared" si="9"/>
        <v>NOV</v>
      </c>
      <c r="M51" s="76" t="str">
        <f t="shared" si="9"/>
        <v>DEC</v>
      </c>
    </row>
    <row r="52" spans="1:16" s="76" customFormat="1" x14ac:dyDescent="0.2">
      <c r="A52" s="76" t="str">
        <f>A41</f>
        <v>Plan</v>
      </c>
      <c r="B52" s="76">
        <v>2.72</v>
      </c>
      <c r="C52" s="76">
        <v>6.21</v>
      </c>
      <c r="D52" s="76">
        <v>13.56</v>
      </c>
      <c r="E52" s="76">
        <v>7.23</v>
      </c>
      <c r="F52" s="76">
        <v>7.41</v>
      </c>
      <c r="G52" s="76">
        <v>19.32</v>
      </c>
      <c r="H52" s="76">
        <v>13.48</v>
      </c>
      <c r="I52" s="76">
        <v>10.68</v>
      </c>
      <c r="J52" s="76">
        <v>18.09</v>
      </c>
      <c r="K52" s="76">
        <v>16.18</v>
      </c>
      <c r="L52" s="76">
        <v>14.54</v>
      </c>
      <c r="M52" s="76">
        <v>19.850000000000001</v>
      </c>
    </row>
    <row r="53" spans="1:16" s="76" customFormat="1" x14ac:dyDescent="0.2">
      <c r="A53" s="76" t="str">
        <f t="shared" ref="A53:A57" si="10">A42</f>
        <v>Actual</v>
      </c>
      <c r="B53" s="76">
        <v>1.05</v>
      </c>
      <c r="C53" s="76">
        <v>6.16</v>
      </c>
      <c r="D53" s="76">
        <v>9.09</v>
      </c>
      <c r="E53" s="76">
        <v>6.31</v>
      </c>
    </row>
    <row r="54" spans="1:16" s="76" customFormat="1" x14ac:dyDescent="0.2">
      <c r="A54" s="76" t="str">
        <f t="shared" si="10"/>
        <v>Plan-PS</v>
      </c>
      <c r="B54" s="76">
        <v>1.79</v>
      </c>
      <c r="C54" s="76">
        <v>4.78</v>
      </c>
      <c r="D54" s="76">
        <v>7.83</v>
      </c>
      <c r="E54" s="76">
        <v>5.23</v>
      </c>
      <c r="F54" s="76">
        <v>4.21</v>
      </c>
      <c r="G54" s="76">
        <v>14.38</v>
      </c>
      <c r="H54" s="76">
        <v>9.2799999999999994</v>
      </c>
      <c r="I54" s="76">
        <v>6.28</v>
      </c>
      <c r="J54" s="76">
        <v>10.38</v>
      </c>
      <c r="K54" s="76">
        <v>11.28</v>
      </c>
      <c r="L54" s="76">
        <v>4.38</v>
      </c>
      <c r="M54" s="76">
        <v>10.45</v>
      </c>
    </row>
    <row r="55" spans="1:16" s="76" customFormat="1" x14ac:dyDescent="0.2">
      <c r="A55" s="76" t="str">
        <f t="shared" si="10"/>
        <v>Actual-PS</v>
      </c>
      <c r="B55" s="76">
        <v>1</v>
      </c>
      <c r="C55" s="76">
        <v>5.71</v>
      </c>
      <c r="D55" s="76">
        <v>8.5399999999999991</v>
      </c>
      <c r="E55" s="76">
        <v>4.8600000000000003</v>
      </c>
    </row>
    <row r="56" spans="1:16" s="76" customFormat="1" x14ac:dyDescent="0.2">
      <c r="A56" s="76" t="str">
        <f t="shared" si="10"/>
        <v>Plan-PD</v>
      </c>
      <c r="B56" s="76">
        <v>0.93</v>
      </c>
      <c r="C56" s="76">
        <v>1.43</v>
      </c>
      <c r="D56" s="76">
        <v>5.73</v>
      </c>
      <c r="E56" s="76">
        <v>2</v>
      </c>
      <c r="F56" s="76">
        <v>3.2</v>
      </c>
      <c r="G56" s="76">
        <v>4.9400000000000004</v>
      </c>
      <c r="H56" s="76">
        <v>4.2</v>
      </c>
      <c r="I56" s="76">
        <v>4.4000000000000004</v>
      </c>
      <c r="J56" s="76">
        <v>7.71</v>
      </c>
      <c r="K56" s="76">
        <v>4.9000000000000004</v>
      </c>
      <c r="L56" s="76">
        <v>10.16</v>
      </c>
      <c r="M56" s="76">
        <v>9.4</v>
      </c>
    </row>
    <row r="57" spans="1:16" s="76" customFormat="1" x14ac:dyDescent="0.2">
      <c r="A57" s="76" t="str">
        <f t="shared" si="10"/>
        <v>Actual-PD</v>
      </c>
      <c r="B57" s="76">
        <v>0.05</v>
      </c>
      <c r="C57" s="76">
        <v>0.45</v>
      </c>
      <c r="D57" s="76">
        <v>0.55000000000000004</v>
      </c>
      <c r="E57" s="76">
        <v>1.45</v>
      </c>
      <c r="F57" s="77"/>
      <c r="L57" s="77"/>
    </row>
    <row r="61" spans="1:16" x14ac:dyDescent="0.2">
      <c r="A61" s="50" t="s">
        <v>119</v>
      </c>
      <c r="B61" s="95" t="s">
        <v>4</v>
      </c>
      <c r="C61" s="95" t="s">
        <v>5</v>
      </c>
      <c r="D61" s="95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96" t="s">
        <v>181</v>
      </c>
      <c r="O61" s="96" t="s">
        <v>182</v>
      </c>
      <c r="P61" s="96" t="s">
        <v>183</v>
      </c>
    </row>
    <row r="62" spans="1:16" x14ac:dyDescent="0.2">
      <c r="A62" s="7" t="s">
        <v>131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132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133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134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135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"/>
    </row>
    <row r="68" spans="1:16" x14ac:dyDescent="0.2">
      <c r="A68" s="7"/>
      <c r="B68" s="7"/>
      <c r="C68" s="7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tabSelected="1" topLeftCell="A16" workbookViewId="0">
      <selection activeCell="G26" sqref="G26"/>
    </sheetView>
  </sheetViews>
  <sheetFormatPr baseColWidth="10" defaultRowHeight="16" x14ac:dyDescent="0.2"/>
  <cols>
    <col min="1" max="1" width="27.1640625" bestFit="1" customWidth="1"/>
  </cols>
  <sheetData>
    <row r="1" spans="1:20" s="55" customFormat="1" x14ac:dyDescent="0.2">
      <c r="A1" s="55" t="str">
        <f>IF(Project!A1&gt;0,Project!A1,"")</f>
        <v>Group</v>
      </c>
      <c r="B1" s="55" t="str">
        <f>IF(Project!B1&gt;0,Project!B1,"")</f>
        <v>APR</v>
      </c>
      <c r="C1" s="55" t="str">
        <f>IF(Project!C1&gt;0,Project!C1,"")</f>
        <v>MAY</v>
      </c>
      <c r="D1" s="55" t="str">
        <f>IF(Project!D1&gt;0,Project!D1,"")</f>
        <v>JUN</v>
      </c>
      <c r="E1" s="55" t="str">
        <f>IF(Project!E1&gt;0,Project!E1,"")</f>
        <v>JUL</v>
      </c>
      <c r="F1" s="55" t="str">
        <f>IF(Project!F1&gt;0,Project!F1,"")</f>
        <v>AUG</v>
      </c>
      <c r="G1" s="55" t="str">
        <f>IF(Project!G1&gt;0,Project!G1,"")</f>
        <v>SEP</v>
      </c>
      <c r="H1" s="55" t="str">
        <f>IF(Project!H1&gt;0,Project!H1,"")</f>
        <v>OCT</v>
      </c>
      <c r="I1" s="55" t="str">
        <f>IF(Project!I1&gt;0,Project!I1,"")</f>
        <v>NOV</v>
      </c>
      <c r="J1" s="55" t="str">
        <f>IF(Project!J1&gt;0,Project!J1,"")</f>
        <v>DEC</v>
      </c>
      <c r="K1" s="55" t="str">
        <f>IF(Project!K1&gt;0,Project!K1,"")</f>
        <v>JAN'27</v>
      </c>
      <c r="L1" s="55" t="str">
        <f>IF(Project!L1&gt;0,Project!L1,"")</f>
        <v>FEB'27</v>
      </c>
      <c r="M1" s="55" t="str">
        <f>IF(Project!M1&gt;0,Project!M1,"")</f>
        <v>MAR'27</v>
      </c>
      <c r="N1" s="55" t="str">
        <f>IF(Project!N1&gt;0,Project!N1,"")</f>
        <v>APR'27</v>
      </c>
      <c r="O1" s="55" t="str">
        <f>IF(Project!O1&gt;0,Project!O1,"")</f>
        <v>MAY'27</v>
      </c>
      <c r="P1" s="55" t="str">
        <f>IF(Project!P1&gt;0,Project!P1,"")</f>
        <v>JUN'27</v>
      </c>
      <c r="Q1" s="55" t="str">
        <f>IF(Project!Q1&gt;0,Project!Q1,"")</f>
        <v/>
      </c>
      <c r="R1" s="55" t="str">
        <f>IF(Project!R1&gt;0,Project!R1,"")</f>
        <v/>
      </c>
      <c r="S1" s="55" t="str">
        <f>IF(Project!S1&gt;0,Project!S1,"")</f>
        <v/>
      </c>
      <c r="T1" s="55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5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5" customFormat="1" x14ac:dyDescent="0.2">
      <c r="A11" s="55" t="str">
        <f>IF(Project!A11&gt;0,Project!A11,"")</f>
        <v>Group Name</v>
      </c>
      <c r="B11" s="55" t="str">
        <f>IF(Project!B11&gt;0,Project!B11,"")</f>
        <v>Total</v>
      </c>
      <c r="C11" s="55" t="str">
        <f>IF(Project!C11&gt;0,Project!C11,"")</f>
        <v>CPS</v>
      </c>
      <c r="D11" s="55" t="str">
        <f>IF(Project!D11&gt;0,Project!D11,"")</f>
        <v>PSE-PE</v>
      </c>
      <c r="E11" s="55" t="str">
        <f>IF(Project!E11&gt;0,Project!E11,"")</f>
        <v>PSE-SE</v>
      </c>
      <c r="F11" s="55" t="str">
        <f>IF(Project!F11&gt;0,Project!F11,"")</f>
        <v>SD-Design</v>
      </c>
      <c r="G11" s="55" t="str">
        <f>IF(Project!G11&gt;0,Project!G11,"")</f>
        <v>SD-Data</v>
      </c>
      <c r="H11" s="55" t="str">
        <f>IF(Project!H11&gt;0,Project!H11,"")</f>
        <v>SD-SA</v>
      </c>
      <c r="I11" s="55" t="str">
        <f>IF(Project!I11&gt;0,Project!I11,"")</f>
        <v>SD-SRE</v>
      </c>
      <c r="J11" s="55" t="str">
        <f>IF(Project!J11&gt;0,Project!J11,"")</f>
        <v>SD-CyberSec</v>
      </c>
      <c r="K11" s="55" t="str">
        <f>IF(Project!K11&gt;0,Project!K11,"")</f>
        <v>SD-PM</v>
      </c>
      <c r="L11" s="55" t="str">
        <f>IF(Project!L11&gt;0,Project!L11,"")</f>
        <v>SD-BA</v>
      </c>
      <c r="M11" s="55" t="str">
        <f>IF(Project!M11&gt;0,Project!M11,"")</f>
        <v>SD-QA</v>
      </c>
      <c r="N11" s="55" t="str">
        <f>IF(Project!N11&gt;0,Project!N11,"")</f>
        <v>SD-TM</v>
      </c>
      <c r="O11" s="55" t="str">
        <f>IF(Project!O11&gt;0,Project!O11,"")</f>
        <v>AIC-AI</v>
      </c>
      <c r="P11" s="55" t="str">
        <f>IF(Project!P11&gt;0,Project!P11,"")</f>
        <v>AIC-AIE</v>
      </c>
      <c r="Q11" s="55" t="str">
        <f>IF(Project!Q11&gt;0,Project!Q11,"")</f>
        <v>AIC-IoT</v>
      </c>
      <c r="R11" s="55" t="str">
        <f>IF(Project!R11&gt;0,Project!R11,"")</f>
        <v>AIC-SAI</v>
      </c>
      <c r="S11" s="55" t="str">
        <f>IF(Project!S11&gt;0,Project!S11,"")</f>
        <v>AIC-PSI</v>
      </c>
      <c r="T11" s="55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5" customFormat="1" x14ac:dyDescent="0.2">
      <c r="A19" s="55" t="str">
        <f>IF(Project!A19&gt;0,Project!A19,"")</f>
        <v>Project by Type</v>
      </c>
      <c r="B19" s="55" t="str">
        <f>IF(Project!B19&gt;0,Project!B19,"")</f>
        <v/>
      </c>
      <c r="C19" s="55" t="str">
        <f>IF(Project!C19&gt;0,Project!C19,"")</f>
        <v/>
      </c>
      <c r="D19" s="55" t="str">
        <f>IF(Project!D19&gt;0,Project!D19,"")</f>
        <v/>
      </c>
      <c r="E19" s="55" t="str">
        <f>IF(Project!E19&gt;0,Project!E19,"")</f>
        <v/>
      </c>
      <c r="F19" s="55" t="str">
        <f>IF(Project!F19&gt;0,Project!F19,"")</f>
        <v/>
      </c>
      <c r="G19" s="55" t="str">
        <f>IF(Project!G19&gt;0,Project!G19,"")</f>
        <v/>
      </c>
      <c r="H19" s="55" t="str">
        <f>IF(Project!H19&gt;0,Project!H19,"")</f>
        <v/>
      </c>
      <c r="I19" s="55" t="str">
        <f>IF(Project!I19&gt;0,Project!I19,"")</f>
        <v/>
      </c>
      <c r="J19" s="55" t="str">
        <f>IF(Project!J19&gt;0,Project!J19,"")</f>
        <v/>
      </c>
      <c r="K19" s="55" t="str">
        <f>IF(Project!K19&gt;0,Project!K19,"")</f>
        <v/>
      </c>
      <c r="L19" s="55" t="str">
        <f>IF(Project!L19&gt;0,Project!L19,"")</f>
        <v/>
      </c>
      <c r="M19" s="55" t="str">
        <f>IF(Project!M19&gt;0,Project!M19,"")</f>
        <v/>
      </c>
      <c r="N19" s="55" t="str">
        <f>IF(Project!N19&gt;0,Project!N19,"")</f>
        <v/>
      </c>
      <c r="O19" s="55" t="str">
        <f>IF(Project!O19&gt;0,Project!O19,"")</f>
        <v/>
      </c>
      <c r="P19" s="55" t="str">
        <f>IF(Project!P19&gt;0,Project!P19,"")</f>
        <v/>
      </c>
      <c r="Q19" s="55" t="str">
        <f>IF(Project!Q19&gt;0,Project!Q19,"")</f>
        <v/>
      </c>
      <c r="R19" s="55" t="str">
        <f>IF(Project!R19&gt;0,Project!R19,"")</f>
        <v/>
      </c>
      <c r="S19" s="55" t="str">
        <f>IF(Project!S19&gt;0,Project!S19,"")</f>
        <v/>
      </c>
      <c r="T19" s="55" t="str">
        <f>IF(Project!T19&gt;0,Project!T19,"")</f>
        <v/>
      </c>
    </row>
    <row r="20" spans="1:20" s="55" customFormat="1" x14ac:dyDescent="0.2">
      <c r="A20" s="55" t="str">
        <f>IF(Project!A20&gt;0,Project!A20,"")</f>
        <v/>
      </c>
      <c r="B20" s="55" t="str">
        <f>IF(Project!B20&gt;0,Project!B20,"")</f>
        <v/>
      </c>
      <c r="C20" s="55" t="str">
        <f>IF(Project!C20&gt;0,Project!C20,"")</f>
        <v/>
      </c>
      <c r="D20" s="55" t="str">
        <f>IF(Project!D20&gt;0,Project!D20,"")</f>
        <v/>
      </c>
      <c r="E20" s="55" t="str">
        <f>IF(Project!E20&gt;0,Project!E20,"")</f>
        <v/>
      </c>
      <c r="F20" s="55" t="str">
        <f>IF(Project!F20&gt;0,Project!F20,"")</f>
        <v/>
      </c>
      <c r="G20" s="55" t="str">
        <f>IF(Project!G20&gt;0,Project!G20,"")</f>
        <v/>
      </c>
      <c r="H20" s="55" t="str">
        <f>IF(Project!H20&gt;0,Project!H20,"")</f>
        <v/>
      </c>
      <c r="I20" s="55" t="str">
        <f>IF(Project!I20&gt;0,Project!I20,"")</f>
        <v/>
      </c>
      <c r="J20" s="55" t="str">
        <f>IF(Project!J20&gt;0,Project!J20,"")</f>
        <v/>
      </c>
      <c r="K20" s="55" t="str">
        <f>IF(Project!K20&gt;0,Project!K20,"")</f>
        <v/>
      </c>
      <c r="L20" s="55" t="str">
        <f>IF(Project!L20&gt;0,Project!L20,"")</f>
        <v/>
      </c>
      <c r="M20" s="55" t="str">
        <f>IF(Project!M20&gt;0,Project!M20,"")</f>
        <v/>
      </c>
      <c r="N20" s="55" t="str">
        <f>IF(Project!N20&gt;0,Project!N20,"")</f>
        <v/>
      </c>
      <c r="O20" s="55" t="str">
        <f>IF(Project!O20&gt;0,Project!O20,"")</f>
        <v/>
      </c>
      <c r="P20" s="55" t="str">
        <f>IF(Project!P20&gt;0,Project!P20,"")</f>
        <v/>
      </c>
      <c r="Q20" s="55" t="str">
        <f>IF(Project!Q20&gt;0,Project!Q20,"")</f>
        <v/>
      </c>
      <c r="R20" s="55" t="str">
        <f>IF(Project!R20&gt;0,Project!R20,"")</f>
        <v/>
      </c>
      <c r="S20" s="55" t="str">
        <f>IF(Project!S20&gt;0,Project!S20,"")</f>
        <v/>
      </c>
      <c r="T20" s="55" t="str">
        <f>IF(Project!T20&gt;0,Project!T20,"")</f>
        <v/>
      </c>
    </row>
    <row r="21" spans="1:20" x14ac:dyDescent="0.2">
      <c r="A21" s="55" t="str">
        <f>IF(Project!A21&gt;0,Project!A21,"")</f>
        <v>Group Name</v>
      </c>
      <c r="B21" s="58" t="str">
        <f>IF(Project!A22&gt;0,Project!A22,"")</f>
        <v>IT Dist</v>
      </c>
      <c r="C21" s="59" t="str">
        <f>IF(Project!A23&gt;0,Project!A23,"")</f>
        <v>SCGP e-Ordering</v>
      </c>
      <c r="D21" s="60" t="str">
        <f>IF(Project!A24&gt;0,Project!A24,"")</f>
        <v>CDAS</v>
      </c>
      <c r="E21" s="62" t="str">
        <f>IF(Project!A25&gt;0,Project!A25,"")</f>
        <v>PromptPlus</v>
      </c>
      <c r="F21" s="61" t="str">
        <f>IF(Project!A26&gt;0,Project!A26,"")</f>
        <v>SCG Home</v>
      </c>
      <c r="G21" s="102" t="str">
        <f>IF(Project!A27&gt;0,Project!A27,"")</f>
        <v>Credit &amp; Collateral Management</v>
      </c>
    </row>
    <row r="22" spans="1:20" x14ac:dyDescent="0.2">
      <c r="A22" s="55" t="str">
        <f>IF(Project!B21&gt;0,Project!B21,"")</f>
        <v>Presale</v>
      </c>
      <c r="B22" s="58" t="str">
        <f>IF(Project!B22&gt;0,Project!B22,"")</f>
        <v/>
      </c>
      <c r="C22" s="59">
        <f>IF(Project!B23&gt;0,Project!B23,"")</f>
        <v>1.65</v>
      </c>
      <c r="D22" s="60">
        <f>IF(Project!B24&gt;0,Project!B24,"")</f>
        <v>0.3</v>
      </c>
      <c r="E22" s="62" t="str">
        <f>IF(Project!B25&gt;0,Project!B25,"")</f>
        <v/>
      </c>
      <c r="F22" s="61"/>
      <c r="G22" s="102" t="str">
        <f>IF(Project!B27&gt;0,Project!B27,"")</f>
        <v/>
      </c>
    </row>
    <row r="23" spans="1:20" x14ac:dyDescent="0.2">
      <c r="A23" s="55" t="str">
        <f>IF(Project!C21&gt;0,Project!C21,"")</f>
        <v>Project</v>
      </c>
      <c r="B23" s="58" t="str">
        <f>IF(Project!C22&gt;0,Project!C22,"")</f>
        <v/>
      </c>
      <c r="C23" s="59">
        <f>IF(Project!C23&gt;0,Project!C23,"")</f>
        <v>110.52500000000001</v>
      </c>
      <c r="D23" s="60">
        <f>IF(Project!C24&gt;0,Project!C24,"")</f>
        <v>48.756250000000001</v>
      </c>
      <c r="E23" s="62">
        <f>IF(Project!C25&gt;0,Project!C25,"")</f>
        <v>30.484999999999999</v>
      </c>
      <c r="F23" s="61" t="str">
        <f>IF(Project!C26&gt;0,Project!C26,"")</f>
        <v/>
      </c>
      <c r="G23" s="102">
        <f>IF(Project!C27&gt;0,Project!C27,"")</f>
        <v>23.375</v>
      </c>
    </row>
    <row r="24" spans="1:20" x14ac:dyDescent="0.2">
      <c r="A24" s="55" t="str">
        <f>IF(Project!D21&gt;0,Project!D21,"")</f>
        <v>TM</v>
      </c>
      <c r="B24" s="58" t="str">
        <f>IF(Project!D22&gt;0,Project!D22,"")</f>
        <v/>
      </c>
      <c r="C24" s="59">
        <f>IF(Project!D23&gt;0,Project!D23,"")</f>
        <v>5.04</v>
      </c>
      <c r="D24" s="60">
        <f>IF(Project!D24&gt;0,Project!D24,"")</f>
        <v>3.4649999999999999</v>
      </c>
      <c r="E24" s="62" t="str">
        <f>IF(Project!D25&gt;0,Project!D25,"")</f>
        <v/>
      </c>
      <c r="F24" s="61" t="str">
        <f>IF(Project!D26&gt;0,Project!D26,"")</f>
        <v/>
      </c>
      <c r="G24" s="102"/>
    </row>
    <row r="25" spans="1:20" x14ac:dyDescent="0.2">
      <c r="A25" s="55" t="str">
        <f>IF(Project!E21&gt;0,Project!E21,"")</f>
        <v>Infra</v>
      </c>
      <c r="B25" s="58" t="str">
        <f>IF(Project!E22&gt;0,Project!E22,"")</f>
        <v/>
      </c>
      <c r="C25" s="59">
        <f>IF(Project!E23&gt;0,Project!E23,"")</f>
        <v>0.6</v>
      </c>
      <c r="D25" s="60">
        <f>IF(Project!E24&gt;0,Project!E24,"")</f>
        <v>1.25</v>
      </c>
      <c r="E25" s="62" t="str">
        <f>IF(Project!E25&gt;0,Project!E25,"")</f>
        <v/>
      </c>
      <c r="F25" s="61" t="str">
        <f>IF(Project!E26&gt;0,Project!E26,"")</f>
        <v/>
      </c>
      <c r="G25" s="102">
        <f>IF(Project!E27&gt;0,Project!E27,"")</f>
        <v>0.21</v>
      </c>
    </row>
    <row r="26" spans="1:20" x14ac:dyDescent="0.2">
      <c r="A26" s="55" t="str">
        <f>IF(Project!F21&gt;0,Project!F21,"")</f>
        <v>Warmbody</v>
      </c>
      <c r="B26" s="58">
        <f>IF(Project!F22&gt;0,Project!F22,"")</f>
        <v>198.06</v>
      </c>
      <c r="C26" s="59" t="str">
        <f>IF(Project!F23&gt;0,Project!F23,"")</f>
        <v/>
      </c>
      <c r="D26" s="60" t="str">
        <f>IF(Project!F24&gt;0,Project!F24,"")</f>
        <v/>
      </c>
      <c r="E26" s="62">
        <f>IF(Project!F25&gt;0,Project!F25,"")</f>
        <v>21.01</v>
      </c>
      <c r="F26" s="61">
        <f>IF(Project!F26&gt;0,Project!F26,"")</f>
        <v>27.8</v>
      </c>
      <c r="G26" s="102"/>
    </row>
    <row r="27" spans="1:20" s="104" customFormat="1" x14ac:dyDescent="0.2">
      <c r="A27" s="103"/>
    </row>
    <row r="28" spans="1:20" s="104" customFormat="1" x14ac:dyDescent="0.2">
      <c r="A28" s="103"/>
    </row>
    <row r="29" spans="1:20" x14ac:dyDescent="0.2">
      <c r="A29" s="55"/>
    </row>
    <row r="31" spans="1:20" x14ac:dyDescent="0.2">
      <c r="A31" s="55"/>
      <c r="B31" s="55" t="str">
        <f>Project!B51</f>
        <v>JAN</v>
      </c>
      <c r="C31" s="55" t="str">
        <f>Project!C51</f>
        <v>FEB</v>
      </c>
      <c r="D31" s="55" t="str">
        <f>Project!D51</f>
        <v>MAR</v>
      </c>
      <c r="E31" s="55" t="str">
        <f>Project!E51</f>
        <v>APR</v>
      </c>
      <c r="F31" s="55" t="str">
        <f>Project!F51</f>
        <v>MAY</v>
      </c>
      <c r="G31" s="55" t="str">
        <f>Project!G51</f>
        <v>JUN</v>
      </c>
      <c r="H31" s="55" t="str">
        <f>Project!H51</f>
        <v>JUL</v>
      </c>
      <c r="I31" s="55" t="str">
        <f>Project!I51</f>
        <v>AUG</v>
      </c>
      <c r="J31" s="55" t="str">
        <f>Project!J51</f>
        <v>SEP</v>
      </c>
      <c r="K31" s="55" t="str">
        <f>Project!K51</f>
        <v>OCT</v>
      </c>
      <c r="L31" s="55" t="str">
        <f>Project!L51</f>
        <v>NOV</v>
      </c>
      <c r="M31" s="55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1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2026-07-21T04:30:03Z</dcterms:modified>
</cp:coreProperties>
</file>