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iintra/Downloads/"/>
    </mc:Choice>
  </mc:AlternateContent>
  <xr:revisionPtr revIDLastSave="0" documentId="13_ncr:1_{9B92EF83-FF87-7B4B-A80E-65200AFE4DEA}" xr6:coauthVersionLast="47" xr6:coauthVersionMax="47" xr10:uidLastSave="{00000000-0000-0000-0000-000000000000}"/>
  <bookViews>
    <workbookView xWindow="0" yWindow="500" windowWidth="28800" windowHeight="16120" firstSheet="11" activeTab="20" xr2:uid="{9B62DE01-5AE9-7A46-A5D4-95A9ED94E5A6}"/>
  </bookViews>
  <sheets>
    <sheet name="Summary" sheetId="17" r:id="rId1"/>
    <sheet name="Summary-BKUP" sheetId="26" r:id="rId2"/>
    <sheet name="ALL" sheetId="1" r:id="rId3"/>
    <sheet name="GraphAll" sheetId="3" r:id="rId4"/>
    <sheet name="DV" sheetId="15" r:id="rId5"/>
    <sheet name="GraphDV" sheetId="16" r:id="rId6"/>
    <sheet name="CPS" sheetId="2" r:id="rId7"/>
    <sheet name="GraphCPS" sheetId="4" r:id="rId8"/>
    <sheet name="PSE" sheetId="5" r:id="rId9"/>
    <sheet name="GraphPSE" sheetId="6" r:id="rId10"/>
    <sheet name="SD" sheetId="7" r:id="rId11"/>
    <sheet name="GraphSD" sheetId="8" r:id="rId12"/>
    <sheet name="AIC" sheetId="9" r:id="rId13"/>
    <sheet name="GraphAIC" sheetId="10" r:id="rId14"/>
    <sheet name="TDE" sheetId="11" r:id="rId15"/>
    <sheet name="GraphTDE" sheetId="12" r:id="rId16"/>
    <sheet name="Project" sheetId="13" r:id="rId17"/>
    <sheet name="GraphPJ" sheetId="14" r:id="rId18"/>
    <sheet name="Full-ALL" sheetId="18" r:id="rId19"/>
    <sheet name="Full-DV" sheetId="20" r:id="rId20"/>
    <sheet name="Full-CPS" sheetId="19" r:id="rId21"/>
    <sheet name="Full-PSE" sheetId="21" r:id="rId22"/>
    <sheet name="Full-SD" sheetId="22" r:id="rId23"/>
    <sheet name="Full-AIC" sheetId="23" r:id="rId24"/>
    <sheet name="Full-TDE" sheetId="24" r:id="rId25"/>
    <sheet name="Graph-Demand" sheetId="25" r:id="rId26"/>
  </sheets>
  <definedNames>
    <definedName name="_xlnm._FilterDatabase" localSheetId="0" hidden="1">Summary!$A$1:$N$1</definedName>
    <definedName name="_xlnm._FilterDatabase" localSheetId="1" hidden="1">'Summary-BKUP'!$A$1:$N$1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25" l="1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B64" i="25"/>
  <c r="AF81" i="25"/>
  <c r="AF284" i="25"/>
  <c r="AE284" i="25"/>
  <c r="AD284" i="25"/>
  <c r="AC284" i="25"/>
  <c r="AB284" i="25"/>
  <c r="AA284" i="25"/>
  <c r="AF283" i="25"/>
  <c r="AE283" i="25"/>
  <c r="AD283" i="25"/>
  <c r="AC283" i="25"/>
  <c r="AB283" i="25"/>
  <c r="AA283" i="25"/>
  <c r="AF282" i="25"/>
  <c r="AE282" i="25"/>
  <c r="AD282" i="25"/>
  <c r="AC282" i="25"/>
  <c r="AB282" i="25"/>
  <c r="AA282" i="25"/>
  <c r="AF281" i="25"/>
  <c r="AE281" i="25"/>
  <c r="AA281" i="25"/>
  <c r="AF274" i="25"/>
  <c r="AE274" i="25"/>
  <c r="AD274" i="25"/>
  <c r="AC274" i="25"/>
  <c r="AB274" i="25"/>
  <c r="AA274" i="25"/>
  <c r="AF273" i="25"/>
  <c r="AE273" i="25"/>
  <c r="AD273" i="25"/>
  <c r="AC273" i="25"/>
  <c r="AB273" i="25"/>
  <c r="AA273" i="25"/>
  <c r="AF272" i="25"/>
  <c r="AE272" i="25"/>
  <c r="AD272" i="25"/>
  <c r="AC272" i="25"/>
  <c r="AB272" i="25"/>
  <c r="AA272" i="25"/>
  <c r="AF271" i="25"/>
  <c r="AE271" i="25"/>
  <c r="AA271" i="25"/>
  <c r="AF264" i="25"/>
  <c r="AE264" i="25"/>
  <c r="AD264" i="25"/>
  <c r="AC264" i="25"/>
  <c r="AB264" i="25"/>
  <c r="AA264" i="25"/>
  <c r="AF263" i="25"/>
  <c r="AE263" i="25"/>
  <c r="AD263" i="25"/>
  <c r="AC263" i="25"/>
  <c r="AB263" i="25"/>
  <c r="AA263" i="25"/>
  <c r="AF262" i="25"/>
  <c r="AE262" i="25"/>
  <c r="AD262" i="25"/>
  <c r="AC262" i="25"/>
  <c r="AB262" i="25"/>
  <c r="AA262" i="25"/>
  <c r="AF261" i="25"/>
  <c r="AE261" i="25"/>
  <c r="AA261" i="25"/>
  <c r="AF254" i="25"/>
  <c r="AE254" i="25"/>
  <c r="AD254" i="25"/>
  <c r="AC254" i="25"/>
  <c r="AB254" i="25"/>
  <c r="AA254" i="25"/>
  <c r="AF253" i="25"/>
  <c r="AE253" i="25"/>
  <c r="AD253" i="25"/>
  <c r="AC253" i="25"/>
  <c r="AB253" i="25"/>
  <c r="AA253" i="25"/>
  <c r="AF252" i="25"/>
  <c r="AE252" i="25"/>
  <c r="AD252" i="25"/>
  <c r="AC252" i="25"/>
  <c r="AB252" i="25"/>
  <c r="AA252" i="25"/>
  <c r="AF251" i="25"/>
  <c r="AE251" i="25"/>
  <c r="AA251" i="25"/>
  <c r="C254" i="25"/>
  <c r="D254" i="25"/>
  <c r="E254" i="25"/>
  <c r="F254" i="25"/>
  <c r="G254" i="25"/>
  <c r="H254" i="25"/>
  <c r="I254" i="25"/>
  <c r="J254" i="25"/>
  <c r="K254" i="25"/>
  <c r="L254" i="25"/>
  <c r="M254" i="25"/>
  <c r="N254" i="25"/>
  <c r="O254" i="25"/>
  <c r="P254" i="25"/>
  <c r="C264" i="25"/>
  <c r="D264" i="25"/>
  <c r="E264" i="25"/>
  <c r="F264" i="25"/>
  <c r="G264" i="25"/>
  <c r="H264" i="25"/>
  <c r="I264" i="25"/>
  <c r="J264" i="25"/>
  <c r="K264" i="25"/>
  <c r="L264" i="25"/>
  <c r="M264" i="25"/>
  <c r="N264" i="25"/>
  <c r="O264" i="25"/>
  <c r="P264" i="25"/>
  <c r="C274" i="25"/>
  <c r="D274" i="25"/>
  <c r="E274" i="25"/>
  <c r="F274" i="25"/>
  <c r="G274" i="25"/>
  <c r="H274" i="25"/>
  <c r="I274" i="25"/>
  <c r="J274" i="25"/>
  <c r="K274" i="25"/>
  <c r="L274" i="25"/>
  <c r="M274" i="25"/>
  <c r="N274" i="25"/>
  <c r="O274" i="25"/>
  <c r="P274" i="25"/>
  <c r="C284" i="25"/>
  <c r="D284" i="25"/>
  <c r="E284" i="25"/>
  <c r="F284" i="25"/>
  <c r="G284" i="25"/>
  <c r="H284" i="25"/>
  <c r="I284" i="25"/>
  <c r="J284" i="25"/>
  <c r="K284" i="25"/>
  <c r="L284" i="25"/>
  <c r="M284" i="25"/>
  <c r="N284" i="25"/>
  <c r="O284" i="25"/>
  <c r="P284" i="25"/>
  <c r="B284" i="25"/>
  <c r="B274" i="25"/>
  <c r="B264" i="25"/>
  <c r="B254" i="25"/>
  <c r="A284" i="25"/>
  <c r="A274" i="25"/>
  <c r="A264" i="25"/>
  <c r="A283" i="25"/>
  <c r="A273" i="25"/>
  <c r="A263" i="25"/>
  <c r="A254" i="25"/>
  <c r="A253" i="25"/>
  <c r="O251" i="25"/>
  <c r="P251" i="25"/>
  <c r="O252" i="25"/>
  <c r="P252" i="25"/>
  <c r="O253" i="25"/>
  <c r="P253" i="25"/>
  <c r="O262" i="25"/>
  <c r="P262" i="25"/>
  <c r="O263" i="25"/>
  <c r="P263" i="25"/>
  <c r="O272" i="25"/>
  <c r="P272" i="25"/>
  <c r="O273" i="25"/>
  <c r="P273" i="25"/>
  <c r="O282" i="25"/>
  <c r="P282" i="25"/>
  <c r="O283" i="25"/>
  <c r="P283" i="25"/>
  <c r="O261" i="25"/>
  <c r="P261" i="25"/>
  <c r="O271" i="25"/>
  <c r="P271" i="25"/>
  <c r="O281" i="25"/>
  <c r="P281" i="25"/>
  <c r="B251" i="25"/>
  <c r="C251" i="25"/>
  <c r="D251" i="25"/>
  <c r="E251" i="25"/>
  <c r="F251" i="25"/>
  <c r="G251" i="25"/>
  <c r="H251" i="25"/>
  <c r="I251" i="25"/>
  <c r="J251" i="25"/>
  <c r="K251" i="25"/>
  <c r="L251" i="25"/>
  <c r="M251" i="25"/>
  <c r="N251" i="25"/>
  <c r="B281" i="25"/>
  <c r="C281" i="25"/>
  <c r="D281" i="25"/>
  <c r="E281" i="25"/>
  <c r="F281" i="25"/>
  <c r="G281" i="25"/>
  <c r="H281" i="25"/>
  <c r="I281" i="25"/>
  <c r="J281" i="25"/>
  <c r="K281" i="25"/>
  <c r="L281" i="25"/>
  <c r="M281" i="25"/>
  <c r="N281" i="25"/>
  <c r="B271" i="25"/>
  <c r="C271" i="25"/>
  <c r="D271" i="25"/>
  <c r="E271" i="25"/>
  <c r="F271" i="25"/>
  <c r="G271" i="25"/>
  <c r="H271" i="25"/>
  <c r="I271" i="25"/>
  <c r="J271" i="25"/>
  <c r="K271" i="25"/>
  <c r="L271" i="25"/>
  <c r="M271" i="25"/>
  <c r="N271" i="25"/>
  <c r="B261" i="25"/>
  <c r="C261" i="25"/>
  <c r="D261" i="25"/>
  <c r="E261" i="25"/>
  <c r="F261" i="25"/>
  <c r="G261" i="25"/>
  <c r="H261" i="25"/>
  <c r="I261" i="25"/>
  <c r="J261" i="25"/>
  <c r="K261" i="25"/>
  <c r="L261" i="25"/>
  <c r="M261" i="25"/>
  <c r="N261" i="25"/>
  <c r="A252" i="25"/>
  <c r="B252" i="25"/>
  <c r="C252" i="25"/>
  <c r="D252" i="25"/>
  <c r="E252" i="25"/>
  <c r="F252" i="25"/>
  <c r="G252" i="25"/>
  <c r="H252" i="25"/>
  <c r="I252" i="25"/>
  <c r="J252" i="25"/>
  <c r="K252" i="25"/>
  <c r="L252" i="25"/>
  <c r="M252" i="25"/>
  <c r="N252" i="25"/>
  <c r="B253" i="25"/>
  <c r="C253" i="25"/>
  <c r="D253" i="25"/>
  <c r="E253" i="25"/>
  <c r="F253" i="25"/>
  <c r="G253" i="25"/>
  <c r="H253" i="25"/>
  <c r="I253" i="25"/>
  <c r="J253" i="25"/>
  <c r="K253" i="25"/>
  <c r="L253" i="25"/>
  <c r="M253" i="25"/>
  <c r="N253" i="25"/>
  <c r="A262" i="25"/>
  <c r="B262" i="25"/>
  <c r="C262" i="25"/>
  <c r="D262" i="25"/>
  <c r="E262" i="25"/>
  <c r="F262" i="25"/>
  <c r="G262" i="25"/>
  <c r="H262" i="25"/>
  <c r="I262" i="25"/>
  <c r="J262" i="25"/>
  <c r="K262" i="25"/>
  <c r="L262" i="25"/>
  <c r="M262" i="25"/>
  <c r="N262" i="25"/>
  <c r="B263" i="25"/>
  <c r="C263" i="25"/>
  <c r="D263" i="25"/>
  <c r="E263" i="25"/>
  <c r="F263" i="25"/>
  <c r="G263" i="25"/>
  <c r="H263" i="25"/>
  <c r="I263" i="25"/>
  <c r="J263" i="25"/>
  <c r="K263" i="25"/>
  <c r="L263" i="25"/>
  <c r="M263" i="25"/>
  <c r="N263" i="25"/>
  <c r="A272" i="25"/>
  <c r="B272" i="25"/>
  <c r="C272" i="25"/>
  <c r="D272" i="25"/>
  <c r="E272" i="25"/>
  <c r="F272" i="25"/>
  <c r="G272" i="25"/>
  <c r="H272" i="25"/>
  <c r="I272" i="25"/>
  <c r="J272" i="25"/>
  <c r="K272" i="25"/>
  <c r="L272" i="25"/>
  <c r="M272" i="25"/>
  <c r="N272" i="25"/>
  <c r="B273" i="25"/>
  <c r="C273" i="25"/>
  <c r="D273" i="25"/>
  <c r="E273" i="25"/>
  <c r="F273" i="25"/>
  <c r="G273" i="25"/>
  <c r="H273" i="25"/>
  <c r="I273" i="25"/>
  <c r="J273" i="25"/>
  <c r="K273" i="25"/>
  <c r="L273" i="25"/>
  <c r="M273" i="25"/>
  <c r="N273" i="25"/>
  <c r="A282" i="25"/>
  <c r="B282" i="25"/>
  <c r="C282" i="25"/>
  <c r="D282" i="25"/>
  <c r="E282" i="25"/>
  <c r="F282" i="25"/>
  <c r="G282" i="25"/>
  <c r="H282" i="25"/>
  <c r="I282" i="25"/>
  <c r="J282" i="25"/>
  <c r="K282" i="25"/>
  <c r="L282" i="25"/>
  <c r="M282" i="25"/>
  <c r="N282" i="25"/>
  <c r="B283" i="25"/>
  <c r="C283" i="25"/>
  <c r="D283" i="25"/>
  <c r="E283" i="25"/>
  <c r="F283" i="25"/>
  <c r="G283" i="25"/>
  <c r="H283" i="25"/>
  <c r="I283" i="25"/>
  <c r="J283" i="25"/>
  <c r="K283" i="25"/>
  <c r="L283" i="25"/>
  <c r="M283" i="25"/>
  <c r="N283" i="25"/>
  <c r="A251" i="25"/>
  <c r="A261" i="25"/>
  <c r="A271" i="25"/>
  <c r="A281" i="25"/>
  <c r="P244" i="25"/>
  <c r="P243" i="25"/>
  <c r="P242" i="25"/>
  <c r="P241" i="25"/>
  <c r="C244" i="25"/>
  <c r="D244" i="25"/>
  <c r="E244" i="25"/>
  <c r="F244" i="25"/>
  <c r="G244" i="25"/>
  <c r="H244" i="25"/>
  <c r="I244" i="25"/>
  <c r="J244" i="25"/>
  <c r="K244" i="25"/>
  <c r="L244" i="25"/>
  <c r="M244" i="25"/>
  <c r="N244" i="25"/>
  <c r="O244" i="25"/>
  <c r="B244" i="25"/>
  <c r="A244" i="25"/>
  <c r="AA244" i="25" s="1"/>
  <c r="C204" i="25"/>
  <c r="D204" i="25"/>
  <c r="E204" i="25"/>
  <c r="F204" i="25"/>
  <c r="G204" i="25"/>
  <c r="H204" i="25"/>
  <c r="I204" i="25"/>
  <c r="J204" i="25"/>
  <c r="K204" i="25"/>
  <c r="L204" i="25"/>
  <c r="M204" i="25"/>
  <c r="N204" i="25"/>
  <c r="O204" i="25"/>
  <c r="P204" i="25"/>
  <c r="C194" i="25"/>
  <c r="D194" i="25"/>
  <c r="E194" i="25"/>
  <c r="F194" i="25"/>
  <c r="G194" i="25"/>
  <c r="H194" i="25"/>
  <c r="I194" i="25"/>
  <c r="J194" i="25"/>
  <c r="K194" i="25"/>
  <c r="L194" i="25"/>
  <c r="M194" i="25"/>
  <c r="N194" i="25"/>
  <c r="O194" i="25"/>
  <c r="P194" i="25"/>
  <c r="P231" i="25"/>
  <c r="P232" i="25"/>
  <c r="P233" i="25"/>
  <c r="P234" i="25"/>
  <c r="P221" i="25"/>
  <c r="P222" i="25"/>
  <c r="P223" i="25"/>
  <c r="P224" i="25"/>
  <c r="P211" i="25"/>
  <c r="P212" i="25"/>
  <c r="P213" i="25"/>
  <c r="P214" i="25"/>
  <c r="P201" i="25"/>
  <c r="P202" i="25"/>
  <c r="P203" i="25"/>
  <c r="P191" i="25"/>
  <c r="P192" i="25"/>
  <c r="P193" i="25"/>
  <c r="C214" i="25"/>
  <c r="D214" i="25"/>
  <c r="E214" i="25"/>
  <c r="F214" i="25"/>
  <c r="G214" i="25"/>
  <c r="H214" i="25"/>
  <c r="I214" i="25"/>
  <c r="J214" i="25"/>
  <c r="K214" i="25"/>
  <c r="L214" i="25"/>
  <c r="M214" i="25"/>
  <c r="N214" i="25"/>
  <c r="O214" i="25"/>
  <c r="C224" i="25"/>
  <c r="D224" i="25"/>
  <c r="E224" i="25"/>
  <c r="F224" i="25"/>
  <c r="G224" i="25"/>
  <c r="H224" i="25"/>
  <c r="I224" i="25"/>
  <c r="J224" i="25"/>
  <c r="K224" i="25"/>
  <c r="L224" i="25"/>
  <c r="M224" i="25"/>
  <c r="N224" i="25"/>
  <c r="O224" i="25"/>
  <c r="C234" i="25"/>
  <c r="D234" i="25"/>
  <c r="E234" i="25"/>
  <c r="F234" i="25"/>
  <c r="G234" i="25"/>
  <c r="H234" i="25"/>
  <c r="I234" i="25"/>
  <c r="J234" i="25"/>
  <c r="K234" i="25"/>
  <c r="L234" i="25"/>
  <c r="M234" i="25"/>
  <c r="N234" i="25"/>
  <c r="O234" i="25"/>
  <c r="B234" i="25"/>
  <c r="B224" i="25"/>
  <c r="B214" i="25"/>
  <c r="B204" i="25"/>
  <c r="B194" i="25"/>
  <c r="A243" i="25"/>
  <c r="AA243" i="25" s="1"/>
  <c r="B243" i="25"/>
  <c r="C243" i="25"/>
  <c r="D243" i="25"/>
  <c r="E243" i="25"/>
  <c r="F243" i="25"/>
  <c r="G243" i="25"/>
  <c r="H243" i="25"/>
  <c r="I243" i="25"/>
  <c r="J243" i="25"/>
  <c r="K243" i="25"/>
  <c r="L243" i="25"/>
  <c r="M243" i="25"/>
  <c r="N243" i="25"/>
  <c r="O243" i="25"/>
  <c r="B242" i="25"/>
  <c r="C242" i="25"/>
  <c r="D242" i="25"/>
  <c r="E242" i="25"/>
  <c r="F242" i="25"/>
  <c r="G242" i="25"/>
  <c r="H242" i="25"/>
  <c r="I242" i="25"/>
  <c r="J242" i="25"/>
  <c r="K242" i="25"/>
  <c r="L242" i="25"/>
  <c r="M242" i="25"/>
  <c r="N242" i="25"/>
  <c r="O242" i="25"/>
  <c r="A242" i="25"/>
  <c r="AA242" i="25" s="1"/>
  <c r="C241" i="25"/>
  <c r="D241" i="25"/>
  <c r="E241" i="25"/>
  <c r="F241" i="25"/>
  <c r="G241" i="25"/>
  <c r="H241" i="25"/>
  <c r="I241" i="25"/>
  <c r="J241" i="25"/>
  <c r="K241" i="25"/>
  <c r="L241" i="25"/>
  <c r="M241" i="25"/>
  <c r="N241" i="25"/>
  <c r="O241" i="25"/>
  <c r="B241" i="25"/>
  <c r="A241" i="25"/>
  <c r="AA241" i="25" s="1"/>
  <c r="A231" i="25"/>
  <c r="AA231" i="25" s="1"/>
  <c r="A234" i="25"/>
  <c r="AA234" i="25" s="1"/>
  <c r="A224" i="25"/>
  <c r="AA224" i="25" s="1"/>
  <c r="A214" i="25"/>
  <c r="AA214" i="25" s="1"/>
  <c r="A204" i="25"/>
  <c r="AA204" i="25" s="1"/>
  <c r="A194" i="25"/>
  <c r="AA194" i="25" s="1"/>
  <c r="A233" i="25"/>
  <c r="AA233" i="25" s="1"/>
  <c r="A223" i="25"/>
  <c r="AA223" i="25" s="1"/>
  <c r="A213" i="25"/>
  <c r="AA213" i="25" s="1"/>
  <c r="A203" i="25"/>
  <c r="AA203" i="25" s="1"/>
  <c r="A193" i="25"/>
  <c r="AA193" i="25" s="1"/>
  <c r="A192" i="25"/>
  <c r="AA192" i="25" s="1"/>
  <c r="B191" i="25"/>
  <c r="C191" i="25"/>
  <c r="D191" i="25"/>
  <c r="E191" i="25"/>
  <c r="F191" i="25"/>
  <c r="G191" i="25"/>
  <c r="H191" i="25"/>
  <c r="I191" i="25"/>
  <c r="J191" i="25"/>
  <c r="K191" i="25"/>
  <c r="L191" i="25"/>
  <c r="M191" i="25"/>
  <c r="N191" i="25"/>
  <c r="O191" i="25"/>
  <c r="B221" i="25"/>
  <c r="C221" i="25"/>
  <c r="D221" i="25"/>
  <c r="E221" i="25"/>
  <c r="F221" i="25"/>
  <c r="G221" i="25"/>
  <c r="H221" i="25"/>
  <c r="I221" i="25"/>
  <c r="J221" i="25"/>
  <c r="K221" i="25"/>
  <c r="L221" i="25"/>
  <c r="M221" i="25"/>
  <c r="N221" i="25"/>
  <c r="O221" i="25"/>
  <c r="B231" i="25"/>
  <c r="C231" i="25"/>
  <c r="D231" i="25"/>
  <c r="E231" i="25"/>
  <c r="F231" i="25"/>
  <c r="G231" i="25"/>
  <c r="H231" i="25"/>
  <c r="I231" i="25"/>
  <c r="J231" i="25"/>
  <c r="K231" i="25"/>
  <c r="L231" i="25"/>
  <c r="M231" i="25"/>
  <c r="N231" i="25"/>
  <c r="O231" i="25"/>
  <c r="B211" i="25"/>
  <c r="C211" i="25"/>
  <c r="D211" i="25"/>
  <c r="E211" i="25"/>
  <c r="F211" i="25"/>
  <c r="G211" i="25"/>
  <c r="H211" i="25"/>
  <c r="I211" i="25"/>
  <c r="J211" i="25"/>
  <c r="K211" i="25"/>
  <c r="L211" i="25"/>
  <c r="M211" i="25"/>
  <c r="N211" i="25"/>
  <c r="O211" i="25"/>
  <c r="A191" i="25"/>
  <c r="AA191" i="25" s="1"/>
  <c r="B192" i="25"/>
  <c r="C192" i="25"/>
  <c r="D192" i="25"/>
  <c r="E192" i="25"/>
  <c r="F192" i="25"/>
  <c r="G192" i="25"/>
  <c r="H192" i="25"/>
  <c r="I192" i="25"/>
  <c r="J192" i="25"/>
  <c r="K192" i="25"/>
  <c r="L192" i="25"/>
  <c r="M192" i="25"/>
  <c r="N192" i="25"/>
  <c r="O192" i="25"/>
  <c r="B193" i="25"/>
  <c r="C193" i="25"/>
  <c r="D193" i="25"/>
  <c r="E193" i="25"/>
  <c r="F193" i="25"/>
  <c r="G193" i="25"/>
  <c r="H193" i="25"/>
  <c r="I193" i="25"/>
  <c r="J193" i="25"/>
  <c r="K193" i="25"/>
  <c r="L193" i="25"/>
  <c r="M193" i="25"/>
  <c r="N193" i="25"/>
  <c r="O193" i="25"/>
  <c r="A201" i="25"/>
  <c r="AA201" i="25" s="1"/>
  <c r="A202" i="25"/>
  <c r="AA202" i="25" s="1"/>
  <c r="B202" i="25"/>
  <c r="C202" i="25"/>
  <c r="D202" i="25"/>
  <c r="E202" i="25"/>
  <c r="F202" i="25"/>
  <c r="G202" i="25"/>
  <c r="H202" i="25"/>
  <c r="I202" i="25"/>
  <c r="J202" i="25"/>
  <c r="K202" i="25"/>
  <c r="L202" i="25"/>
  <c r="M202" i="25"/>
  <c r="N202" i="25"/>
  <c r="O202" i="25"/>
  <c r="B203" i="25"/>
  <c r="C203" i="25"/>
  <c r="D203" i="25"/>
  <c r="E203" i="25"/>
  <c r="F203" i="25"/>
  <c r="G203" i="25"/>
  <c r="H203" i="25"/>
  <c r="I203" i="25"/>
  <c r="J203" i="25"/>
  <c r="K203" i="25"/>
  <c r="L203" i="25"/>
  <c r="M203" i="25"/>
  <c r="N203" i="25"/>
  <c r="O203" i="25"/>
  <c r="A211" i="25"/>
  <c r="AA211" i="25" s="1"/>
  <c r="A212" i="25"/>
  <c r="AA212" i="25" s="1"/>
  <c r="B212" i="25"/>
  <c r="C212" i="25"/>
  <c r="D212" i="25"/>
  <c r="E212" i="25"/>
  <c r="F212" i="25"/>
  <c r="G212" i="25"/>
  <c r="H212" i="25"/>
  <c r="I212" i="25"/>
  <c r="J212" i="25"/>
  <c r="K212" i="25"/>
  <c r="L212" i="25"/>
  <c r="M212" i="25"/>
  <c r="N212" i="25"/>
  <c r="O212" i="25"/>
  <c r="B213" i="25"/>
  <c r="C213" i="25"/>
  <c r="D213" i="25"/>
  <c r="E213" i="25"/>
  <c r="F213" i="25"/>
  <c r="G213" i="25"/>
  <c r="H213" i="25"/>
  <c r="I213" i="25"/>
  <c r="J213" i="25"/>
  <c r="K213" i="25"/>
  <c r="L213" i="25"/>
  <c r="M213" i="25"/>
  <c r="N213" i="25"/>
  <c r="O213" i="25"/>
  <c r="A221" i="25"/>
  <c r="AA221" i="25" s="1"/>
  <c r="A222" i="25"/>
  <c r="AA222" i="25" s="1"/>
  <c r="B222" i="25"/>
  <c r="C222" i="25"/>
  <c r="D222" i="25"/>
  <c r="E222" i="25"/>
  <c r="F222" i="25"/>
  <c r="G222" i="25"/>
  <c r="H222" i="25"/>
  <c r="I222" i="25"/>
  <c r="J222" i="25"/>
  <c r="K222" i="25"/>
  <c r="L222" i="25"/>
  <c r="M222" i="25"/>
  <c r="N222" i="25"/>
  <c r="O222" i="25"/>
  <c r="B223" i="25"/>
  <c r="C223" i="25"/>
  <c r="D223" i="25"/>
  <c r="E223" i="25"/>
  <c r="F223" i="25"/>
  <c r="G223" i="25"/>
  <c r="H223" i="25"/>
  <c r="I223" i="25"/>
  <c r="J223" i="25"/>
  <c r="K223" i="25"/>
  <c r="L223" i="25"/>
  <c r="M223" i="25"/>
  <c r="N223" i="25"/>
  <c r="O223" i="25"/>
  <c r="A232" i="25"/>
  <c r="AA232" i="25" s="1"/>
  <c r="B232" i="25"/>
  <c r="C232" i="25"/>
  <c r="D232" i="25"/>
  <c r="E232" i="25"/>
  <c r="F232" i="25"/>
  <c r="G232" i="25"/>
  <c r="H232" i="25"/>
  <c r="I232" i="25"/>
  <c r="J232" i="25"/>
  <c r="K232" i="25"/>
  <c r="L232" i="25"/>
  <c r="M232" i="25"/>
  <c r="N232" i="25"/>
  <c r="O232" i="25"/>
  <c r="B233" i="25"/>
  <c r="C233" i="25"/>
  <c r="D233" i="25"/>
  <c r="E233" i="25"/>
  <c r="F233" i="25"/>
  <c r="G233" i="25"/>
  <c r="H233" i="25"/>
  <c r="I233" i="25"/>
  <c r="J233" i="25"/>
  <c r="K233" i="25"/>
  <c r="L233" i="25"/>
  <c r="M233" i="25"/>
  <c r="N233" i="25"/>
  <c r="O233" i="25"/>
  <c r="B201" i="25"/>
  <c r="C201" i="25"/>
  <c r="D201" i="25"/>
  <c r="E201" i="25"/>
  <c r="F201" i="25"/>
  <c r="G201" i="25"/>
  <c r="H201" i="25"/>
  <c r="I201" i="25"/>
  <c r="J201" i="25"/>
  <c r="K201" i="25"/>
  <c r="L201" i="25"/>
  <c r="M201" i="25"/>
  <c r="N201" i="25"/>
  <c r="O201" i="25"/>
  <c r="C184" i="25"/>
  <c r="D184" i="25"/>
  <c r="E184" i="25"/>
  <c r="F184" i="25"/>
  <c r="G184" i="25"/>
  <c r="H184" i="25"/>
  <c r="I184" i="25"/>
  <c r="J184" i="25"/>
  <c r="K184" i="25"/>
  <c r="L184" i="25"/>
  <c r="M184" i="25"/>
  <c r="N184" i="25"/>
  <c r="O184" i="25"/>
  <c r="P184" i="25"/>
  <c r="B184" i="25"/>
  <c r="A184" i="25"/>
  <c r="AA184" i="25" s="1"/>
  <c r="A183" i="25"/>
  <c r="AA183" i="25" s="1"/>
  <c r="A182" i="25"/>
  <c r="AA182" i="25" s="1"/>
  <c r="B183" i="25"/>
  <c r="C183" i="25"/>
  <c r="D183" i="25"/>
  <c r="E183" i="25"/>
  <c r="F183" i="25"/>
  <c r="G183" i="25"/>
  <c r="H183" i="25"/>
  <c r="I183" i="25"/>
  <c r="J183" i="25"/>
  <c r="K183" i="25"/>
  <c r="L183" i="25"/>
  <c r="M183" i="25"/>
  <c r="N183" i="25"/>
  <c r="O183" i="25"/>
  <c r="P183" i="25"/>
  <c r="B182" i="25"/>
  <c r="C182" i="25"/>
  <c r="D182" i="25"/>
  <c r="E182" i="25"/>
  <c r="F182" i="25"/>
  <c r="G182" i="25"/>
  <c r="H182" i="25"/>
  <c r="I182" i="25"/>
  <c r="J182" i="25"/>
  <c r="K182" i="25"/>
  <c r="L182" i="25"/>
  <c r="M182" i="25"/>
  <c r="N182" i="25"/>
  <c r="O182" i="25"/>
  <c r="P182" i="25"/>
  <c r="C181" i="25"/>
  <c r="D181" i="25"/>
  <c r="E181" i="25"/>
  <c r="F181" i="25"/>
  <c r="G181" i="25"/>
  <c r="H181" i="25"/>
  <c r="I181" i="25"/>
  <c r="J181" i="25"/>
  <c r="K181" i="25"/>
  <c r="L181" i="25"/>
  <c r="M181" i="25"/>
  <c r="N181" i="25"/>
  <c r="O181" i="25"/>
  <c r="P181" i="25"/>
  <c r="B181" i="25"/>
  <c r="A181" i="25"/>
  <c r="AA181" i="25" s="1"/>
  <c r="AE1" i="25"/>
  <c r="AE121" i="25" s="1"/>
  <c r="AF1" i="25"/>
  <c r="AF171" i="25" s="1"/>
  <c r="AC1" i="25"/>
  <c r="AC171" i="25" s="1"/>
  <c r="AD1" i="25"/>
  <c r="AD171" i="25" s="1"/>
  <c r="AB1" i="25"/>
  <c r="AB171" i="25" s="1"/>
  <c r="AA3" i="25"/>
  <c r="AA4" i="25"/>
  <c r="F33" i="14"/>
  <c r="F37" i="14"/>
  <c r="G37" i="14"/>
  <c r="F35" i="14"/>
  <c r="G35" i="14"/>
  <c r="G33" i="14"/>
  <c r="G42" i="13"/>
  <c r="G46" i="13"/>
  <c r="F46" i="13"/>
  <c r="G44" i="13"/>
  <c r="F44" i="13"/>
  <c r="F42" i="13"/>
  <c r="C174" i="25"/>
  <c r="D174" i="25"/>
  <c r="E174" i="25"/>
  <c r="F174" i="25"/>
  <c r="G174" i="25"/>
  <c r="H174" i="25"/>
  <c r="I174" i="25"/>
  <c r="J174" i="25"/>
  <c r="K174" i="25"/>
  <c r="L174" i="25"/>
  <c r="M174" i="25"/>
  <c r="N174" i="25"/>
  <c r="O174" i="25"/>
  <c r="P174" i="25"/>
  <c r="B174" i="25"/>
  <c r="C164" i="25"/>
  <c r="D164" i="25"/>
  <c r="E164" i="25"/>
  <c r="F164" i="25"/>
  <c r="G164" i="25"/>
  <c r="H164" i="25"/>
  <c r="I164" i="25"/>
  <c r="J164" i="25"/>
  <c r="K164" i="25"/>
  <c r="L164" i="25"/>
  <c r="M164" i="25"/>
  <c r="N164" i="25"/>
  <c r="O164" i="25"/>
  <c r="P164" i="25"/>
  <c r="B164" i="25"/>
  <c r="C154" i="25"/>
  <c r="D154" i="25"/>
  <c r="E154" i="25"/>
  <c r="F154" i="25"/>
  <c r="G154" i="25"/>
  <c r="H154" i="25"/>
  <c r="I154" i="25"/>
  <c r="J154" i="25"/>
  <c r="K154" i="25"/>
  <c r="L154" i="25"/>
  <c r="M154" i="25"/>
  <c r="N154" i="25"/>
  <c r="O154" i="25"/>
  <c r="P154" i="25"/>
  <c r="B154" i="25"/>
  <c r="C144" i="25"/>
  <c r="D144" i="25"/>
  <c r="E144" i="25"/>
  <c r="F144" i="25"/>
  <c r="G144" i="25"/>
  <c r="H144" i="25"/>
  <c r="I144" i="25"/>
  <c r="J144" i="25"/>
  <c r="K144" i="25"/>
  <c r="L144" i="25"/>
  <c r="M144" i="25"/>
  <c r="N144" i="25"/>
  <c r="O144" i="25"/>
  <c r="P144" i="25"/>
  <c r="B144" i="25"/>
  <c r="C134" i="25"/>
  <c r="D134" i="25"/>
  <c r="E134" i="25"/>
  <c r="F134" i="25"/>
  <c r="G134" i="25"/>
  <c r="H134" i="25"/>
  <c r="I134" i="25"/>
  <c r="J134" i="25"/>
  <c r="K134" i="25"/>
  <c r="L134" i="25"/>
  <c r="M134" i="25"/>
  <c r="N134" i="25"/>
  <c r="O134" i="25"/>
  <c r="P134" i="25"/>
  <c r="B134" i="25"/>
  <c r="C124" i="25"/>
  <c r="D124" i="25"/>
  <c r="E124" i="25"/>
  <c r="F124" i="25"/>
  <c r="G124" i="25"/>
  <c r="H124" i="25"/>
  <c r="I124" i="25"/>
  <c r="J124" i="25"/>
  <c r="K124" i="25"/>
  <c r="L124" i="25"/>
  <c r="M124" i="25"/>
  <c r="N124" i="25"/>
  <c r="O124" i="25"/>
  <c r="P124" i="25"/>
  <c r="B124" i="25"/>
  <c r="C114" i="25"/>
  <c r="D114" i="25"/>
  <c r="E114" i="25"/>
  <c r="F114" i="25"/>
  <c r="G114" i="25"/>
  <c r="H114" i="25"/>
  <c r="I114" i="25"/>
  <c r="J114" i="25"/>
  <c r="K114" i="25"/>
  <c r="L114" i="25"/>
  <c r="M114" i="25"/>
  <c r="N114" i="25"/>
  <c r="O114" i="25"/>
  <c r="P114" i="25"/>
  <c r="B114" i="25"/>
  <c r="C104" i="25"/>
  <c r="D104" i="25"/>
  <c r="E104" i="25"/>
  <c r="F104" i="25"/>
  <c r="G104" i="25"/>
  <c r="H104" i="25"/>
  <c r="I104" i="25"/>
  <c r="J104" i="25"/>
  <c r="K104" i="25"/>
  <c r="L104" i="25"/>
  <c r="M104" i="25"/>
  <c r="N104" i="25"/>
  <c r="O104" i="25"/>
  <c r="P104" i="25"/>
  <c r="B104" i="25"/>
  <c r="C94" i="25"/>
  <c r="D94" i="25"/>
  <c r="E94" i="25"/>
  <c r="F94" i="25"/>
  <c r="G94" i="25"/>
  <c r="H94" i="25"/>
  <c r="I94" i="25"/>
  <c r="J94" i="25"/>
  <c r="K94" i="25"/>
  <c r="L94" i="25"/>
  <c r="M94" i="25"/>
  <c r="N94" i="25"/>
  <c r="O94" i="25"/>
  <c r="P94" i="25"/>
  <c r="B94" i="25"/>
  <c r="B93" i="25"/>
  <c r="A174" i="25"/>
  <c r="AA174" i="25" s="1"/>
  <c r="A164" i="25"/>
  <c r="AA164" i="25" s="1"/>
  <c r="A154" i="25"/>
  <c r="AA154" i="25" s="1"/>
  <c r="A144" i="25"/>
  <c r="AA144" i="25" s="1"/>
  <c r="A134" i="25"/>
  <c r="AA134" i="25" s="1"/>
  <c r="A124" i="25"/>
  <c r="AA124" i="25" s="1"/>
  <c r="A114" i="25"/>
  <c r="AA114" i="25" s="1"/>
  <c r="A104" i="25"/>
  <c r="AA104" i="25" s="1"/>
  <c r="A94" i="25"/>
  <c r="AA94" i="25" s="1"/>
  <c r="A173" i="25"/>
  <c r="AA173" i="25" s="1"/>
  <c r="A163" i="25"/>
  <c r="AA163" i="25" s="1"/>
  <c r="A153" i="25"/>
  <c r="AA153" i="25" s="1"/>
  <c r="A143" i="25"/>
  <c r="AA143" i="25" s="1"/>
  <c r="A133" i="25"/>
  <c r="AA133" i="25" s="1"/>
  <c r="A123" i="25"/>
  <c r="AA123" i="25" s="1"/>
  <c r="A113" i="25"/>
  <c r="AA113" i="25" s="1"/>
  <c r="A103" i="25"/>
  <c r="AA103" i="25" s="1"/>
  <c r="A93" i="25"/>
  <c r="AA93" i="25" s="1"/>
  <c r="A92" i="25"/>
  <c r="AA92" i="25" s="1"/>
  <c r="C101" i="25"/>
  <c r="D101" i="25"/>
  <c r="E101" i="25"/>
  <c r="F101" i="25"/>
  <c r="G101" i="25"/>
  <c r="H101" i="25"/>
  <c r="I101" i="25"/>
  <c r="J101" i="25"/>
  <c r="K101" i="25"/>
  <c r="L101" i="25"/>
  <c r="M101" i="25"/>
  <c r="N101" i="25"/>
  <c r="O101" i="25"/>
  <c r="P101" i="25"/>
  <c r="C111" i="25"/>
  <c r="D111" i="25"/>
  <c r="E111" i="25"/>
  <c r="F111" i="25"/>
  <c r="G111" i="25"/>
  <c r="H111" i="25"/>
  <c r="I111" i="25"/>
  <c r="J111" i="25"/>
  <c r="K111" i="25"/>
  <c r="L111" i="25"/>
  <c r="M111" i="25"/>
  <c r="N111" i="25"/>
  <c r="O111" i="25"/>
  <c r="P111" i="25"/>
  <c r="C121" i="25"/>
  <c r="D121" i="25"/>
  <c r="E121" i="25"/>
  <c r="F121" i="25"/>
  <c r="G121" i="25"/>
  <c r="H121" i="25"/>
  <c r="I121" i="25"/>
  <c r="J121" i="25"/>
  <c r="K121" i="25"/>
  <c r="L121" i="25"/>
  <c r="M121" i="25"/>
  <c r="N121" i="25"/>
  <c r="O121" i="25"/>
  <c r="P121" i="25"/>
  <c r="C131" i="25"/>
  <c r="D131" i="25"/>
  <c r="E131" i="25"/>
  <c r="F131" i="25"/>
  <c r="G131" i="25"/>
  <c r="H131" i="25"/>
  <c r="I131" i="25"/>
  <c r="J131" i="25"/>
  <c r="K131" i="25"/>
  <c r="L131" i="25"/>
  <c r="M131" i="25"/>
  <c r="N131" i="25"/>
  <c r="O131" i="25"/>
  <c r="P131" i="25"/>
  <c r="C141" i="25"/>
  <c r="D141" i="25"/>
  <c r="E141" i="25"/>
  <c r="F141" i="25"/>
  <c r="G141" i="25"/>
  <c r="H141" i="25"/>
  <c r="I141" i="25"/>
  <c r="J141" i="25"/>
  <c r="K141" i="25"/>
  <c r="L141" i="25"/>
  <c r="M141" i="25"/>
  <c r="N141" i="25"/>
  <c r="O141" i="25"/>
  <c r="P141" i="25"/>
  <c r="C151" i="25"/>
  <c r="D151" i="25"/>
  <c r="E151" i="25"/>
  <c r="F151" i="25"/>
  <c r="G151" i="25"/>
  <c r="H151" i="25"/>
  <c r="I151" i="25"/>
  <c r="J151" i="25"/>
  <c r="K151" i="25"/>
  <c r="L151" i="25"/>
  <c r="M151" i="25"/>
  <c r="N151" i="25"/>
  <c r="O151" i="25"/>
  <c r="P151" i="25"/>
  <c r="C161" i="25"/>
  <c r="D161" i="25"/>
  <c r="E161" i="25"/>
  <c r="F161" i="25"/>
  <c r="G161" i="25"/>
  <c r="H161" i="25"/>
  <c r="I161" i="25"/>
  <c r="J161" i="25"/>
  <c r="K161" i="25"/>
  <c r="L161" i="25"/>
  <c r="M161" i="25"/>
  <c r="N161" i="25"/>
  <c r="O161" i="25"/>
  <c r="P161" i="25"/>
  <c r="C171" i="25"/>
  <c r="D171" i="25"/>
  <c r="E171" i="25"/>
  <c r="F171" i="25"/>
  <c r="G171" i="25"/>
  <c r="H171" i="25"/>
  <c r="I171" i="25"/>
  <c r="J171" i="25"/>
  <c r="K171" i="25"/>
  <c r="L171" i="25"/>
  <c r="M171" i="25"/>
  <c r="N171" i="25"/>
  <c r="O171" i="25"/>
  <c r="P171" i="25"/>
  <c r="B171" i="25"/>
  <c r="B161" i="25"/>
  <c r="B151" i="25"/>
  <c r="B141" i="25"/>
  <c r="B131" i="25"/>
  <c r="B121" i="25"/>
  <c r="B111" i="25"/>
  <c r="B101" i="25"/>
  <c r="B81" i="25"/>
  <c r="P91" i="25"/>
  <c r="P92" i="25"/>
  <c r="P93" i="25"/>
  <c r="P102" i="25"/>
  <c r="P103" i="25"/>
  <c r="P112" i="25"/>
  <c r="P113" i="25"/>
  <c r="P122" i="25"/>
  <c r="P123" i="25"/>
  <c r="P132" i="25"/>
  <c r="P133" i="25"/>
  <c r="P142" i="25"/>
  <c r="P143" i="25"/>
  <c r="P152" i="25"/>
  <c r="P153" i="25"/>
  <c r="P162" i="25"/>
  <c r="P163" i="25"/>
  <c r="P172" i="25"/>
  <c r="P173" i="25"/>
  <c r="B91" i="25"/>
  <c r="C91" i="25"/>
  <c r="D91" i="25"/>
  <c r="E91" i="25"/>
  <c r="F91" i="25"/>
  <c r="G91" i="25"/>
  <c r="H91" i="25"/>
  <c r="I91" i="25"/>
  <c r="J91" i="25"/>
  <c r="K91" i="25"/>
  <c r="L91" i="25"/>
  <c r="M91" i="25"/>
  <c r="N91" i="25"/>
  <c r="O91" i="25"/>
  <c r="B92" i="25"/>
  <c r="C92" i="25"/>
  <c r="D92" i="25"/>
  <c r="E92" i="25"/>
  <c r="F92" i="25"/>
  <c r="G92" i="25"/>
  <c r="H92" i="25"/>
  <c r="I92" i="25"/>
  <c r="J92" i="25"/>
  <c r="K92" i="25"/>
  <c r="L92" i="25"/>
  <c r="M92" i="25"/>
  <c r="N92" i="25"/>
  <c r="O92" i="25"/>
  <c r="C93" i="25"/>
  <c r="D93" i="25"/>
  <c r="E93" i="25"/>
  <c r="F93" i="25"/>
  <c r="G93" i="25"/>
  <c r="H93" i="25"/>
  <c r="I93" i="25"/>
  <c r="J93" i="25"/>
  <c r="K93" i="25"/>
  <c r="L93" i="25"/>
  <c r="M93" i="25"/>
  <c r="N93" i="25"/>
  <c r="O93" i="25"/>
  <c r="A102" i="25"/>
  <c r="AA102" i="25" s="1"/>
  <c r="B102" i="25"/>
  <c r="C102" i="25"/>
  <c r="D102" i="25"/>
  <c r="E102" i="25"/>
  <c r="F102" i="25"/>
  <c r="G102" i="25"/>
  <c r="H102" i="25"/>
  <c r="I102" i="25"/>
  <c r="J102" i="25"/>
  <c r="K102" i="25"/>
  <c r="L102" i="25"/>
  <c r="M102" i="25"/>
  <c r="N102" i="25"/>
  <c r="O102" i="25"/>
  <c r="B103" i="25"/>
  <c r="C103" i="25"/>
  <c r="D103" i="25"/>
  <c r="E103" i="25"/>
  <c r="F103" i="25"/>
  <c r="G103" i="25"/>
  <c r="H103" i="25"/>
  <c r="I103" i="25"/>
  <c r="J103" i="25"/>
  <c r="K103" i="25"/>
  <c r="L103" i="25"/>
  <c r="M103" i="25"/>
  <c r="N103" i="25"/>
  <c r="O103" i="25"/>
  <c r="A112" i="25"/>
  <c r="AA112" i="25" s="1"/>
  <c r="B112" i="25"/>
  <c r="C112" i="25"/>
  <c r="D112" i="25"/>
  <c r="E112" i="25"/>
  <c r="F112" i="25"/>
  <c r="G112" i="25"/>
  <c r="H112" i="25"/>
  <c r="I112" i="25"/>
  <c r="J112" i="25"/>
  <c r="K112" i="25"/>
  <c r="L112" i="25"/>
  <c r="M112" i="25"/>
  <c r="N112" i="25"/>
  <c r="O112" i="25"/>
  <c r="B113" i="25"/>
  <c r="C113" i="25"/>
  <c r="D113" i="25"/>
  <c r="E113" i="25"/>
  <c r="F113" i="25"/>
  <c r="G113" i="25"/>
  <c r="H113" i="25"/>
  <c r="I113" i="25"/>
  <c r="J113" i="25"/>
  <c r="K113" i="25"/>
  <c r="L113" i="25"/>
  <c r="M113" i="25"/>
  <c r="N113" i="25"/>
  <c r="O113" i="25"/>
  <c r="A122" i="25"/>
  <c r="AA122" i="25" s="1"/>
  <c r="B122" i="25"/>
  <c r="C122" i="25"/>
  <c r="D122" i="25"/>
  <c r="E122" i="25"/>
  <c r="F122" i="25"/>
  <c r="G122" i="25"/>
  <c r="H122" i="25"/>
  <c r="I122" i="25"/>
  <c r="J122" i="25"/>
  <c r="K122" i="25"/>
  <c r="L122" i="25"/>
  <c r="M122" i="25"/>
  <c r="N122" i="25"/>
  <c r="O122" i="25"/>
  <c r="B123" i="25"/>
  <c r="C123" i="25"/>
  <c r="D123" i="25"/>
  <c r="E123" i="25"/>
  <c r="F123" i="25"/>
  <c r="G123" i="25"/>
  <c r="H123" i="25"/>
  <c r="I123" i="25"/>
  <c r="J123" i="25"/>
  <c r="K123" i="25"/>
  <c r="L123" i="25"/>
  <c r="M123" i="25"/>
  <c r="N123" i="25"/>
  <c r="O123" i="25"/>
  <c r="A132" i="25"/>
  <c r="AA132" i="25" s="1"/>
  <c r="B132" i="25"/>
  <c r="C132" i="25"/>
  <c r="D132" i="25"/>
  <c r="E132" i="25"/>
  <c r="F132" i="25"/>
  <c r="G132" i="25"/>
  <c r="H132" i="25"/>
  <c r="I132" i="25"/>
  <c r="J132" i="25"/>
  <c r="K132" i="25"/>
  <c r="L132" i="25"/>
  <c r="M132" i="25"/>
  <c r="N132" i="25"/>
  <c r="O132" i="25"/>
  <c r="B133" i="25"/>
  <c r="C133" i="25"/>
  <c r="D133" i="25"/>
  <c r="E133" i="25"/>
  <c r="F133" i="25"/>
  <c r="G133" i="25"/>
  <c r="H133" i="25"/>
  <c r="I133" i="25"/>
  <c r="J133" i="25"/>
  <c r="K133" i="25"/>
  <c r="L133" i="25"/>
  <c r="M133" i="25"/>
  <c r="N133" i="25"/>
  <c r="O133" i="25"/>
  <c r="A142" i="25"/>
  <c r="AA142" i="25" s="1"/>
  <c r="B142" i="25"/>
  <c r="C142" i="25"/>
  <c r="D142" i="25"/>
  <c r="E142" i="25"/>
  <c r="F142" i="25"/>
  <c r="G142" i="25"/>
  <c r="H142" i="25"/>
  <c r="I142" i="25"/>
  <c r="J142" i="25"/>
  <c r="K142" i="25"/>
  <c r="L142" i="25"/>
  <c r="M142" i="25"/>
  <c r="N142" i="25"/>
  <c r="O142" i="25"/>
  <c r="B143" i="25"/>
  <c r="C143" i="25"/>
  <c r="D143" i="25"/>
  <c r="E143" i="25"/>
  <c r="F143" i="25"/>
  <c r="G143" i="25"/>
  <c r="H143" i="25"/>
  <c r="I143" i="25"/>
  <c r="J143" i="25"/>
  <c r="K143" i="25"/>
  <c r="L143" i="25"/>
  <c r="M143" i="25"/>
  <c r="N143" i="25"/>
  <c r="O143" i="25"/>
  <c r="A152" i="25"/>
  <c r="AA152" i="25" s="1"/>
  <c r="B152" i="25"/>
  <c r="C152" i="25"/>
  <c r="D152" i="25"/>
  <c r="E152" i="25"/>
  <c r="F152" i="25"/>
  <c r="G152" i="25"/>
  <c r="H152" i="25"/>
  <c r="I152" i="25"/>
  <c r="J152" i="25"/>
  <c r="K152" i="25"/>
  <c r="L152" i="25"/>
  <c r="M152" i="25"/>
  <c r="N152" i="25"/>
  <c r="O152" i="25"/>
  <c r="B153" i="25"/>
  <c r="C153" i="25"/>
  <c r="D153" i="25"/>
  <c r="E153" i="25"/>
  <c r="F153" i="25"/>
  <c r="G153" i="25"/>
  <c r="H153" i="25"/>
  <c r="I153" i="25"/>
  <c r="J153" i="25"/>
  <c r="K153" i="25"/>
  <c r="L153" i="25"/>
  <c r="M153" i="25"/>
  <c r="N153" i="25"/>
  <c r="O153" i="25"/>
  <c r="A162" i="25"/>
  <c r="AA162" i="25" s="1"/>
  <c r="B162" i="25"/>
  <c r="C162" i="25"/>
  <c r="D162" i="25"/>
  <c r="E162" i="25"/>
  <c r="F162" i="25"/>
  <c r="G162" i="25"/>
  <c r="H162" i="25"/>
  <c r="I162" i="25"/>
  <c r="J162" i="25"/>
  <c r="K162" i="25"/>
  <c r="L162" i="25"/>
  <c r="M162" i="25"/>
  <c r="N162" i="25"/>
  <c r="O162" i="25"/>
  <c r="B163" i="25"/>
  <c r="C163" i="25"/>
  <c r="D163" i="25"/>
  <c r="E163" i="25"/>
  <c r="F163" i="25"/>
  <c r="G163" i="25"/>
  <c r="H163" i="25"/>
  <c r="I163" i="25"/>
  <c r="J163" i="25"/>
  <c r="K163" i="25"/>
  <c r="L163" i="25"/>
  <c r="M163" i="25"/>
  <c r="N163" i="25"/>
  <c r="O163" i="25"/>
  <c r="A172" i="25"/>
  <c r="AA172" i="25" s="1"/>
  <c r="B172" i="25"/>
  <c r="C172" i="25"/>
  <c r="D172" i="25"/>
  <c r="E172" i="25"/>
  <c r="F172" i="25"/>
  <c r="G172" i="25"/>
  <c r="H172" i="25"/>
  <c r="I172" i="25"/>
  <c r="J172" i="25"/>
  <c r="K172" i="25"/>
  <c r="L172" i="25"/>
  <c r="M172" i="25"/>
  <c r="N172" i="25"/>
  <c r="O172" i="25"/>
  <c r="B173" i="25"/>
  <c r="C173" i="25"/>
  <c r="D173" i="25"/>
  <c r="E173" i="25"/>
  <c r="F173" i="25"/>
  <c r="G173" i="25"/>
  <c r="H173" i="25"/>
  <c r="I173" i="25"/>
  <c r="J173" i="25"/>
  <c r="K173" i="25"/>
  <c r="L173" i="25"/>
  <c r="M173" i="25"/>
  <c r="N173" i="25"/>
  <c r="O173" i="25"/>
  <c r="A171" i="25"/>
  <c r="AA171" i="25" s="1"/>
  <c r="A91" i="25"/>
  <c r="AA91" i="25" s="1"/>
  <c r="A101" i="25"/>
  <c r="AA101" i="25" s="1"/>
  <c r="A111" i="25"/>
  <c r="AA111" i="25" s="1"/>
  <c r="A121" i="25"/>
  <c r="AA121" i="25" s="1"/>
  <c r="A131" i="25"/>
  <c r="AA131" i="25" s="1"/>
  <c r="A141" i="25"/>
  <c r="AA141" i="25" s="1"/>
  <c r="A151" i="25"/>
  <c r="AA151" i="25" s="1"/>
  <c r="A161" i="25"/>
  <c r="AA161" i="25" s="1"/>
  <c r="C84" i="25"/>
  <c r="D84" i="25"/>
  <c r="E84" i="25"/>
  <c r="F84" i="25"/>
  <c r="G84" i="25"/>
  <c r="H84" i="25"/>
  <c r="I84" i="25"/>
  <c r="J84" i="25"/>
  <c r="K84" i="25"/>
  <c r="L84" i="25"/>
  <c r="M84" i="25"/>
  <c r="N84" i="25"/>
  <c r="O84" i="25"/>
  <c r="P84" i="25"/>
  <c r="B84" i="25"/>
  <c r="A84" i="25"/>
  <c r="AA84" i="25" s="1"/>
  <c r="A83" i="25"/>
  <c r="AA83" i="25" s="1"/>
  <c r="B83" i="25"/>
  <c r="C83" i="25"/>
  <c r="D83" i="25"/>
  <c r="E83" i="25"/>
  <c r="F83" i="25"/>
  <c r="G83" i="25"/>
  <c r="H83" i="25"/>
  <c r="I83" i="25"/>
  <c r="J83" i="25"/>
  <c r="K83" i="25"/>
  <c r="L83" i="25"/>
  <c r="M83" i="25"/>
  <c r="N83" i="25"/>
  <c r="O83" i="25"/>
  <c r="P83" i="25"/>
  <c r="A82" i="25"/>
  <c r="AA82" i="25" s="1"/>
  <c r="C82" i="25"/>
  <c r="D82" i="25"/>
  <c r="E82" i="25"/>
  <c r="F82" i="25"/>
  <c r="G82" i="25"/>
  <c r="H82" i="25"/>
  <c r="I82" i="25"/>
  <c r="J82" i="25"/>
  <c r="K82" i="25"/>
  <c r="L82" i="25"/>
  <c r="M82" i="25"/>
  <c r="N82" i="25"/>
  <c r="O82" i="25"/>
  <c r="P82" i="25"/>
  <c r="B82" i="25"/>
  <c r="C81" i="25"/>
  <c r="D81" i="25"/>
  <c r="E81" i="25"/>
  <c r="F81" i="25"/>
  <c r="G81" i="25"/>
  <c r="H81" i="25"/>
  <c r="I81" i="25"/>
  <c r="J81" i="25"/>
  <c r="K81" i="25"/>
  <c r="L81" i="25"/>
  <c r="M81" i="25"/>
  <c r="N81" i="25"/>
  <c r="O81" i="25"/>
  <c r="P81" i="25"/>
  <c r="A81" i="25"/>
  <c r="AA81" i="25" s="1"/>
  <c r="C74" i="25"/>
  <c r="D74" i="25"/>
  <c r="E74" i="25"/>
  <c r="F74" i="25"/>
  <c r="G74" i="25"/>
  <c r="H74" i="25"/>
  <c r="I74" i="25"/>
  <c r="J74" i="25"/>
  <c r="K74" i="25"/>
  <c r="L74" i="25"/>
  <c r="M74" i="25"/>
  <c r="N74" i="25"/>
  <c r="O74" i="25"/>
  <c r="P74" i="25"/>
  <c r="B74" i="25"/>
  <c r="A74" i="25"/>
  <c r="AA74" i="25" s="1"/>
  <c r="A73" i="25"/>
  <c r="AA73" i="25" s="1"/>
  <c r="B73" i="25"/>
  <c r="C73" i="25"/>
  <c r="D73" i="25"/>
  <c r="E73" i="25"/>
  <c r="F73" i="25"/>
  <c r="G73" i="25"/>
  <c r="H73" i="25"/>
  <c r="I73" i="25"/>
  <c r="J73" i="25"/>
  <c r="K73" i="25"/>
  <c r="L73" i="25"/>
  <c r="M73" i="25"/>
  <c r="N73" i="25"/>
  <c r="O73" i="25"/>
  <c r="P73" i="25"/>
  <c r="B72" i="25"/>
  <c r="C72" i="25"/>
  <c r="D72" i="25"/>
  <c r="E72" i="25"/>
  <c r="F72" i="25"/>
  <c r="G72" i="25"/>
  <c r="H72" i="25"/>
  <c r="I72" i="25"/>
  <c r="J72" i="25"/>
  <c r="K72" i="25"/>
  <c r="L72" i="25"/>
  <c r="M72" i="25"/>
  <c r="N72" i="25"/>
  <c r="O72" i="25"/>
  <c r="P72" i="25"/>
  <c r="A72" i="25"/>
  <c r="AA72" i="25" s="1"/>
  <c r="C71" i="25"/>
  <c r="D71" i="25"/>
  <c r="E71" i="25"/>
  <c r="F71" i="25"/>
  <c r="G71" i="25"/>
  <c r="H71" i="25"/>
  <c r="I71" i="25"/>
  <c r="J71" i="25"/>
  <c r="K71" i="25"/>
  <c r="L71" i="25"/>
  <c r="M71" i="25"/>
  <c r="N71" i="25"/>
  <c r="O71" i="25"/>
  <c r="P71" i="25"/>
  <c r="B71" i="25"/>
  <c r="A71" i="25"/>
  <c r="AA71" i="25" s="1"/>
  <c r="A64" i="25"/>
  <c r="AA64" i="25" s="1"/>
  <c r="A63" i="25"/>
  <c r="AA63" i="25" s="1"/>
  <c r="A62" i="25"/>
  <c r="AA62" i="25" s="1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B62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B61" i="25"/>
  <c r="A61" i="25"/>
  <c r="AA61" i="25" s="1"/>
  <c r="C44" i="25"/>
  <c r="D44" i="25"/>
  <c r="E44" i="25"/>
  <c r="F44" i="25"/>
  <c r="G44" i="25"/>
  <c r="H44" i="25"/>
  <c r="I44" i="25"/>
  <c r="J44" i="25"/>
  <c r="K44" i="25"/>
  <c r="L44" i="25"/>
  <c r="M44" i="25"/>
  <c r="N44" i="25"/>
  <c r="O44" i="25"/>
  <c r="P44" i="25"/>
  <c r="B44" i="25"/>
  <c r="A44" i="25"/>
  <c r="AA44" i="25" s="1"/>
  <c r="A43" i="25"/>
  <c r="AA43" i="25" s="1"/>
  <c r="A42" i="25"/>
  <c r="AA42" i="25" s="1"/>
  <c r="B43" i="25"/>
  <c r="C43" i="25"/>
  <c r="D43" i="25"/>
  <c r="E43" i="25"/>
  <c r="F43" i="25"/>
  <c r="G43" i="25"/>
  <c r="H43" i="25"/>
  <c r="I43" i="25"/>
  <c r="J43" i="25"/>
  <c r="K43" i="25"/>
  <c r="L43" i="25"/>
  <c r="M43" i="25"/>
  <c r="N43" i="25"/>
  <c r="O43" i="25"/>
  <c r="P43" i="25"/>
  <c r="C42" i="25"/>
  <c r="D42" i="25"/>
  <c r="E42" i="25"/>
  <c r="F42" i="25"/>
  <c r="G42" i="25"/>
  <c r="H42" i="25"/>
  <c r="I42" i="25"/>
  <c r="J42" i="25"/>
  <c r="K42" i="25"/>
  <c r="L42" i="25"/>
  <c r="M42" i="25"/>
  <c r="N42" i="25"/>
  <c r="O42" i="25"/>
  <c r="P42" i="25"/>
  <c r="B42" i="25"/>
  <c r="C41" i="25"/>
  <c r="D41" i="25"/>
  <c r="E41" i="25"/>
  <c r="F41" i="25"/>
  <c r="G41" i="25"/>
  <c r="H41" i="25"/>
  <c r="I41" i="25"/>
  <c r="J41" i="25"/>
  <c r="K41" i="25"/>
  <c r="L41" i="25"/>
  <c r="M41" i="25"/>
  <c r="N41" i="25"/>
  <c r="O41" i="25"/>
  <c r="P41" i="25"/>
  <c r="B41" i="25"/>
  <c r="A41" i="25"/>
  <c r="AA41" i="25" s="1"/>
  <c r="C34" i="25"/>
  <c r="D34" i="25"/>
  <c r="E34" i="25"/>
  <c r="F34" i="25"/>
  <c r="G34" i="25"/>
  <c r="H34" i="25"/>
  <c r="I34" i="25"/>
  <c r="J34" i="25"/>
  <c r="K34" i="25"/>
  <c r="L34" i="25"/>
  <c r="M34" i="25"/>
  <c r="N34" i="25"/>
  <c r="O34" i="25"/>
  <c r="P34" i="25"/>
  <c r="B34" i="25"/>
  <c r="A34" i="25"/>
  <c r="AA34" i="25" s="1"/>
  <c r="A33" i="25"/>
  <c r="AA33" i="25" s="1"/>
  <c r="A32" i="25"/>
  <c r="AA32" i="25" s="1"/>
  <c r="B33" i="25"/>
  <c r="C33" i="25"/>
  <c r="D33" i="25"/>
  <c r="E33" i="25"/>
  <c r="F33" i="25"/>
  <c r="G33" i="25"/>
  <c r="H33" i="25"/>
  <c r="I33" i="25"/>
  <c r="J33" i="25"/>
  <c r="K33" i="25"/>
  <c r="L33" i="25"/>
  <c r="M33" i="25"/>
  <c r="N33" i="25"/>
  <c r="O33" i="25"/>
  <c r="P33" i="25"/>
  <c r="C32" i="25"/>
  <c r="D32" i="25"/>
  <c r="E32" i="25"/>
  <c r="F32" i="25"/>
  <c r="G32" i="25"/>
  <c r="H32" i="25"/>
  <c r="I32" i="25"/>
  <c r="J32" i="25"/>
  <c r="K32" i="25"/>
  <c r="L32" i="25"/>
  <c r="M32" i="25"/>
  <c r="N32" i="25"/>
  <c r="O32" i="25"/>
  <c r="P32" i="25"/>
  <c r="A31" i="25"/>
  <c r="AA31" i="25" s="1"/>
  <c r="B32" i="25"/>
  <c r="C31" i="25"/>
  <c r="D31" i="25"/>
  <c r="E31" i="25"/>
  <c r="F31" i="25"/>
  <c r="G31" i="25"/>
  <c r="H31" i="25"/>
  <c r="I31" i="25"/>
  <c r="J31" i="25"/>
  <c r="K31" i="25"/>
  <c r="L31" i="25"/>
  <c r="M31" i="25"/>
  <c r="N31" i="25"/>
  <c r="O31" i="25"/>
  <c r="P31" i="25"/>
  <c r="B31" i="25"/>
  <c r="C54" i="25"/>
  <c r="D54" i="25"/>
  <c r="E54" i="25"/>
  <c r="F54" i="25"/>
  <c r="G54" i="25"/>
  <c r="H54" i="25"/>
  <c r="I54" i="25"/>
  <c r="J54" i="25"/>
  <c r="K54" i="25"/>
  <c r="L54" i="25"/>
  <c r="M54" i="25"/>
  <c r="N54" i="25"/>
  <c r="O54" i="25"/>
  <c r="P54" i="25"/>
  <c r="B54" i="25"/>
  <c r="A54" i="25"/>
  <c r="AA54" i="25" s="1"/>
  <c r="A53" i="25"/>
  <c r="AA53" i="25" s="1"/>
  <c r="A52" i="25"/>
  <c r="AA52" i="25" s="1"/>
  <c r="B53" i="25"/>
  <c r="C53" i="25"/>
  <c r="D53" i="25"/>
  <c r="E53" i="25"/>
  <c r="F53" i="25"/>
  <c r="G53" i="25"/>
  <c r="H53" i="25"/>
  <c r="I53" i="25"/>
  <c r="J53" i="25"/>
  <c r="K53" i="25"/>
  <c r="L53" i="25"/>
  <c r="M53" i="25"/>
  <c r="N53" i="25"/>
  <c r="O53" i="25"/>
  <c r="P53" i="25"/>
  <c r="B52" i="25"/>
  <c r="C52" i="25"/>
  <c r="D52" i="25"/>
  <c r="E52" i="25"/>
  <c r="F52" i="25"/>
  <c r="G52" i="25"/>
  <c r="H52" i="25"/>
  <c r="I52" i="25"/>
  <c r="J52" i="25"/>
  <c r="K52" i="25"/>
  <c r="L52" i="25"/>
  <c r="M52" i="25"/>
  <c r="N52" i="25"/>
  <c r="O52" i="25"/>
  <c r="P52" i="25"/>
  <c r="C51" i="25"/>
  <c r="D51" i="25"/>
  <c r="E51" i="25"/>
  <c r="F51" i="25"/>
  <c r="G51" i="25"/>
  <c r="H51" i="25"/>
  <c r="I51" i="25"/>
  <c r="J51" i="25"/>
  <c r="K51" i="25"/>
  <c r="L51" i="25"/>
  <c r="M51" i="25"/>
  <c r="N51" i="25"/>
  <c r="O51" i="25"/>
  <c r="P51" i="25"/>
  <c r="B51" i="25"/>
  <c r="A51" i="25"/>
  <c r="AA51" i="25" s="1"/>
  <c r="C24" i="25"/>
  <c r="D24" i="25"/>
  <c r="E24" i="25"/>
  <c r="F24" i="25"/>
  <c r="G24" i="25"/>
  <c r="H24" i="25"/>
  <c r="I24" i="25"/>
  <c r="J24" i="25"/>
  <c r="K24" i="25"/>
  <c r="L24" i="25"/>
  <c r="M24" i="25"/>
  <c r="N24" i="25"/>
  <c r="O24" i="25"/>
  <c r="P24" i="25"/>
  <c r="B24" i="25"/>
  <c r="A24" i="25"/>
  <c r="AA24" i="25" s="1"/>
  <c r="A23" i="25"/>
  <c r="AA23" i="25" s="1"/>
  <c r="A22" i="25"/>
  <c r="AA22" i="25" s="1"/>
  <c r="B22" i="25"/>
  <c r="C22" i="25"/>
  <c r="D22" i="25"/>
  <c r="E22" i="25"/>
  <c r="F22" i="25"/>
  <c r="G22" i="25"/>
  <c r="H22" i="25"/>
  <c r="I22" i="25"/>
  <c r="J22" i="25"/>
  <c r="K22" i="25"/>
  <c r="L22" i="25"/>
  <c r="M22" i="25"/>
  <c r="N22" i="25"/>
  <c r="O22" i="25"/>
  <c r="P22" i="25"/>
  <c r="B23" i="25"/>
  <c r="C23" i="25"/>
  <c r="D23" i="25"/>
  <c r="E23" i="25"/>
  <c r="F23" i="25"/>
  <c r="G23" i="25"/>
  <c r="H23" i="25"/>
  <c r="I23" i="25"/>
  <c r="J23" i="25"/>
  <c r="K23" i="25"/>
  <c r="L23" i="25"/>
  <c r="M23" i="25"/>
  <c r="N23" i="25"/>
  <c r="O23" i="25"/>
  <c r="P23" i="25"/>
  <c r="C21" i="25"/>
  <c r="D21" i="25"/>
  <c r="E21" i="25"/>
  <c r="F21" i="25"/>
  <c r="G21" i="25"/>
  <c r="H21" i="25"/>
  <c r="I21" i="25"/>
  <c r="J21" i="25"/>
  <c r="K21" i="25"/>
  <c r="L21" i="25"/>
  <c r="M21" i="25"/>
  <c r="N21" i="25"/>
  <c r="O21" i="25"/>
  <c r="P21" i="25"/>
  <c r="B21" i="25"/>
  <c r="A21" i="25"/>
  <c r="AA21" i="25" s="1"/>
  <c r="C14" i="25"/>
  <c r="D14" i="25"/>
  <c r="E14" i="25"/>
  <c r="F14" i="25"/>
  <c r="G14" i="25"/>
  <c r="H14" i="25"/>
  <c r="I14" i="25"/>
  <c r="J14" i="25"/>
  <c r="K14" i="25"/>
  <c r="L14" i="25"/>
  <c r="M14" i="25"/>
  <c r="N14" i="25"/>
  <c r="O14" i="25"/>
  <c r="P14" i="25"/>
  <c r="B14" i="25"/>
  <c r="A14" i="25"/>
  <c r="AA14" i="25" s="1"/>
  <c r="A13" i="25"/>
  <c r="AA13" i="25" s="1"/>
  <c r="A12" i="25"/>
  <c r="AA12" i="25" s="1"/>
  <c r="C11" i="25"/>
  <c r="D11" i="25"/>
  <c r="E11" i="25"/>
  <c r="F11" i="25"/>
  <c r="G11" i="25"/>
  <c r="H11" i="25"/>
  <c r="I11" i="25"/>
  <c r="J11" i="25"/>
  <c r="K11" i="25"/>
  <c r="L11" i="25"/>
  <c r="M11" i="25"/>
  <c r="N11" i="25"/>
  <c r="O11" i="25"/>
  <c r="P11" i="25"/>
  <c r="C12" i="25"/>
  <c r="D12" i="25"/>
  <c r="E12" i="25"/>
  <c r="F12" i="25"/>
  <c r="G12" i="25"/>
  <c r="H12" i="25"/>
  <c r="I12" i="25"/>
  <c r="J12" i="25"/>
  <c r="K12" i="25"/>
  <c r="L12" i="25"/>
  <c r="M12" i="25"/>
  <c r="N12" i="25"/>
  <c r="O12" i="25"/>
  <c r="P12" i="25"/>
  <c r="C13" i="25"/>
  <c r="D13" i="25"/>
  <c r="E13" i="25"/>
  <c r="F13" i="25"/>
  <c r="G13" i="25"/>
  <c r="H13" i="25"/>
  <c r="I13" i="25"/>
  <c r="J13" i="25"/>
  <c r="K13" i="25"/>
  <c r="L13" i="25"/>
  <c r="M13" i="25"/>
  <c r="N13" i="25"/>
  <c r="O13" i="25"/>
  <c r="P13" i="25"/>
  <c r="B12" i="25"/>
  <c r="B13" i="25"/>
  <c r="B11" i="25"/>
  <c r="A11" i="25"/>
  <c r="AA11" i="25" s="1"/>
  <c r="A1" i="25"/>
  <c r="AA1" i="25" s="1"/>
  <c r="C3" i="25"/>
  <c r="D3" i="25"/>
  <c r="E3" i="25"/>
  <c r="F3" i="25"/>
  <c r="G3" i="25"/>
  <c r="H3" i="25"/>
  <c r="I3" i="25"/>
  <c r="J3" i="25"/>
  <c r="K3" i="25"/>
  <c r="L3" i="25"/>
  <c r="M3" i="25"/>
  <c r="N3" i="25"/>
  <c r="O3" i="25"/>
  <c r="P3" i="25"/>
  <c r="B3" i="25"/>
  <c r="C4" i="25"/>
  <c r="D4" i="25"/>
  <c r="E4" i="25"/>
  <c r="F4" i="25"/>
  <c r="G4" i="25"/>
  <c r="H4" i="25"/>
  <c r="I4" i="25"/>
  <c r="J4" i="25"/>
  <c r="K4" i="25"/>
  <c r="L4" i="25"/>
  <c r="M4" i="25"/>
  <c r="N4" i="25"/>
  <c r="O4" i="25"/>
  <c r="P4" i="25"/>
  <c r="B4" i="25"/>
  <c r="A2" i="25"/>
  <c r="AA2" i="25" s="1"/>
  <c r="AB81" i="25" l="1"/>
  <c r="AB251" i="25"/>
  <c r="AB261" i="25"/>
  <c r="AB271" i="25"/>
  <c r="AB281" i="25"/>
  <c r="AC81" i="25"/>
  <c r="AC251" i="25"/>
  <c r="AC261" i="25"/>
  <c r="AC271" i="25"/>
  <c r="AC281" i="25"/>
  <c r="AD81" i="25"/>
  <c r="AD251" i="25"/>
  <c r="AD261" i="25"/>
  <c r="AD271" i="25"/>
  <c r="AD281" i="25"/>
  <c r="AE81" i="25"/>
  <c r="AC202" i="25"/>
  <c r="AD182" i="25"/>
  <c r="AB183" i="25"/>
  <c r="AD223" i="25"/>
  <c r="AB222" i="25"/>
  <c r="AD213" i="25"/>
  <c r="AB212" i="25"/>
  <c r="AD203" i="25"/>
  <c r="AB202" i="25"/>
  <c r="AD193" i="25"/>
  <c r="AB194" i="25"/>
  <c r="AE242" i="25"/>
  <c r="AC243" i="25"/>
  <c r="AD224" i="25"/>
  <c r="AC213" i="25"/>
  <c r="AC224" i="25"/>
  <c r="AC192" i="25"/>
  <c r="AE214" i="25"/>
  <c r="AE212" i="25"/>
  <c r="AE202" i="25"/>
  <c r="AE192" i="25"/>
  <c r="AF243" i="25"/>
  <c r="AE183" i="25"/>
  <c r="AC194" i="25"/>
  <c r="AE211" i="25"/>
  <c r="AC182" i="25"/>
  <c r="AC223" i="25"/>
  <c r="AC203" i="25"/>
  <c r="AC193" i="25"/>
  <c r="AD242" i="25"/>
  <c r="AF194" i="25"/>
  <c r="AD204" i="25"/>
  <c r="AF182" i="25"/>
  <c r="AD184" i="25"/>
  <c r="AF223" i="25"/>
  <c r="AD222" i="25"/>
  <c r="AF213" i="25"/>
  <c r="AD214" i="25"/>
  <c r="AF203" i="25"/>
  <c r="AD202" i="25"/>
  <c r="AF193" i="25"/>
  <c r="AD192" i="25"/>
  <c r="AE243" i="25"/>
  <c r="AF224" i="25"/>
  <c r="AF244" i="25"/>
  <c r="AD183" i="25"/>
  <c r="AB182" i="25"/>
  <c r="AB223" i="25"/>
  <c r="AB213" i="25"/>
  <c r="AB203" i="25"/>
  <c r="AB193" i="25"/>
  <c r="AC244" i="25"/>
  <c r="AB204" i="25"/>
  <c r="AC214" i="25"/>
  <c r="AC204" i="25"/>
  <c r="AE182" i="25"/>
  <c r="AC184" i="25"/>
  <c r="AE223" i="25"/>
  <c r="AC222" i="25"/>
  <c r="AE213" i="25"/>
  <c r="AC212" i="25"/>
  <c r="AE203" i="25"/>
  <c r="AE193" i="25"/>
  <c r="AF242" i="25"/>
  <c r="AD243" i="25"/>
  <c r="AB214" i="25"/>
  <c r="AE224" i="25"/>
  <c r="AF214" i="25"/>
  <c r="AC181" i="25"/>
  <c r="AF204" i="25"/>
  <c r="AC183" i="25"/>
  <c r="AF184" i="25"/>
  <c r="AF222" i="25"/>
  <c r="AF212" i="25"/>
  <c r="AF202" i="25"/>
  <c r="AF192" i="25"/>
  <c r="AB224" i="25"/>
  <c r="AF183" i="25"/>
  <c r="AE184" i="25"/>
  <c r="AB184" i="25"/>
  <c r="AE222" i="25"/>
  <c r="AB244" i="25"/>
  <c r="AE204" i="25"/>
  <c r="AD244" i="25"/>
  <c r="AD191" i="25"/>
  <c r="AD201" i="25"/>
  <c r="AD212" i="25"/>
  <c r="AF221" i="25"/>
  <c r="AB231" i="25"/>
  <c r="AC241" i="25"/>
  <c r="AB243" i="25"/>
  <c r="AE191" i="25"/>
  <c r="AE201" i="25"/>
  <c r="AC231" i="25"/>
  <c r="AD241" i="25"/>
  <c r="AF191" i="25"/>
  <c r="AF201" i="25"/>
  <c r="AB211" i="25"/>
  <c r="AD231" i="25"/>
  <c r="AE241" i="25"/>
  <c r="AC211" i="25"/>
  <c r="AE231" i="25"/>
  <c r="AF241" i="25"/>
  <c r="AB181" i="25"/>
  <c r="AB192" i="25"/>
  <c r="AE194" i="25"/>
  <c r="AD211" i="25"/>
  <c r="AF231" i="25"/>
  <c r="AE244" i="25"/>
  <c r="AB242" i="25"/>
  <c r="AD181" i="25"/>
  <c r="AD194" i="25"/>
  <c r="AF211" i="25"/>
  <c r="AB221" i="25"/>
  <c r="AC242" i="25"/>
  <c r="AE181" i="25"/>
  <c r="AC221" i="25"/>
  <c r="AF181" i="25"/>
  <c r="AB191" i="25"/>
  <c r="AB201" i="25"/>
  <c r="AD221" i="25"/>
  <c r="AC191" i="25"/>
  <c r="AC201" i="25"/>
  <c r="AE221" i="25"/>
  <c r="AB241" i="25"/>
  <c r="AE42" i="25"/>
  <c r="AD142" i="25"/>
  <c r="AB92" i="25"/>
  <c r="AE174" i="25"/>
  <c r="AB22" i="25"/>
  <c r="AE52" i="25"/>
  <c r="AD72" i="25"/>
  <c r="AE92" i="25"/>
  <c r="AC32" i="25"/>
  <c r="AD162" i="25"/>
  <c r="AF132" i="25"/>
  <c r="AC132" i="25"/>
  <c r="AE102" i="25"/>
  <c r="AB102" i="25"/>
  <c r="AD12" i="25"/>
  <c r="AC102" i="25"/>
  <c r="AF52" i="25"/>
  <c r="AE33" i="25"/>
  <c r="AC44" i="25"/>
  <c r="AE154" i="25"/>
  <c r="AC43" i="25"/>
  <c r="AF82" i="25"/>
  <c r="AB162" i="25"/>
  <c r="AC22" i="25"/>
  <c r="AD32" i="25"/>
  <c r="AE72" i="25"/>
  <c r="AB172" i="25"/>
  <c r="AF62" i="25"/>
  <c r="AF112" i="25"/>
  <c r="AF13" i="25"/>
  <c r="AD23" i="25"/>
  <c r="AD53" i="25"/>
  <c r="AD54" i="25"/>
  <c r="AB33" i="25"/>
  <c r="AB62" i="25"/>
  <c r="AE63" i="25"/>
  <c r="AF73" i="25"/>
  <c r="AF74" i="25"/>
  <c r="AD173" i="25"/>
  <c r="AD163" i="25"/>
  <c r="AC153" i="25"/>
  <c r="AC143" i="25"/>
  <c r="AC133" i="25"/>
  <c r="AF123" i="25"/>
  <c r="AB123" i="25"/>
  <c r="AE113" i="25"/>
  <c r="AF92" i="25"/>
  <c r="AB52" i="25"/>
  <c r="AC62" i="25"/>
  <c r="AC112" i="25"/>
  <c r="AF102" i="25"/>
  <c r="AB14" i="25"/>
  <c r="AD42" i="25"/>
  <c r="AC162" i="25"/>
  <c r="AB132" i="25"/>
  <c r="AE122" i="25"/>
  <c r="AB23" i="25"/>
  <c r="AE53" i="25"/>
  <c r="AE32" i="25"/>
  <c r="AC33" i="25"/>
  <c r="AF34" i="25"/>
  <c r="AC42" i="25"/>
  <c r="AD44" i="25"/>
  <c r="AD73" i="25"/>
  <c r="AE83" i="25"/>
  <c r="AC172" i="25"/>
  <c r="AF164" i="25"/>
  <c r="AB142" i="25"/>
  <c r="AE134" i="25"/>
  <c r="AC113" i="25"/>
  <c r="AF103" i="25"/>
  <c r="AD102" i="25"/>
  <c r="AE124" i="25"/>
  <c r="AE104" i="25"/>
  <c r="AE144" i="25"/>
  <c r="AE164" i="25"/>
  <c r="AE51" i="25"/>
  <c r="AF121" i="25"/>
  <c r="AE173" i="25"/>
  <c r="AD143" i="25"/>
  <c r="AC13" i="25"/>
  <c r="AE14" i="25"/>
  <c r="AE23" i="25"/>
  <c r="AC24" i="25"/>
  <c r="AC54" i="25"/>
  <c r="AF33" i="25"/>
  <c r="AB34" i="25"/>
  <c r="AF42" i="25"/>
  <c r="AD43" i="25"/>
  <c r="AB44" i="25"/>
  <c r="AD64" i="25"/>
  <c r="AB63" i="25"/>
  <c r="AE64" i="25"/>
  <c r="AE74" i="25"/>
  <c r="AB72" i="25"/>
  <c r="AC74" i="25"/>
  <c r="AC82" i="25"/>
  <c r="AD83" i="25"/>
  <c r="AD84" i="25"/>
  <c r="AF172" i="25"/>
  <c r="AD153" i="25"/>
  <c r="AB152" i="25"/>
  <c r="AE142" i="25"/>
  <c r="AC123" i="25"/>
  <c r="AD122" i="25"/>
  <c r="AF113" i="25"/>
  <c r="AD112" i="25"/>
  <c r="AC104" i="25"/>
  <c r="AE93" i="25"/>
  <c r="AC92" i="25"/>
  <c r="AC94" i="25"/>
  <c r="AC114" i="25"/>
  <c r="AF134" i="25"/>
  <c r="AC134" i="25"/>
  <c r="AD144" i="25"/>
  <c r="AC154" i="25"/>
  <c r="AC174" i="25"/>
  <c r="AF51" i="25"/>
  <c r="AE131" i="25"/>
  <c r="AB84" i="25"/>
  <c r="AB103" i="25"/>
  <c r="AF94" i="25"/>
  <c r="AD104" i="25"/>
  <c r="AF114" i="25"/>
  <c r="AD124" i="25"/>
  <c r="AF154" i="25"/>
  <c r="AD164" i="25"/>
  <c r="AF174" i="25"/>
  <c r="AE61" i="25"/>
  <c r="AE141" i="25"/>
  <c r="AF22" i="25"/>
  <c r="AE34" i="25"/>
  <c r="AC73" i="25"/>
  <c r="AE162" i="25"/>
  <c r="AF133" i="25"/>
  <c r="AD132" i="25"/>
  <c r="AB113" i="25"/>
  <c r="AE103" i="25"/>
  <c r="AE71" i="25"/>
  <c r="AF141" i="25"/>
  <c r="AF44" i="25"/>
  <c r="AC84" i="25"/>
  <c r="AE172" i="25"/>
  <c r="AF143" i="25"/>
  <c r="AB164" i="25"/>
  <c r="AF11" i="25"/>
  <c r="AF71" i="25"/>
  <c r="AE151" i="25"/>
  <c r="AF24" i="25"/>
  <c r="AD63" i="25"/>
  <c r="AE82" i="25"/>
  <c r="AF153" i="25"/>
  <c r="AD152" i="25"/>
  <c r="AE123" i="25"/>
  <c r="AC122" i="25"/>
  <c r="AD93" i="25"/>
  <c r="AE94" i="25"/>
  <c r="AE11" i="25"/>
  <c r="AE91" i="25"/>
  <c r="AE161" i="25"/>
  <c r="AD14" i="25"/>
  <c r="AB73" i="25"/>
  <c r="AF124" i="25"/>
  <c r="AC124" i="25"/>
  <c r="AF144" i="25"/>
  <c r="AC144" i="25"/>
  <c r="AC164" i="25"/>
  <c r="AE21" i="25"/>
  <c r="AE101" i="25"/>
  <c r="AF161" i="25"/>
  <c r="AC12" i="25"/>
  <c r="AE22" i="25"/>
  <c r="AF54" i="25"/>
  <c r="AD34" i="25"/>
  <c r="AC64" i="25"/>
  <c r="AF173" i="25"/>
  <c r="AF163" i="25"/>
  <c r="AF122" i="25"/>
  <c r="AC14" i="25"/>
  <c r="AF32" i="25"/>
  <c r="AB43" i="25"/>
  <c r="AE44" i="25"/>
  <c r="AE73" i="25"/>
  <c r="AD172" i="25"/>
  <c r="AE143" i="25"/>
  <c r="AC142" i="25"/>
  <c r="AD113" i="25"/>
  <c r="AB112" i="25"/>
  <c r="AF104" i="25"/>
  <c r="AE31" i="25"/>
  <c r="AF101" i="25"/>
  <c r="AE171" i="25"/>
  <c r="AF12" i="25"/>
  <c r="AC23" i="25"/>
  <c r="AC53" i="25"/>
  <c r="AB54" i="25"/>
  <c r="AD33" i="25"/>
  <c r="AF83" i="25"/>
  <c r="AB143" i="25"/>
  <c r="AD103" i="25"/>
  <c r="AB13" i="25"/>
  <c r="AD13" i="25"/>
  <c r="AF14" i="25"/>
  <c r="AF23" i="25"/>
  <c r="AD24" i="25"/>
  <c r="AD52" i="25"/>
  <c r="AB32" i="25"/>
  <c r="AB42" i="25"/>
  <c r="AE43" i="25"/>
  <c r="AE62" i="25"/>
  <c r="AC63" i="25"/>
  <c r="AF64" i="25"/>
  <c r="AC72" i="25"/>
  <c r="AD74" i="25"/>
  <c r="AD82" i="25"/>
  <c r="AE84" i="25"/>
  <c r="AB163" i="25"/>
  <c r="AE153" i="25"/>
  <c r="AC152" i="25"/>
  <c r="AF142" i="25"/>
  <c r="AD123" i="25"/>
  <c r="AB122" i="25"/>
  <c r="AE114" i="25"/>
  <c r="AC93" i="25"/>
  <c r="AD92" i="25"/>
  <c r="AB93" i="25"/>
  <c r="AD94" i="25"/>
  <c r="AB104" i="25"/>
  <c r="AD114" i="25"/>
  <c r="AB124" i="25"/>
  <c r="AD134" i="25"/>
  <c r="AB144" i="25"/>
  <c r="AD154" i="25"/>
  <c r="AD174" i="25"/>
  <c r="AF31" i="25"/>
  <c r="AE111" i="25"/>
  <c r="AF53" i="25"/>
  <c r="AC83" i="25"/>
  <c r="AC173" i="25"/>
  <c r="AB153" i="25"/>
  <c r="AE133" i="25"/>
  <c r="AB12" i="25"/>
  <c r="AE12" i="25"/>
  <c r="AD22" i="25"/>
  <c r="AB24" i="25"/>
  <c r="AB53" i="25"/>
  <c r="AE54" i="25"/>
  <c r="AC34" i="25"/>
  <c r="AF63" i="25"/>
  <c r="AB64" i="25"/>
  <c r="AF72" i="25"/>
  <c r="AB74" i="25"/>
  <c r="AB82" i="25"/>
  <c r="AB83" i="25"/>
  <c r="AB173" i="25"/>
  <c r="AE163" i="25"/>
  <c r="AF152" i="25"/>
  <c r="AD133" i="25"/>
  <c r="AC103" i="25"/>
  <c r="AF93" i="25"/>
  <c r="AB94" i="25"/>
  <c r="AB114" i="25"/>
  <c r="AB134" i="25"/>
  <c r="AB154" i="25"/>
  <c r="AB174" i="25"/>
  <c r="AE41" i="25"/>
  <c r="AE152" i="25"/>
  <c r="AF162" i="25"/>
  <c r="AE24" i="25"/>
  <c r="AF84" i="25"/>
  <c r="AF21" i="25"/>
  <c r="AF41" i="25"/>
  <c r="AF61" i="25"/>
  <c r="AF91" i="25"/>
  <c r="AF111" i="25"/>
  <c r="AF131" i="25"/>
  <c r="AF151" i="25"/>
  <c r="AE132" i="25"/>
  <c r="AB11" i="25"/>
  <c r="AB31" i="25"/>
  <c r="AB51" i="25"/>
  <c r="AB71" i="25"/>
  <c r="AB101" i="25"/>
  <c r="AB121" i="25"/>
  <c r="AB141" i="25"/>
  <c r="AB161" i="25"/>
  <c r="AF43" i="25"/>
  <c r="AC52" i="25"/>
  <c r="AD62" i="25"/>
  <c r="AC163" i="25"/>
  <c r="AC31" i="25"/>
  <c r="AC51" i="25"/>
  <c r="AC71" i="25"/>
  <c r="AC101" i="25"/>
  <c r="AC121" i="25"/>
  <c r="AC141" i="25"/>
  <c r="AC161" i="25"/>
  <c r="AE112" i="25"/>
  <c r="AD31" i="25"/>
  <c r="AD51" i="25"/>
  <c r="AD71" i="25"/>
  <c r="AD101" i="25"/>
  <c r="AD121" i="25"/>
  <c r="AD141" i="25"/>
  <c r="AD161" i="25"/>
  <c r="AE13" i="25"/>
  <c r="AB133" i="25"/>
  <c r="AD11" i="25"/>
  <c r="AC11" i="25"/>
  <c r="AB21" i="25"/>
  <c r="AB41" i="25"/>
  <c r="AB61" i="25"/>
  <c r="AB91" i="25"/>
  <c r="AB111" i="25"/>
  <c r="AB131" i="25"/>
  <c r="AB151" i="25"/>
  <c r="AC21" i="25"/>
  <c r="AC41" i="25"/>
  <c r="AC61" i="25"/>
  <c r="AC91" i="25"/>
  <c r="AC111" i="25"/>
  <c r="AC131" i="25"/>
  <c r="AC151" i="25"/>
  <c r="AD21" i="25"/>
  <c r="AD41" i="25"/>
  <c r="AD61" i="25"/>
  <c r="AD91" i="25"/>
  <c r="AD111" i="25"/>
  <c r="AD131" i="25"/>
  <c r="AD151" i="25"/>
  <c r="F26" i="14"/>
  <c r="G21" i="14"/>
  <c r="G25" i="14"/>
  <c r="G23" i="14"/>
  <c r="G22" i="14"/>
  <c r="G1" i="14"/>
  <c r="F21" i="14"/>
  <c r="E164" i="16"/>
  <c r="D164" i="16"/>
  <c r="C164" i="16"/>
  <c r="B164" i="16"/>
  <c r="P161" i="16"/>
  <c r="O161" i="16"/>
  <c r="N161" i="16"/>
  <c r="M161" i="16"/>
  <c r="L161" i="16"/>
  <c r="K161" i="16"/>
  <c r="J161" i="16"/>
  <c r="I161" i="16"/>
  <c r="H161" i="16"/>
  <c r="G161" i="16"/>
  <c r="F161" i="16"/>
  <c r="E161" i="16"/>
  <c r="D161" i="16"/>
  <c r="C161" i="16"/>
  <c r="B161" i="16"/>
  <c r="F157" i="16"/>
  <c r="E157" i="16"/>
  <c r="D157" i="16"/>
  <c r="C157" i="16"/>
  <c r="B157" i="16"/>
  <c r="A157" i="16"/>
  <c r="F156" i="16"/>
  <c r="E156" i="16"/>
  <c r="D156" i="16"/>
  <c r="C156" i="16"/>
  <c r="B156" i="16"/>
  <c r="A156" i="16"/>
  <c r="F155" i="16"/>
  <c r="E155" i="16"/>
  <c r="D155" i="16"/>
  <c r="C155" i="16"/>
  <c r="B155" i="16"/>
  <c r="P153" i="16"/>
  <c r="O153" i="16"/>
  <c r="N153" i="16"/>
  <c r="M153" i="16"/>
  <c r="L153" i="16"/>
  <c r="K153" i="16"/>
  <c r="J153" i="16"/>
  <c r="I153" i="16"/>
  <c r="H153" i="16"/>
  <c r="G153" i="16"/>
  <c r="F153" i="16"/>
  <c r="E153" i="16"/>
  <c r="D153" i="16"/>
  <c r="C153" i="16"/>
  <c r="B153" i="16"/>
  <c r="A153" i="16"/>
  <c r="P152" i="16"/>
  <c r="O152" i="16"/>
  <c r="N152" i="16"/>
  <c r="M152" i="16"/>
  <c r="L152" i="16"/>
  <c r="K152" i="16"/>
  <c r="J152" i="16"/>
  <c r="I152" i="16"/>
  <c r="H152" i="16"/>
  <c r="G152" i="16"/>
  <c r="F152" i="16"/>
  <c r="E152" i="16"/>
  <c r="D152" i="16"/>
  <c r="C152" i="16"/>
  <c r="B152" i="16"/>
  <c r="A152" i="16"/>
  <c r="P151" i="16"/>
  <c r="O151" i="16"/>
  <c r="N151" i="16"/>
  <c r="M151" i="16"/>
  <c r="L151" i="16"/>
  <c r="K151" i="16"/>
  <c r="J151" i="16"/>
  <c r="I151" i="16"/>
  <c r="H151" i="16"/>
  <c r="G151" i="16"/>
  <c r="F151" i="16"/>
  <c r="E151" i="16"/>
  <c r="D151" i="16"/>
  <c r="C151" i="16"/>
  <c r="B151" i="16"/>
  <c r="F47" i="16"/>
  <c r="E47" i="16"/>
  <c r="D47" i="16"/>
  <c r="C47" i="16"/>
  <c r="B47" i="16"/>
  <c r="A47" i="16"/>
  <c r="F46" i="16"/>
  <c r="E46" i="16"/>
  <c r="D46" i="16"/>
  <c r="C46" i="16"/>
  <c r="B46" i="16"/>
  <c r="A46" i="16"/>
  <c r="F45" i="16"/>
  <c r="E45" i="16"/>
  <c r="D45" i="16"/>
  <c r="C45" i="16"/>
  <c r="B45" i="16"/>
  <c r="A45" i="16"/>
  <c r="F44" i="16"/>
  <c r="E44" i="16"/>
  <c r="D44" i="16"/>
  <c r="C44" i="16"/>
  <c r="B44" i="16"/>
  <c r="A44" i="16"/>
  <c r="F43" i="16"/>
  <c r="E43" i="16"/>
  <c r="D43" i="16"/>
  <c r="C43" i="16"/>
  <c r="B43" i="16"/>
  <c r="A43" i="16"/>
  <c r="F42" i="16"/>
  <c r="E42" i="16"/>
  <c r="D42" i="16"/>
  <c r="C42" i="16"/>
  <c r="B42" i="16"/>
  <c r="A42" i="16"/>
  <c r="F41" i="16"/>
  <c r="E41" i="16"/>
  <c r="D41" i="16"/>
  <c r="C41" i="16"/>
  <c r="B41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A24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A23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A22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14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13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7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6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5" i="16"/>
  <c r="P4" i="16"/>
  <c r="P163" i="16" s="1"/>
  <c r="O4" i="16"/>
  <c r="O163" i="16" s="1"/>
  <c r="N4" i="16"/>
  <c r="N163" i="16" s="1"/>
  <c r="M4" i="16"/>
  <c r="M163" i="16" s="1"/>
  <c r="L4" i="16"/>
  <c r="L163" i="16" s="1"/>
  <c r="K4" i="16"/>
  <c r="K163" i="16" s="1"/>
  <c r="J4" i="16"/>
  <c r="J163" i="16" s="1"/>
  <c r="I4" i="16"/>
  <c r="I163" i="16" s="1"/>
  <c r="H4" i="16"/>
  <c r="H163" i="16" s="1"/>
  <c r="G4" i="16"/>
  <c r="G163" i="16" s="1"/>
  <c r="F4" i="16"/>
  <c r="E4" i="16"/>
  <c r="E163" i="16" s="1"/>
  <c r="D4" i="16"/>
  <c r="C4" i="16"/>
  <c r="B4" i="16"/>
  <c r="A4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3" i="16"/>
  <c r="P2" i="16"/>
  <c r="P162" i="16" s="1"/>
  <c r="O2" i="16"/>
  <c r="O162" i="16" s="1"/>
  <c r="N2" i="16"/>
  <c r="N162" i="16" s="1"/>
  <c r="M2" i="16"/>
  <c r="M162" i="16" s="1"/>
  <c r="L2" i="16"/>
  <c r="L162" i="16" s="1"/>
  <c r="K2" i="16"/>
  <c r="K162" i="16" s="1"/>
  <c r="J2" i="16"/>
  <c r="J162" i="16" s="1"/>
  <c r="I2" i="16"/>
  <c r="I162" i="16" s="1"/>
  <c r="H2" i="16"/>
  <c r="H162" i="16" s="1"/>
  <c r="G2" i="16"/>
  <c r="G162" i="16" s="1"/>
  <c r="F2" i="16"/>
  <c r="F162" i="16" s="1"/>
  <c r="E2" i="16"/>
  <c r="E162" i="16" s="1"/>
  <c r="D2" i="16"/>
  <c r="D162" i="16" s="1"/>
  <c r="C2" i="16"/>
  <c r="C162" i="16" s="1"/>
  <c r="B2" i="16"/>
  <c r="B162" i="16" s="1"/>
  <c r="A2" i="16"/>
  <c r="A162" i="16" s="1"/>
  <c r="P1" i="16"/>
  <c r="O1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F163" i="16"/>
  <c r="A163" i="16"/>
  <c r="A2" i="14"/>
  <c r="A46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N41" i="14"/>
  <c r="O41" i="14"/>
  <c r="P41" i="14"/>
  <c r="N42" i="14"/>
  <c r="O42" i="14"/>
  <c r="P42" i="14"/>
  <c r="N43" i="14"/>
  <c r="O43" i="14"/>
  <c r="P43" i="14"/>
  <c r="N44" i="14"/>
  <c r="O44" i="14"/>
  <c r="P44" i="14"/>
  <c r="N45" i="14"/>
  <c r="O45" i="14"/>
  <c r="P45" i="14"/>
  <c r="C41" i="14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D40" i="13"/>
  <c r="E40" i="13"/>
  <c r="F40" i="13"/>
  <c r="G40" i="13"/>
  <c r="H40" i="13"/>
  <c r="I40" i="13"/>
  <c r="J40" i="13"/>
  <c r="K40" i="13"/>
  <c r="L40" i="13"/>
  <c r="M40" i="13"/>
  <c r="B40" i="13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86" i="12"/>
  <c r="F85" i="12"/>
  <c r="D85" i="12"/>
  <c r="A76" i="12"/>
  <c r="E75" i="12"/>
  <c r="D75" i="12"/>
  <c r="B75" i="12"/>
  <c r="A66" i="12"/>
  <c r="E65" i="12"/>
  <c r="D65" i="12"/>
  <c r="A56" i="12"/>
  <c r="E55" i="12"/>
  <c r="D55" i="12"/>
  <c r="A96" i="10"/>
  <c r="A86" i="10"/>
  <c r="F85" i="10"/>
  <c r="E85" i="10"/>
  <c r="D85" i="10"/>
  <c r="A76" i="10"/>
  <c r="E75" i="10"/>
  <c r="B75" i="10"/>
  <c r="A66" i="10"/>
  <c r="F65" i="10"/>
  <c r="E65" i="10"/>
  <c r="A56" i="10"/>
  <c r="D55" i="10"/>
  <c r="A136" i="8"/>
  <c r="A126" i="8"/>
  <c r="A116" i="8"/>
  <c r="A106" i="8"/>
  <c r="A96" i="8"/>
  <c r="A86" i="8"/>
  <c r="B85" i="8"/>
  <c r="A76" i="8"/>
  <c r="A66" i="8"/>
  <c r="A56" i="8"/>
  <c r="A66" i="6"/>
  <c r="A56" i="6"/>
  <c r="A66" i="4"/>
  <c r="D55" i="4"/>
  <c r="E55" i="4"/>
  <c r="A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F75" i="12" s="1"/>
  <c r="E155" i="12"/>
  <c r="E85" i="12" s="1"/>
  <c r="D155" i="12"/>
  <c r="C155" i="12"/>
  <c r="C65" i="12" s="1"/>
  <c r="B155" i="12"/>
  <c r="B65" i="12" s="1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F75" i="10" s="1"/>
  <c r="E155" i="10"/>
  <c r="E95" i="10" s="1"/>
  <c r="D155" i="10"/>
  <c r="D95" i="10" s="1"/>
  <c r="C155" i="10"/>
  <c r="C65" i="10" s="1"/>
  <c r="B155" i="10"/>
  <c r="B65" i="10" s="1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F115" i="8" s="1"/>
  <c r="E155" i="8"/>
  <c r="E135" i="8" s="1"/>
  <c r="D155" i="8"/>
  <c r="D135" i="8" s="1"/>
  <c r="C155" i="8"/>
  <c r="C105" i="8" s="1"/>
  <c r="B155" i="8"/>
  <c r="B105" i="8" s="1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F55" i="6" s="1"/>
  <c r="E155" i="6"/>
  <c r="E55" i="6" s="1"/>
  <c r="D155" i="6"/>
  <c r="D55" i="6" s="1"/>
  <c r="C155" i="6"/>
  <c r="C55" i="6" s="1"/>
  <c r="B155" i="6"/>
  <c r="B55" i="6" s="1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F55" i="4" s="1"/>
  <c r="E155" i="4"/>
  <c r="E65" i="4" s="1"/>
  <c r="D155" i="4"/>
  <c r="D65" i="4" s="1"/>
  <c r="C155" i="4"/>
  <c r="C55" i="4" s="1"/>
  <c r="B155" i="4"/>
  <c r="B55" i="4" s="1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D84" i="12" s="1"/>
  <c r="E82" i="12"/>
  <c r="E84" i="12" s="1"/>
  <c r="F82" i="12"/>
  <c r="F84" i="12" s="1"/>
  <c r="G82" i="12"/>
  <c r="G84" i="12" s="1"/>
  <c r="H82" i="12"/>
  <c r="H84" i="12" s="1"/>
  <c r="I82" i="12"/>
  <c r="J82" i="12"/>
  <c r="K82" i="12"/>
  <c r="L82" i="12"/>
  <c r="M82" i="12"/>
  <c r="N82" i="12"/>
  <c r="N84" i="12" s="1"/>
  <c r="O82" i="12"/>
  <c r="O84" i="12" s="1"/>
  <c r="P82" i="12"/>
  <c r="P84" i="12" s="1"/>
  <c r="B83" i="12"/>
  <c r="B86" i="12" s="1"/>
  <c r="C83" i="12"/>
  <c r="D83" i="12"/>
  <c r="E83" i="12"/>
  <c r="C86" i="12" s="1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B74" i="12" s="1"/>
  <c r="C72" i="12"/>
  <c r="C74" i="12" s="1"/>
  <c r="D72" i="12"/>
  <c r="D74" i="12" s="1"/>
  <c r="E72" i="12"/>
  <c r="E74" i="12" s="1"/>
  <c r="F72" i="12"/>
  <c r="F74" i="12" s="1"/>
  <c r="G72" i="12"/>
  <c r="H72" i="12"/>
  <c r="I72" i="12"/>
  <c r="J72" i="12"/>
  <c r="K72" i="12"/>
  <c r="L72" i="12"/>
  <c r="L74" i="12" s="1"/>
  <c r="M72" i="12"/>
  <c r="M74" i="12" s="1"/>
  <c r="N72" i="12"/>
  <c r="N74" i="12" s="1"/>
  <c r="O72" i="12"/>
  <c r="O74" i="12" s="1"/>
  <c r="P72" i="12"/>
  <c r="P74" i="12" s="1"/>
  <c r="B73" i="12"/>
  <c r="C73" i="12"/>
  <c r="D73" i="12"/>
  <c r="E73" i="12"/>
  <c r="F73" i="12"/>
  <c r="G73" i="12"/>
  <c r="H73" i="12"/>
  <c r="D76" i="12" s="1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C66" i="12" s="1"/>
  <c r="D63" i="12"/>
  <c r="C63" i="12"/>
  <c r="B63" i="12"/>
  <c r="A63" i="12"/>
  <c r="P62" i="12"/>
  <c r="O62" i="12"/>
  <c r="N62" i="12"/>
  <c r="N64" i="12" s="1"/>
  <c r="M62" i="12"/>
  <c r="M64" i="12" s="1"/>
  <c r="L62" i="12"/>
  <c r="L64" i="12" s="1"/>
  <c r="K62" i="12"/>
  <c r="K64" i="12" s="1"/>
  <c r="J62" i="12"/>
  <c r="J64" i="12" s="1"/>
  <c r="I62" i="12"/>
  <c r="I64" i="12" s="1"/>
  <c r="H62" i="12"/>
  <c r="H64" i="12" s="1"/>
  <c r="G62" i="12"/>
  <c r="F62" i="12"/>
  <c r="E62" i="12"/>
  <c r="D62" i="12"/>
  <c r="D64" i="12" s="1"/>
  <c r="C62" i="12"/>
  <c r="C64" i="12" s="1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B56" i="12" s="1"/>
  <c r="A53" i="12"/>
  <c r="P52" i="12"/>
  <c r="P54" i="12" s="1"/>
  <c r="O52" i="12"/>
  <c r="N52" i="12"/>
  <c r="M52" i="12"/>
  <c r="L52" i="12"/>
  <c r="L54" i="12" s="1"/>
  <c r="K52" i="12"/>
  <c r="K54" i="12" s="1"/>
  <c r="J52" i="12"/>
  <c r="I52" i="12"/>
  <c r="I54" i="12" s="1"/>
  <c r="H52" i="12"/>
  <c r="H54" i="12" s="1"/>
  <c r="G52" i="12"/>
  <c r="G54" i="12" s="1"/>
  <c r="F52" i="12"/>
  <c r="F54" i="12" s="1"/>
  <c r="E52" i="12"/>
  <c r="D52" i="12"/>
  <c r="C52" i="12"/>
  <c r="B52" i="12"/>
  <c r="B54" i="12" s="1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J84" i="10" s="1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L54" i="10" s="1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E134" i="8" s="1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C64" i="6" s="1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J64" i="4" s="1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E163" i="3" s="1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C1" i="25" s="1"/>
  <c r="D1" i="3"/>
  <c r="D1" i="25" s="1"/>
  <c r="E1" i="3"/>
  <c r="E1" i="25" s="1"/>
  <c r="F1" i="3"/>
  <c r="F1" i="25" s="1"/>
  <c r="G1" i="3"/>
  <c r="G1" i="25" s="1"/>
  <c r="H1" i="3"/>
  <c r="H1" i="25" s="1"/>
  <c r="I1" i="3"/>
  <c r="I1" i="25" s="1"/>
  <c r="J1" i="3"/>
  <c r="J1" i="25" s="1"/>
  <c r="K1" i="3"/>
  <c r="K1" i="25" s="1"/>
  <c r="L1" i="3"/>
  <c r="L1" i="25" s="1"/>
  <c r="M1" i="3"/>
  <c r="M1" i="25" s="1"/>
  <c r="N1" i="3"/>
  <c r="N1" i="25" s="1"/>
  <c r="O1" i="3"/>
  <c r="O1" i="25" s="1"/>
  <c r="P1" i="3"/>
  <c r="P1" i="25" s="1"/>
  <c r="B1" i="3"/>
  <c r="B1" i="25" s="1"/>
  <c r="D54" i="10" l="1"/>
  <c r="B94" i="10"/>
  <c r="C86" i="10"/>
  <c r="P64" i="10"/>
  <c r="H74" i="10"/>
  <c r="N54" i="10"/>
  <c r="F64" i="10"/>
  <c r="L94" i="10"/>
  <c r="B54" i="10"/>
  <c r="F54" i="6"/>
  <c r="M64" i="6"/>
  <c r="I94" i="8"/>
  <c r="H104" i="8"/>
  <c r="P124" i="8"/>
  <c r="G114" i="8"/>
  <c r="K74" i="8"/>
  <c r="B64" i="8"/>
  <c r="L64" i="8"/>
  <c r="G54" i="8"/>
  <c r="O134" i="8"/>
  <c r="F124" i="8"/>
  <c r="J84" i="8"/>
  <c r="P54" i="6"/>
  <c r="B65" i="8"/>
  <c r="C115" i="8"/>
  <c r="C65" i="8"/>
  <c r="C125" i="8"/>
  <c r="F95" i="8"/>
  <c r="B125" i="8"/>
  <c r="D65" i="8"/>
  <c r="F85" i="8"/>
  <c r="D105" i="8"/>
  <c r="F105" i="8"/>
  <c r="D125" i="8"/>
  <c r="B75" i="8"/>
  <c r="B95" i="8"/>
  <c r="F125" i="8"/>
  <c r="D55" i="8"/>
  <c r="C75" i="8"/>
  <c r="C95" i="8"/>
  <c r="B115" i="8"/>
  <c r="F55" i="8"/>
  <c r="D75" i="8"/>
  <c r="D95" i="8"/>
  <c r="B135" i="8"/>
  <c r="F75" i="8"/>
  <c r="E95" i="8"/>
  <c r="D115" i="8"/>
  <c r="F135" i="8"/>
  <c r="E65" i="6"/>
  <c r="F65" i="6"/>
  <c r="D65" i="6"/>
  <c r="F162" i="3"/>
  <c r="F2" i="25"/>
  <c r="N162" i="3"/>
  <c r="N2" i="25"/>
  <c r="M162" i="3"/>
  <c r="M2" i="25"/>
  <c r="E162" i="3"/>
  <c r="E2" i="25"/>
  <c r="L162" i="3"/>
  <c r="L2" i="25"/>
  <c r="D162" i="3"/>
  <c r="D2" i="25"/>
  <c r="K162" i="3"/>
  <c r="K2" i="25"/>
  <c r="C162" i="3"/>
  <c r="C2" i="25"/>
  <c r="J162" i="3"/>
  <c r="J2" i="25"/>
  <c r="B162" i="3"/>
  <c r="B2" i="25"/>
  <c r="I162" i="3"/>
  <c r="I2" i="25"/>
  <c r="P162" i="3"/>
  <c r="P2" i="25"/>
  <c r="H162" i="3"/>
  <c r="H2" i="25"/>
  <c r="O162" i="3"/>
  <c r="O2" i="25"/>
  <c r="G162" i="3"/>
  <c r="G2" i="25"/>
  <c r="E54" i="12"/>
  <c r="O54" i="12"/>
  <c r="G64" i="12"/>
  <c r="F76" i="12"/>
  <c r="I74" i="12"/>
  <c r="K84" i="12"/>
  <c r="B66" i="12"/>
  <c r="E66" i="12"/>
  <c r="H74" i="12"/>
  <c r="J84" i="12"/>
  <c r="E56" i="12"/>
  <c r="B76" i="12"/>
  <c r="G74" i="12"/>
  <c r="F86" i="12"/>
  <c r="I84" i="12"/>
  <c r="F66" i="12"/>
  <c r="E76" i="12"/>
  <c r="J54" i="12"/>
  <c r="F56" i="12"/>
  <c r="B64" i="12"/>
  <c r="E86" i="12"/>
  <c r="C56" i="12"/>
  <c r="D66" i="12"/>
  <c r="C54" i="12"/>
  <c r="M54" i="12"/>
  <c r="E64" i="12"/>
  <c r="O64" i="12"/>
  <c r="K74" i="12"/>
  <c r="D86" i="12"/>
  <c r="M84" i="12"/>
  <c r="C84" i="12"/>
  <c r="D54" i="12"/>
  <c r="N54" i="12"/>
  <c r="D56" i="12"/>
  <c r="F64" i="12"/>
  <c r="P64" i="12"/>
  <c r="C76" i="12"/>
  <c r="J74" i="12"/>
  <c r="L84" i="12"/>
  <c r="B84" i="12"/>
  <c r="B85" i="12"/>
  <c r="C85" i="12"/>
  <c r="B55" i="12"/>
  <c r="F65" i="12"/>
  <c r="C55" i="12"/>
  <c r="C75" i="12"/>
  <c r="F55" i="12"/>
  <c r="K54" i="10"/>
  <c r="M64" i="10"/>
  <c r="C64" i="10"/>
  <c r="O74" i="10"/>
  <c r="E74" i="10"/>
  <c r="I94" i="10"/>
  <c r="G84" i="10"/>
  <c r="D65" i="10"/>
  <c r="B85" i="10"/>
  <c r="F95" i="10"/>
  <c r="C85" i="10"/>
  <c r="B55" i="10"/>
  <c r="C55" i="10"/>
  <c r="E55" i="10"/>
  <c r="C75" i="10"/>
  <c r="F55" i="10"/>
  <c r="D75" i="10"/>
  <c r="B95" i="10"/>
  <c r="C95" i="10"/>
  <c r="B74" i="8"/>
  <c r="M64" i="8"/>
  <c r="C64" i="8"/>
  <c r="E55" i="8"/>
  <c r="E105" i="8"/>
  <c r="E75" i="8"/>
  <c r="E125" i="8"/>
  <c r="E65" i="8"/>
  <c r="C85" i="8"/>
  <c r="E115" i="8"/>
  <c r="C135" i="8"/>
  <c r="B55" i="8"/>
  <c r="F65" i="8"/>
  <c r="D85" i="8"/>
  <c r="C55" i="8"/>
  <c r="E85" i="8"/>
  <c r="B65" i="6"/>
  <c r="C65" i="6"/>
  <c r="O54" i="4"/>
  <c r="J54" i="4"/>
  <c r="M64" i="4"/>
  <c r="C64" i="4"/>
  <c r="C65" i="4"/>
  <c r="F65" i="4"/>
  <c r="B65" i="4"/>
  <c r="K74" i="10"/>
  <c r="M84" i="10"/>
  <c r="C84" i="10"/>
  <c r="O94" i="10"/>
  <c r="M54" i="10"/>
  <c r="C54" i="10"/>
  <c r="O64" i="10"/>
  <c r="E64" i="10"/>
  <c r="G74" i="10"/>
  <c r="I84" i="10"/>
  <c r="K94" i="10"/>
  <c r="D66" i="10"/>
  <c r="B86" i="10"/>
  <c r="C124" i="8"/>
  <c r="D114" i="8"/>
  <c r="E104" i="8"/>
  <c r="F94" i="8"/>
  <c r="G84" i="8"/>
  <c r="H74" i="8"/>
  <c r="I64" i="8"/>
  <c r="N54" i="8"/>
  <c r="N114" i="8"/>
  <c r="P94" i="8"/>
  <c r="D54" i="8"/>
  <c r="L134" i="8"/>
  <c r="M124" i="8"/>
  <c r="O104" i="8"/>
  <c r="K54" i="8"/>
  <c r="N84" i="8"/>
  <c r="D84" i="8"/>
  <c r="O74" i="8"/>
  <c r="E74" i="8"/>
  <c r="O54" i="8"/>
  <c r="C134" i="8"/>
  <c r="N124" i="8"/>
  <c r="D124" i="8"/>
  <c r="O114" i="8"/>
  <c r="E114" i="8"/>
  <c r="P104" i="8"/>
  <c r="F104" i="8"/>
  <c r="G94" i="8"/>
  <c r="H84" i="8"/>
  <c r="J64" i="8"/>
  <c r="E54" i="8"/>
  <c r="B134" i="8"/>
  <c r="I74" i="8"/>
  <c r="M134" i="8"/>
  <c r="E66" i="8"/>
  <c r="P54" i="8"/>
  <c r="F54" i="8"/>
  <c r="O124" i="8"/>
  <c r="E124" i="8"/>
  <c r="F76" i="8"/>
  <c r="C66" i="8"/>
  <c r="B96" i="8"/>
  <c r="D126" i="8"/>
  <c r="E96" i="8"/>
  <c r="B86" i="8"/>
  <c r="M54" i="8"/>
  <c r="C54" i="8"/>
  <c r="K134" i="8"/>
  <c r="L124" i="8"/>
  <c r="B124" i="8"/>
  <c r="D116" i="8"/>
  <c r="M114" i="8"/>
  <c r="C114" i="8"/>
  <c r="N104" i="8"/>
  <c r="D104" i="8"/>
  <c r="O94" i="8"/>
  <c r="E94" i="8"/>
  <c r="E86" i="8"/>
  <c r="P84" i="8"/>
  <c r="F84" i="8"/>
  <c r="B76" i="8"/>
  <c r="D136" i="8"/>
  <c r="F66" i="8"/>
  <c r="G54" i="6"/>
  <c r="N64" i="6"/>
  <c r="M54" i="4"/>
  <c r="C54" i="4"/>
  <c r="H54" i="4"/>
  <c r="K64" i="4"/>
  <c r="K54" i="4"/>
  <c r="I64" i="4"/>
  <c r="N64" i="4"/>
  <c r="D64" i="4"/>
  <c r="F136" i="8"/>
  <c r="I134" i="8"/>
  <c r="C126" i="8"/>
  <c r="J124" i="8"/>
  <c r="K114" i="8"/>
  <c r="L104" i="8"/>
  <c r="B104" i="8"/>
  <c r="D96" i="8"/>
  <c r="M94" i="8"/>
  <c r="C94" i="8"/>
  <c r="P64" i="8"/>
  <c r="F64" i="8"/>
  <c r="J54" i="8"/>
  <c r="C56" i="8"/>
  <c r="H134" i="8"/>
  <c r="F126" i="8"/>
  <c r="I124" i="8"/>
  <c r="C116" i="8"/>
  <c r="J114" i="8"/>
  <c r="K104" i="8"/>
  <c r="L94" i="8"/>
  <c r="B94" i="8"/>
  <c r="D86" i="8"/>
  <c r="M84" i="8"/>
  <c r="C84" i="8"/>
  <c r="N74" i="8"/>
  <c r="D74" i="8"/>
  <c r="O64" i="8"/>
  <c r="E64" i="8"/>
  <c r="I54" i="8"/>
  <c r="F56" i="8"/>
  <c r="B136" i="8"/>
  <c r="G134" i="8"/>
  <c r="H124" i="8"/>
  <c r="F116" i="8"/>
  <c r="I114" i="8"/>
  <c r="C106" i="8"/>
  <c r="J104" i="8"/>
  <c r="K94" i="8"/>
  <c r="L84" i="8"/>
  <c r="B84" i="8"/>
  <c r="D76" i="8"/>
  <c r="M74" i="8"/>
  <c r="C74" i="8"/>
  <c r="N64" i="8"/>
  <c r="D64" i="8"/>
  <c r="H54" i="8"/>
  <c r="E136" i="8"/>
  <c r="P134" i="8"/>
  <c r="F134" i="8"/>
  <c r="B126" i="8"/>
  <c r="G124" i="8"/>
  <c r="H114" i="8"/>
  <c r="F106" i="8"/>
  <c r="I104" i="8"/>
  <c r="C96" i="8"/>
  <c r="J94" i="8"/>
  <c r="K84" i="8"/>
  <c r="L74" i="8"/>
  <c r="D66" i="8"/>
  <c r="B56" i="8"/>
  <c r="E126" i="8"/>
  <c r="B116" i="8"/>
  <c r="F96" i="8"/>
  <c r="C86" i="8"/>
  <c r="E56" i="8"/>
  <c r="N134" i="8"/>
  <c r="D134" i="8"/>
  <c r="E116" i="8"/>
  <c r="P114" i="8"/>
  <c r="F114" i="8"/>
  <c r="B106" i="8"/>
  <c r="G104" i="8"/>
  <c r="H94" i="8"/>
  <c r="F86" i="8"/>
  <c r="I84" i="8"/>
  <c r="C76" i="8"/>
  <c r="J74" i="8"/>
  <c r="K64" i="8"/>
  <c r="E106" i="8"/>
  <c r="G74" i="8"/>
  <c r="H64" i="8"/>
  <c r="D56" i="8"/>
  <c r="L54" i="8"/>
  <c r="B54" i="8"/>
  <c r="C136" i="8"/>
  <c r="J134" i="8"/>
  <c r="K124" i="8"/>
  <c r="L114" i="8"/>
  <c r="B114" i="8"/>
  <c r="D106" i="8"/>
  <c r="M104" i="8"/>
  <c r="C104" i="8"/>
  <c r="N94" i="8"/>
  <c r="D94" i="8"/>
  <c r="O84" i="8"/>
  <c r="E84" i="8"/>
  <c r="E76" i="8"/>
  <c r="P74" i="8"/>
  <c r="F74" i="8"/>
  <c r="B66" i="8"/>
  <c r="G64" i="8"/>
  <c r="O54" i="10"/>
  <c r="E54" i="10"/>
  <c r="G64" i="10"/>
  <c r="I74" i="10"/>
  <c r="K84" i="10"/>
  <c r="M94" i="10"/>
  <c r="C94" i="10"/>
  <c r="E66" i="10"/>
  <c r="F56" i="10"/>
  <c r="D76" i="10"/>
  <c r="B56" i="10"/>
  <c r="G54" i="10"/>
  <c r="F66" i="10"/>
  <c r="I64" i="10"/>
  <c r="D86" i="10"/>
  <c r="E94" i="10"/>
  <c r="E56" i="10"/>
  <c r="P54" i="10"/>
  <c r="F54" i="10"/>
  <c r="H64" i="10"/>
  <c r="C76" i="10"/>
  <c r="J74" i="10"/>
  <c r="L84" i="10"/>
  <c r="B84" i="10"/>
  <c r="N94" i="10"/>
  <c r="D94" i="10"/>
  <c r="B96" i="10"/>
  <c r="B66" i="10"/>
  <c r="F76" i="10"/>
  <c r="D56" i="10"/>
  <c r="B76" i="10"/>
  <c r="F86" i="10"/>
  <c r="N64" i="10"/>
  <c r="D64" i="10"/>
  <c r="E76" i="10"/>
  <c r="P74" i="10"/>
  <c r="F74" i="10"/>
  <c r="H84" i="10"/>
  <c r="J94" i="10"/>
  <c r="C56" i="10"/>
  <c r="J54" i="10"/>
  <c r="L64" i="10"/>
  <c r="B64" i="10"/>
  <c r="N74" i="10"/>
  <c r="D74" i="10"/>
  <c r="E86" i="10"/>
  <c r="P84" i="10"/>
  <c r="F84" i="10"/>
  <c r="H94" i="10"/>
  <c r="I54" i="10"/>
  <c r="K64" i="10"/>
  <c r="M74" i="10"/>
  <c r="C74" i="10"/>
  <c r="O84" i="10"/>
  <c r="E84" i="10"/>
  <c r="G94" i="10"/>
  <c r="H54" i="10"/>
  <c r="C66" i="10"/>
  <c r="J64" i="10"/>
  <c r="L74" i="10"/>
  <c r="B74" i="10"/>
  <c r="N84" i="10"/>
  <c r="D84" i="10"/>
  <c r="P94" i="10"/>
  <c r="F94" i="10"/>
  <c r="H54" i="6"/>
  <c r="O64" i="6"/>
  <c r="E64" i="6"/>
  <c r="D64" i="6"/>
  <c r="D66" i="6"/>
  <c r="C66" i="6"/>
  <c r="E56" i="6"/>
  <c r="O54" i="6"/>
  <c r="D54" i="6"/>
  <c r="L64" i="6"/>
  <c r="N54" i="6"/>
  <c r="B56" i="6"/>
  <c r="K64" i="6"/>
  <c r="C56" i="6"/>
  <c r="J54" i="6"/>
  <c r="G64" i="6"/>
  <c r="F56" i="6"/>
  <c r="I54" i="6"/>
  <c r="P64" i="6"/>
  <c r="F64" i="6"/>
  <c r="E66" i="6"/>
  <c r="B66" i="6"/>
  <c r="M54" i="6"/>
  <c r="C54" i="6"/>
  <c r="J64" i="6"/>
  <c r="D56" i="6"/>
  <c r="L54" i="6"/>
  <c r="B54" i="6"/>
  <c r="I64" i="6"/>
  <c r="F66" i="6"/>
  <c r="K54" i="6"/>
  <c r="H64" i="6"/>
  <c r="L54" i="4"/>
  <c r="B54" i="4"/>
  <c r="O64" i="4"/>
  <c r="E64" i="4"/>
  <c r="B64" i="4"/>
  <c r="L64" i="4"/>
  <c r="I54" i="4"/>
  <c r="E54" i="6"/>
  <c r="B64" i="6"/>
  <c r="F56" i="4"/>
  <c r="G54" i="4"/>
  <c r="N54" i="4"/>
  <c r="D54" i="4"/>
  <c r="E66" i="4"/>
  <c r="B66" i="4"/>
  <c r="G64" i="4"/>
  <c r="D56" i="4"/>
  <c r="P64" i="4"/>
  <c r="F64" i="4"/>
  <c r="D66" i="4"/>
  <c r="C66" i="4"/>
  <c r="P54" i="4"/>
  <c r="F54" i="4"/>
  <c r="F66" i="4"/>
  <c r="C56" i="4"/>
  <c r="B56" i="4"/>
  <c r="H64" i="4"/>
  <c r="E56" i="4"/>
  <c r="E54" i="4"/>
  <c r="AC3" i="25" l="1"/>
  <c r="AC2" i="25"/>
  <c r="AC4" i="25"/>
  <c r="AE4" i="25"/>
  <c r="AE2" i="25"/>
  <c r="AE3" i="25"/>
  <c r="AB4" i="25"/>
  <c r="AB3" i="25"/>
  <c r="AB2" i="25"/>
  <c r="AF4" i="25"/>
  <c r="AF2" i="25"/>
  <c r="AF3" i="25"/>
  <c r="AD2" i="25"/>
  <c r="AD3" i="25"/>
  <c r="AD4" i="25"/>
</calcChain>
</file>

<file path=xl/sharedStrings.xml><?xml version="1.0" encoding="utf-8"?>
<sst xmlns="http://schemas.openxmlformats.org/spreadsheetml/2006/main" count="3811" uniqueCount="492">
  <si>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</si>
  <si>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</si>
  <si>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</si>
  <si>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</si>
  <si>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</si>
  <si>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</si>
  <si>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</si>
  <si>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</si>
  <si>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</si>
  <si>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</si>
  <si>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</si>
  <si>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</si>
  <si>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</si>
  <si>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</si>
  <si>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</si>
  <si>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</si>
  <si>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</si>
  <si>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</si>
  <si>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</si>
  <si>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</si>
  <si>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</si>
  <si>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</si>
  <si>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</si>
  <si>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</si>
  <si>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</si>
  <si>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</si>
  <si>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</si>
  <si>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</si>
  <si>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</si>
  <si>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</si>
  <si>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</si>
  <si>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</si>
  <si>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</si>
  <si>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</si>
  <si>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</si>
  <si>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</si>
  <si>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</si>
  <si>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</si>
  <si>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</si>
  <si>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</si>
  <si>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</si>
  <si>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</si>
  <si>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</si>
  <si>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</si>
  <si>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</si>
  <si>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</si>
  <si>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</si>
  <si>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</si>
  <si>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</si>
  <si>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</si>
  <si>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</si>
  <si>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</si>
  <si>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</si>
  <si>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</si>
  <si>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</si>
  <si>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</si>
  <si>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</si>
  <si>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</si>
  <si>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</si>
  <si>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</si>
  <si>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</si>
  <si>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</si>
  <si>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</si>
  <si>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</si>
  <si>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</si>
  <si>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</si>
  <si>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</si>
  <si>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</si>
  <si>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</si>
  <si>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</si>
  <si>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</si>
  <si>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</si>
  <si>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</si>
  <si>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</si>
  <si>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</si>
  <si>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</si>
  <si>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</si>
  <si>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</si>
  <si>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</si>
  <si>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</si>
  <si>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</si>
  <si>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</si>
  <si>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</si>
  <si>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</si>
  <si>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</si>
  <si>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</si>
  <si>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</si>
  <si>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</si>
  <si>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</si>
  <si>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</si>
  <si>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</si>
  <si>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</si>
  <si>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</si>
  <si>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PromptPlus</t>
  </si>
  <si>
    <t>Presale</t>
  </si>
  <si>
    <t>Project</t>
  </si>
  <si>
    <t>TM</t>
  </si>
  <si>
    <t>Infra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</si>
  <si>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</si>
  <si>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</si>
  <si>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</si>
  <si>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</si>
  <si>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</si>
  <si>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</si>
  <si>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</si>
  <si>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</si>
  <si>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</si>
  <si>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</si>
  <si>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</si>
  <si>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</si>
  <si>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</si>
  <si>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</si>
  <si>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</si>
  <si>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</si>
  <si>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</si>
  <si>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</si>
  <si>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</si>
  <si>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</si>
  <si>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</si>
  <si>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Industrial Solutions</t>
  </si>
  <si>
    <t>WeShape</t>
  </si>
  <si>
    <t>Actual</t>
  </si>
  <si>
    <t>Mgmt</t>
  </si>
  <si>
    <t>Logged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</si>
  <si>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</si>
  <si>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</si>
  <si>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</si>
  <si>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</si>
  <si>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</si>
  <si>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</si>
  <si>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</si>
  <si>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</si>
  <si>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</si>
  <si>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</si>
  <si>
    <t>7 DO Tools</t>
  </si>
  <si>
    <t>KM</t>
  </si>
  <si>
    <t>R-Guard</t>
  </si>
  <si>
    <t>SA-RA</t>
  </si>
  <si>
    <t>page</t>
  </si>
  <si>
    <t>summary_title</t>
  </si>
  <si>
    <t>group_order</t>
  </si>
  <si>
    <t>item_order</t>
  </si>
  <si>
    <t>level</t>
  </si>
  <si>
    <t>type</t>
  </si>
  <si>
    <t>label</t>
  </si>
  <si>
    <t>data</t>
  </si>
  <si>
    <t>highlight</t>
  </si>
  <si>
    <t>highlight_style</t>
  </si>
  <si>
    <t>href</t>
  </si>
  <si>
    <t>link_target</t>
  </si>
  <si>
    <t>enabled</t>
  </si>
  <si>
    <t>note</t>
  </si>
  <si>
    <t>label-data</t>
  </si>
  <si>
    <t>plan</t>
  </si>
  <si>
    <t>none</t>
  </si>
  <si>
    <t>text</t>
  </si>
  <si>
    <t>cps#cps-sect-bd</t>
  </si>
  <si>
    <t>cps#cps-sect-po</t>
  </si>
  <si>
    <t>available</t>
  </si>
  <si>
    <t>shortage</t>
  </si>
  <si>
    <t>sd#sd-sect-design</t>
  </si>
  <si>
    <t>sd#sd-sect-data</t>
  </si>
  <si>
    <t>sd#sd-sect-tm</t>
  </si>
  <si>
    <t>index</t>
  </si>
  <si>
    <t>cps</t>
  </si>
  <si>
    <t>aic#aic-sect-aie</t>
  </si>
  <si>
    <t>pse#pse-sect-se</t>
  </si>
  <si>
    <t>CPS-BD</t>
  </si>
  <si>
    <t>sd#sd-sect-ba</t>
  </si>
  <si>
    <t>Q1 2027</t>
  </si>
  <si>
    <t>sd#sd-sect-pm</t>
  </si>
  <si>
    <t>tde</t>
  </si>
  <si>
    <t>sd</t>
  </si>
  <si>
    <t>pse</t>
  </si>
  <si>
    <t>[Plan 100%]</t>
  </si>
  <si>
    <t>pse#pse-sect-pe</t>
  </si>
  <si>
    <t>delivery</t>
  </si>
  <si>
    <t>aic</t>
  </si>
  <si>
    <t>text-inline</t>
  </si>
  <si>
    <t>APR'27</t>
  </si>
  <si>
    <t>MAY'27</t>
  </si>
  <si>
    <t>JUN'27</t>
  </si>
  <si>
    <t>Q2'27</t>
  </si>
  <si>
    <t>Q3 2026 – Q2 2027</t>
  </si>
  <si>
    <t>Q3 2026</t>
  </si>
  <si>
    <t>Q4 2026</t>
  </si>
  <si>
    <t>Q2 2027</t>
  </si>
  <si>
    <t>[Plan 72.97%]</t>
  </si>
  <si>
    <t>[Plan 78.82%]</t>
  </si>
  <si>
    <t>CPS-PO</t>
  </si>
  <si>
    <t>[Plan 67.71%]</t>
  </si>
  <si>
    <t>[Plan 75.85%]</t>
  </si>
  <si>
    <t>sd#sd-sect-sa</t>
  </si>
  <si>
    <t>Q2 Plan</t>
  </si>
  <si>
    <t>[Plan 91.56%]</t>
  </si>
  <si>
    <t>Top Available</t>
  </si>
  <si>
    <t>SD-SEC</t>
  </si>
  <si>
    <t>sd#sd-sect-sec</t>
  </si>
  <si>
    <t>AIC-Spatial</t>
  </si>
  <si>
    <t>aic#aic-sect-sai</t>
  </si>
  <si>
    <t>Top Shortage</t>
  </si>
  <si>
    <t>sd#sd-sect-qa</t>
  </si>
  <si>
    <t>[Plan 87.86%]</t>
  </si>
  <si>
    <t>[Plan 68.43%]</t>
  </si>
  <si>
    <t>sd#sd-sect-sre</t>
  </si>
  <si>
    <t>[Plan 54.94%]</t>
  </si>
  <si>
    <t>Top %Available</t>
  </si>
  <si>
    <t>[Plan 69%]</t>
  </si>
  <si>
    <t>Average Plan</t>
  </si>
  <si>
    <t>Top %Allocation</t>
  </si>
  <si>
    <t>109%</t>
  </si>
  <si>
    <t>108%</t>
  </si>
  <si>
    <t>106%</t>
  </si>
  <si>
    <t>27%</t>
  </si>
  <si>
    <t>23%</t>
  </si>
  <si>
    <t>21%</t>
  </si>
  <si>
    <t>+5.85 FTE</t>
  </si>
  <si>
    <t>+2.03 FTE</t>
  </si>
  <si>
    <t>+1.88 FTE</t>
  </si>
  <si>
    <t>-1.09 FTE</t>
  </si>
  <si>
    <t>-0.45 FTE</t>
  </si>
  <si>
    <t>-0.3 FTE</t>
  </si>
  <si>
    <t>120%</t>
  </si>
  <si>
    <t>112%</t>
  </si>
  <si>
    <t>104%</t>
  </si>
  <si>
    <t>31%</t>
  </si>
  <si>
    <t>29%</t>
  </si>
  <si>
    <t>+10.08 FTE</t>
  </si>
  <si>
    <t>+3.14 FTE</t>
  </si>
  <si>
    <t>+1.89 FTE</t>
  </si>
  <si>
    <t>-0.81 FTE</t>
  </si>
  <si>
    <t>-0.75 FTE</t>
  </si>
  <si>
    <t>-0.49 FTE</t>
  </si>
  <si>
    <t>100%</t>
  </si>
  <si>
    <t>TDE-FI</t>
  </si>
  <si>
    <t>tde#tde-sect-fi</t>
  </si>
  <si>
    <t>70%</t>
  </si>
  <si>
    <t>55%</t>
  </si>
  <si>
    <t>52%</t>
  </si>
  <si>
    <t>+21.36 FTE</t>
  </si>
  <si>
    <t>+5.18 FTE</t>
  </si>
  <si>
    <t>+4.18 FTE</t>
  </si>
  <si>
    <t>122%</t>
  </si>
  <si>
    <t>93%</t>
  </si>
  <si>
    <t>87%</t>
  </si>
  <si>
    <t>82%</t>
  </si>
  <si>
    <t>+24.4 FTE</t>
  </si>
  <si>
    <t>+15.68 FTE</t>
  </si>
  <si>
    <t>+5.2 FTE</t>
  </si>
  <si>
    <t>-0.89 FTE</t>
  </si>
  <si>
    <t>%Plan ลดจาก 91.88% ใน Q3/2026 เหลือ 48.22% ใน Q2/2027</t>
  </si>
  <si>
    <t>PSE-SE เป็นแหล่ง Available FTE หลัก ขณะที่แรงกดดันช่วงต้นรอบกระจุกในหลาย Section ของ SD</t>
  </si>
  <si>
    <t>CPS-BD ควรทบทวน pipeline และ win-rate assumption ร่วมกับ commercial demand</t>
  </si>
  <si>
    <t>ภาพรวม 12 เดือนอยู่ที่ 78.82% และ Available เฉลี่ย +3.6 FTE</t>
  </si>
  <si>
    <t>BD มี capacity เพิ่มต่อเนื่อง ส่วน Product Commercialization ทรงตัวที่ 100%</t>
  </si>
  <si>
    <t>ภาพรวม 12 เดือนอยู่ที่ 67.71% และ Available เฉลี่ย +15.5 FTE</t>
  </si>
  <si>
    <t>Gap กระจุกใน Software Engineering ขณะที่ Platform Engineering ทรงตัวใกล้ 100%</t>
  </si>
  <si>
    <t>ภาพรวม 12 เดือนอยู่ที่ 75.85% และ Available เฉลี่ย +12.8 FTE</t>
  </si>
  <si>
    <t>แรงกดดันช่วงต้นรอบคลี่คลายเป็น capacity ส่วนเกินในหลาย Section ช่วงปี 2027</t>
  </si>
  <si>
    <t>%Plan ลดจาก 88.04% เหลือ 69.41% แต่ยังลดช้ากว่ากลุ่ม Delivery อื่น</t>
  </si>
  <si>
    <t>[Plan 67%]</t>
  </si>
  <si>
    <t>%Plan ลดจาก 87.28% เหลือ 49.17%</t>
  </si>
  <si>
    <t>[Plan 62%]</t>
  </si>
  <si>
    <t>[Plan 99%]</t>
  </si>
  <si>
    <t>[Plan 53%]</t>
  </si>
  <si>
    <t>[Plan 51%]</t>
  </si>
  <si>
    <t>[Plan 75%]</t>
  </si>
  <si>
    <t>[Plan 74%]</t>
  </si>
  <si>
    <t>[Plan 97%]</t>
  </si>
  <si>
    <t>Executive Summary Q3/2026</t>
  </si>
  <si>
    <t>[Plan 73%]</t>
  </si>
  <si>
    <t>[Plan 77%]</t>
  </si>
  <si>
    <t>[Plan 79%]</t>
  </si>
  <si>
    <t>[Plan 71%]</t>
  </si>
  <si>
    <t>[Plan 30%]</t>
  </si>
  <si>
    <t>[Plan 45%]</t>
  </si>
  <si>
    <t>[Plan 48%]</t>
  </si>
  <si>
    <t>[Plan 7%]</t>
  </si>
  <si>
    <t>[Plan 13%]</t>
  </si>
  <si>
    <t>[Plan 18%]</t>
  </si>
  <si>
    <t>Delivery Workforce Summary Q3/2026</t>
  </si>
  <si>
    <t>CPS Workforce Summary Q3/2026</t>
  </si>
  <si>
    <t>PSE Workforce Summary Q3/2026</t>
  </si>
  <si>
    <t>SD Workforce Summary Q3/2026</t>
  </si>
  <si>
    <t>AIC Workforce Summary Q3/2026</t>
  </si>
  <si>
    <t>TDE Workforce Summary Q3/2026</t>
  </si>
  <si>
    <t>91.56 % (Available ~ [+13.08 FTE]{available} per month)</t>
  </si>
  <si>
    <t>87.86 % (Available ~ [+18.7 FTE]{available} per month)</t>
  </si>
  <si>
    <t>68.43 % (Available ~ [+49.46 FTE]{available} per month)</t>
  </si>
  <si>
    <t>54.94 % (Available ~ [+70.74 FTE]{available} per month)</t>
  </si>
  <si>
    <t>72.97 % (Available ~ [+31.9 FTE]{available} per month)</t>
  </si>
  <si>
    <t>CDAS</t>
  </si>
  <si>
    <t>Credit &amp; Collateral Management for CBM</t>
  </si>
  <si>
    <t>Credit &amp; Collateral Management</t>
  </si>
  <si>
    <t>%Plan ลดลงต่อเนื่อง 92% → 55% (-37 pp) เนื่องจากงานในปีหน้ายังไม่แน่นอน และ Plan FTE apply ตาม % win rate</t>
  </si>
  <si>
    <t>68% ของ FTE (SD + PSE) เข้า Critical zone ใน Q2'27 — โดยเฉพาะ PSE-SE (Available [+24 FTE]{available} = impact สูงสุดต่อ cost)</t>
  </si>
  <si>
    <t>[Plan 75.59%]</t>
  </si>
  <si>
    <t>75.59 % (Available ~ [+38 FTE]{available} per month)</t>
  </si>
  <si>
    <t>Early signal</t>
  </si>
  <si>
    <t>PSE-SE มี slack +5.85 FTE — เป็นสัญญาณแรกของ trend ที่จะขยายตัวใน Q4/2026</t>
  </si>
  <si>
    <t>SD peak workload 97%, มี 5 sections ที่ over-allocated (Design, SA, PM, BA, QA)</t>
  </si>
  <si>
    <t>ช่วงที่ BD ควรเร่งปิด pipeline ปี 2027 ก่อนเข้า Q4/2026</t>
  </si>
  <si>
    <t>Buffer period</t>
  </si>
  <si>
    <t>🟠 Under-planned</t>
  </si>
  <si>
    <t>ไม่พบ Section ที่มี Plan มากกว่าจำนวน Staff</t>
  </si>
  <si>
    <t>🔴 Critical</t>
  </si>
  <si>
    <t>[Plan 78.59%]</t>
  </si>
  <si>
    <t>BD มี slack เพิ่มขึ้น = สัญญาณสำหรับทั้งองค์กร (BD ปิดไม่ได้ = ทีมอื่นตาม)</t>
  </si>
  <si>
    <t>78.59 % (Available ~ [+3.6 FTE]{available} per month)</t>
  </si>
  <si>
    <t>%Plan ลดจาก 82% เหลือ 53% (-29 pp)</t>
  </si>
  <si>
    <t>Available 5.2 FTE = 47% ของทีมใน Q2/2027 เป็นโอกาสให้ prospecting + market research + pipeline building สำหรับปี 2027</t>
  </si>
  <si>
    <t>เนื่องจาก PO แต่ละคนดูแล Product ของตัวเอง</t>
  </si>
  <si>
    <t xml:space="preserve">%Plan เท่ากันที่ 100% ทุก Quarter </t>
  </si>
  <si>
    <t>[Plan 67.69%]</t>
  </si>
  <si>
    <t>Gap เกือบทั้งหมดอยู่ที่ SE — ในขณะที่ PE ยัง Fully Plan ตลอด</t>
  </si>
  <si>
    <t>67.69 % (Available ~ [+15.5 FTE]{available} per month)</t>
  </si>
  <si>
    <t>กราฟตกมากสุดในช่วง Q2/2027 โดย Plan อยู่ที่ 40.5% [Available +24.4 FTE]</t>
  </si>
  <si>
    <t>บางโปรเจคจบภายในปี 2026 และยังไม่มีการยืนยันต่อสัญญาถึงปีหน้า เช่น Warmbody prob 50% ในปี 2027</t>
  </si>
  <si>
    <t>Fully Plan เนื่องจากดูแล AF Platform เต็มตัว</t>
  </si>
  <si>
    <t>[Plan 75.84%]</t>
  </si>
  <si>
    <t>%Plan ลดจาก [97.27%]{plan} ใน Q3 2026 เหลือ [40.57%]{plan} ใน Q2 2026</t>
  </si>
  <si>
    <t>8/10 sections เข้า Critical zone ใน Q2/2027</t>
  </si>
  <si>
    <t>ยกเว้น Technology Management มี Plan FTE สูงกว่า Staff ใน Q2/2027</t>
  </si>
  <si>
    <t>75.84 % (Available ~ [+12.8 FTE]{available} per month)</t>
  </si>
  <si>
    <t>[Plan 96.63%]</t>
  </si>
  <si>
    <t>งาน design ยัง healthy ตลอด quarter เนื่องจาก mix ระหว่าง project + งาน brand/UX ต่อเนื่อง</t>
  </si>
  <si>
    <t>Plan Q4/2026 สูงถึง 120% (Burnout risk) — ควร monitor workload</t>
  </si>
  <si>
    <t>[Plan 71.20%]</t>
  </si>
  <si>
    <t>Trend ค่อยๆ ลดลง 82% → 64%</t>
  </si>
  <si>
    <t>งานฝั่ง data มี recurring nature (dashboard, reports) = resilient กว่า pure project work</t>
  </si>
  <si>
    <t>กราฟตกมากสุดในช่วง Q2/2027 โดย Plan อยู่ที่ 7% [Available +3.7 FTE]</t>
  </si>
  <si>
    <t>Plan อาจเปลี่ยนอีกครั้ง หากได้รับการคอนเฟิร์ม project ใหม่จาก BD / สามารถโยกไปช่วย BD ทำ pre-sales support ได้</t>
  </si>
  <si>
    <t>Plan drop มากที่สุด 82% → 21% (-61 pp ตลอด 12 เดือน)</t>
  </si>
  <si>
    <t>แต่เนื่องจาก Staff ในทีมปริมาณน้อย ~3 FTE ทำให้ %Plan sensitive ต่อการเปลี่ยนแปลงงาน</t>
  </si>
  <si>
    <t>Plan drop ต่อเนื่อง 73% → 18%</t>
  </si>
  <si>
    <t>ทีมเล็ก 3 FTE — ควร maintain skill ผ่าน internal security assessment</t>
  </si>
  <si>
    <t>Q3-Q4/2026 Over-allocated 103-112% แล้วลดลงที่ Q2/2027 เหลือ 28%</t>
  </si>
  <si>
    <t>เนื่องจากงาน CDAS, Collateral and Sale, Roof เป็นโปรเจคใหญ่ที่เข้ามาทำในปีนี้</t>
  </si>
  <si>
    <t>เป็น outsource capacity (MD basket) — ไม่มี idle cost จริง เพราะตัดตามการใช้งาน</t>
  </si>
  <si>
    <t>ควรพิจารณา rebalance MD basket ปี 2027 ให้เหมาะสมกับ demand ที่เพิ่มขึ้นหรือลดลง</t>
  </si>
  <si>
    <t>Fully Plan และมีแนวโน้มเพิ่มขึ้น 80% → 122% ใน Q2/2027</t>
  </si>
  <si>
    <t>Q2/2027 อาจต้องเพิ่ม capacity รับงาน หรือ cross-deploy จากทีมที่ Available</t>
  </si>
  <si>
    <t>[Plan 71.58%]</t>
  </si>
  <si>
    <t>ภาพรวม กราฟ Plan ลงเป็นระนาบเดียวกัน เนื่องจากความไม่แน่นอนในอนาคต</t>
  </si>
  <si>
    <t>งานที่จะรับจากทาง AE/BD ยังมีความไม่แน่นอน และไม่แน่ใจจะเริ่มเมื่อไหร่</t>
  </si>
  <si>
    <t>จำนวนพนักงานในปัจจุบัน ยังสามารถรองรับงานที่จะเข้ามาในอนาคตได้</t>
  </si>
  <si>
    <t>Note: ไม่มีพนักงานภายใต้ Product Innovation แล้ว นับตั้งแต่ Q2/2026 เป็นต้นมา</t>
  </si>
  <si>
    <t>Note: เฟรช R&amp;A ลาคลอดในช่วงเดือน Jul-Dec 2026</t>
  </si>
  <si>
    <t>Fully Plan เนื่องจากเป็น Support Function</t>
  </si>
  <si>
    <t>ควร monitor burnout risk เพราะ 100% ตลอดไม่มี buffer และเสี่ยง bus factor (ถ้าคนลาออก 1 คน = 25-33% capacity หาย)</t>
  </si>
  <si>
    <t>Note: ไปป์ CoE ลาคลอดในช่วงเดือน Oct 2026 - Jan 2027</t>
  </si>
  <si>
    <t>Weighted Plan</t>
  </si>
  <si>
    <t>Unweighted Plan</t>
  </si>
  <si>
    <t>DV</t>
  </si>
  <si>
    <t>BD มี cap เหลือ ~ [+3.14 FTE]{available} สามารถไป focus prospecting + pipeline building สำหรับปี 2027</t>
  </si>
  <si>
    <t xml:space="preserve">PSE-SE </t>
  </si>
  <si>
    <t>[Plan 48%]{plan} เริ่ม Critical (Available [+21.4 FTE]{available} ) ~ ครึ่งทีม)</t>
  </si>
  <si>
    <t>Plan ลดสูงสุด จาก [96%]{plan} → [69%]{plan} (-27 pp ใน 3 เดือน)</t>
  </si>
  <si>
    <t>เป็นหน่วยงานเดียวที่ Over allocate [(Plan 122%)]{plan}</t>
  </si>
  <si>
    <t>Section อื่น</t>
  </si>
  <si>
    <t>มี capacity เหลือ เนื่องจากความไม่แน่นอนของโปรเจคในอนาคต</t>
  </si>
  <si>
    <t>⚠️ Last Warning</t>
  </si>
  <si>
    <t>[Plan 120%]{plan} มี workload หนักที่สุด ในขณะที่ทีมอื่นเริ่มมี slack</t>
  </si>
  <si>
    <t>ต้อง action ก่อนเข้า Critical zone ใน Q1/2027 (SD Plan ลดจาก [97% → 96%]{plan}, PSE-SE [75%]{plan})</t>
  </si>
  <si>
    <t>✅ Fully Allocate</t>
  </si>
  <si>
    <t>C</t>
  </si>
  <si>
    <t>กรณี pipeline opportunities ทั้งหมดเกิดขึ้นเต็ม 100% โดยยังไม่คูณ win rate / %probability</t>
  </si>
  <si>
    <t>Highest %Plan</t>
  </si>
  <si>
    <t>Weighted Plan ลดจาก [96%]{plan} ใน Q4 เหลือ [69%]{plan} ใน Q1/2027 (-27 pp)</t>
  </si>
  <si>
    <t>Weighted Plan เหลือ [48%]{plan} และมี Available [+21.36 FTE]{available}</t>
  </si>
  <si>
    <t>เป็น Section เดียวที่ Weighted Plan เกิน Staff ที่ [122%]{plan}</t>
  </si>
  <si>
    <t>[Plan 73.09%]</t>
  </si>
  <si>
    <t>BD มี Capacity เพิ่มขึ้นต่อเนื่อง ส่วน Product Commercialization ทรงตัวที่ 100%</t>
  </si>
  <si>
    <t>[Plan 67.67%]</t>
  </si>
  <si>
    <t>[Plan 75.71%]</t>
  </si>
  <si>
    <t>เป็น Department เดียวที่ Full-Pipeline Demand เกิน Capacity ในช่วง Forecast</t>
  </si>
  <si>
    <t>BD มี Capacity เพิ่มขึ้นต่อเนื่อง จึงควรทบทวน pipeline และ win-rate assumption ร่วมกับ commercial demand</t>
  </si>
  <si>
    <t>Capacity ที่เพิ่มขึ้นสามารถใช้กับ prospecting, market research และ pipeline building สำหรับปี 2027</t>
  </si>
  <si>
    <t>Weighted Plan และ Full-Pipeline Demand อยู่ที่ 100% ทุก Quarter เนื่องจากแต่ละคนดูแล Product ของตนเอง</t>
  </si>
  <si>
    <t>Fully Plan ใกล้ 100% ตลอดช่วง Forecast จากการดูแล AF Platform เต็มตัว</t>
  </si>
  <si>
    <t>Gap เพิ่มขึ้นในปี 2027 เพราะบาง Project จบในปี 2026 และการต่อสัญญายังไม่ยืนยัน</t>
  </si>
  <si>
    <t>Weighted Plan สูงสุด 120% ใน Q4/2026 ควร monitor workload และ burnout risk</t>
  </si>
  <si>
    <t>งาน recurring เช่น dashboard และ report ช่วยให้ Demand มีความต่อเนื่องกว่างาน Project ล้วน</t>
  </si>
  <si>
    <t>Capacity ที่เหลือสามารถใช้สนับสนุน BD และงาน pre-sales หาก Project ใหม่ยังไม่ยืนยัน</t>
  </si>
  <si>
    <t>ทีมมีขนาดเล็กประมาณ 3 FTE ทำให้ %Plan sensitive ต่อการเปลี่ยนแปลงของงาน</t>
  </si>
  <si>
    <t>ควรรักษา skill utilization ผ่าน internal security assessment ในช่วงที่ Project Demand ลดลง</t>
  </si>
  <si>
    <t>[Plan 87%]</t>
  </si>
  <si>
    <t>Weighted Plan เกิน 100% ใน Q3–Q4/2026 และ Full-Pipeline gap สูงสุดใน Q3 ควร monitor workload ใกล้ชิด</t>
  </si>
  <si>
    <t>เป็น outsource capacity แบบ MD basket จึงควร rebalance basket ปี 2027 ให้สอดคล้องกับ Demand</t>
  </si>
  <si>
    <t>Q2/2027 อาจต้องเพิ่ม Capacity หรือ cross-deploy จากทีมที่มี Available FTE</t>
  </si>
  <si>
    <t>[Plan 72.25%]</t>
  </si>
  <si>
    <t>[Plan 98%]</t>
  </si>
  <si>
    <t>aic#aic-sect-ra</t>
  </si>
  <si>
    <t>AI Engineering</t>
  </si>
  <si>
    <t>[Plan 70%]</t>
  </si>
  <si>
    <t>Capacity เพิ่มขึ้นในปี 2027 ตาม pipeline visibility ที่ลดลง ควรติดตามงานใหม่จาก AE/BD</t>
  </si>
  <si>
    <t>IoT Engineering</t>
  </si>
  <si>
    <t>[Plan 64%]</t>
  </si>
  <si>
    <t>aic#aic-sect-iot</t>
  </si>
  <si>
    <t>Weighted Plan ลดลงชัดเจนในปี 2027 ควรติดตาม Project start date และความแน่นอนของ pipeline</t>
  </si>
  <si>
    <t>Spatial AI Engineering</t>
  </si>
  <si>
    <t>Weighted Plan ลดลงในปี 2027 แต่ Full-Pipeline Demand ยังไม่เกิน Staff</t>
  </si>
  <si>
    <t>[ไม่มี Active FTE]</t>
  </si>
  <si>
    <t>aic#aic-sect-pi</t>
  </si>
  <si>
    <t>ไม่มีพนักงานภายใต้ Product Innovation ตั้งแต่ Q2/2026 เป็นต้นมา</t>
  </si>
  <si>
    <t>[Plan 100.00%]</t>
  </si>
  <si>
    <t>Fully Plan ที่ 100% ตลอดช่วง Forecast และไม่มี Capacity buffer</t>
  </si>
  <si>
    <t>tde#tde-sect-rm</t>
  </si>
  <si>
    <t>tde#tde-sect-ted</t>
  </si>
  <si>
    <t>tde#tde-sect-coe</t>
  </si>
  <si>
    <t>Full-Pipeline Risk</t>
  </si>
  <si>
    <t>Capacity pressure ช่วง Q3–Q4/2026 มาจาก Project ใหญ่หลายรายการ ควรวางแผน rebalance หลัง Project จบ</t>
  </si>
  <si>
    <t>Capacity ที่เหลือใน Q2/2027 ส่วนใหญ่อยู่ที่ [PSE-SE](pse#pse-sect-se) [+24.4 FTE]{available}, [SD-QA](sd#sd-sect-qa) [+15.68 FTE]{available} และ [CPS-BD](cps#cps-sect-bd) [+5.2 FTE]{available}</t>
  </si>
  <si>
    <t>**Q3 2026** |</t>
  </si>
  <si>
    <t>Available เฉลี่ย [+13.08 FTE]{available}/เดือน</t>
  </si>
  <si>
    <t>**Q4 2026** |</t>
  </si>
  <si>
    <t>Available เฉลี่ย [+18.7 FTE]{available}/เดือน</t>
  </si>
  <si>
    <t>**Q1 2027** |</t>
  </si>
  <si>
    <t>Available เฉลี่ย [+49.46 FTE]{available}/เดือน</t>
  </si>
  <si>
    <t>**Q2 2027** |</t>
  </si>
  <si>
    <t>Available เฉลี่ย [+70.74 FTE]{available}/เดือน</t>
  </si>
  <si>
    <t>Available FTE หลักอยู่ที่ [PSE-SE](pse#pse-sect-se) ขณะที่ช่วงต้นรอบพบ Capacity pressure ในหลาย Section ของ [SD](sd)</t>
  </si>
  <si>
    <t>Capacity gap ส่วนใหญ่อยู่ใน [Software Engineering](pse#pse-sect-se) ขณะที่ [Platform Engineering](pse#pse-sect-pe) อยู่ใกล้ 100%</t>
  </si>
  <si>
    <t>Available FTE ส่วนใหญ่อยู่ใน [Software Engineering](pse#pse-sect-se) ขณะที่ [Platform Engineering](pse#pse-sect-pe) ยัง Fully Plan ใกล้ 100%</t>
  </si>
  <si>
    <t>Capacity Imbalance – [SD-Design](sd#sd-sect-design) มี Weighted Plan [120%]{plan} ขณะที่หลายทีมเริ่มมี Capacity เหลือ</t>
  </si>
  <si>
    <t>Pipeline Visibility Warning – [PSE-SE](pse#pse-sect-se) ลดเหลือ [75%]{plan} และ gap มีแนวโน้มขยายต่อในปี 2027</t>
  </si>
  <si>
    <t>Under-planned – ไม่พบ Section ที่มี Weighted Plan มากกว่าจำนวน Staff</t>
  </si>
  <si>
    <t>Low Pipeline Visibility – Weighted Plan ของทั้งองค์กรเหลือ 54.94% เนื่องจากงานในอนาคตยังไม่ยืนยัน</t>
  </si>
  <si>
    <t>75.59% (Available เฉลี่ยประมาณ [+38 FTE]{available} ต่อเดือน)</t>
  </si>
  <si>
    <t>73.09% (Available เฉลี่ย [+31.8 FTE]{available} ต่อเดือน)</t>
  </si>
  <si>
    <t>92.09% ใน Q3/2026 → 48.31% ใน Q2/2027</t>
  </si>
  <si>
    <t>88% ใน Q3 → 69.4% ใน Q2/2027</t>
  </si>
  <si>
    <t>ปริมาณงานไม่เกิน Staff ตลอดช่วง Forecast</t>
  </si>
  <si>
    <t>Full-Pipeline</t>
  </si>
  <si>
    <t>87.5% ใน Q3 → 49.2% ใน Q2/2027</t>
  </si>
  <si>
    <t>97.5% ใน Q3 → 40.6% ใน Q2/2027</t>
  </si>
  <si>
    <t>เกิน Capacity ช่วง **Q3–Q4**; peak gap [-3.7 FTE]{shortage} (103.1%) ใน **Q3**</t>
  </si>
  <si>
    <t>เกิน Capacity ช่วง **Q3–Q4**; peak gap [-7.7 FTE]{shortage} (114.5%) ใน **Q4**</t>
  </si>
  <si>
    <t>88.04% ใน Q3/2026 → 69.41% ใน Q2/2027</t>
  </si>
  <si>
    <t>78.59% (Available เฉลี่ย [+3.6 FTE]{available} ต่อเดือน)</t>
  </si>
  <si>
    <t>81.5% ใน Q3 → 52.7% ใน Q2/2027</t>
  </si>
  <si>
    <t>100% ใน Q3 → 100% ใน Q2/2027</t>
  </si>
  <si>
    <t>87.50% ใน Q3/2026 → 49.17% ใน Q2/2027</t>
  </si>
  <si>
    <t>67.67% (Available เฉลี่ย [+15.5 FTE]{available} ต่อเดือน)</t>
  </si>
  <si>
    <t>95.7% ใน Q3 → 100% ใน Q2/2027</t>
  </si>
  <si>
    <t>85.7% ใน Q3 → 40.5% ใน Q2/2027</t>
  </si>
  <si>
    <t>97.48% ใน Q3/2026 → 40.57% ใน Q2/2027</t>
  </si>
  <si>
    <t>75.71% (Available เฉลี่ย [+12.9 FTE]{available} ต่อเดือน)</t>
  </si>
  <si>
    <t>107.6% ใน Q3 → 74% ใน Q2/2027</t>
  </si>
  <si>
    <t>เกิน Capacity ช่วง **Q3–Q4**; peak gap [-1.5 FTE]{shortage} (138.3%) ใน **Q4**</t>
  </si>
  <si>
    <t>81.9% ใน Q3 → 64.5% ใน Q2/2027</t>
  </si>
  <si>
    <t>101% ใน Q3 → 7.2% ใน Q2/2027</t>
  </si>
  <si>
    <t>เกิน Capacity ช่วง **Q3–Q4**; peak gap [-0.7 FTE]{shortage} (118.2%) ใน **Q3**</t>
  </si>
  <si>
    <t>81.9% ใน Q3 → 20.8% ใน Q2/2027</t>
  </si>
  <si>
    <t>72.8% ใน Q3 → 17.9% ใน Q2/2027</t>
  </si>
  <si>
    <t>102.5% ใน Q3 → 28.4% ใน Q2/2027</t>
  </si>
  <si>
    <t>เกิน Capacity ช่วง **Q3–Q4**; peak gap [-1.8 FTE]{shortage} (145.9%) ใน **Q4**</t>
  </si>
  <si>
    <t>109% ใน Q3 → 64.7% ใน Q2/2027</t>
  </si>
  <si>
    <t>เกิน Capacity ช่วง **Q3–Q4**; peak gap [-1.9 FTE]{shortage} (137%) ใน **Q3**</t>
  </si>
  <si>
    <t>106% ใน Q3 → 12.9% ใน Q2/2027</t>
  </si>
  <si>
    <t>เกิน Capacity ช่วง **Q3–Q4**; peak gap [-5.7 FTE]{shortage} (131.4%) ใน **Q4**</t>
  </si>
  <si>
    <t>80% ใน Q3 → 122.1% ใน Q2/2027</t>
  </si>
  <si>
    <t>เกิน Capacity ช่วง **Q2'27**; peak gap [-2 FTE]{shortage} (151%) ใน **Q2'27**</t>
  </si>
  <si>
    <t>82.46% ใน Q3/2026 → 56.77% ใน Q2/2027</t>
  </si>
  <si>
    <t>72.25% (Available เฉลี่ย [+5.4 FTE]{available} ต่อเดือน)</t>
  </si>
  <si>
    <t>100% ใน Q3 → 96.7% ใน Q2/2027</t>
  </si>
  <si>
    <t>76.6% ใน Q3 → 56.9% ใน Q2/2027</t>
  </si>
  <si>
    <t>84.5% ใน Q3 → 37% ใน Q2/2027</t>
  </si>
  <si>
    <t>78.8% ใน Q3 → 51.2% ใน Q2/2027</t>
  </si>
  <si>
    <t>ไม่มี Staff และ Demand ในช่วง Forecast</t>
  </si>
  <si>
    <t>100.00% ใน Q3/2026 → 100.00% ใน Q2/2027</t>
  </si>
  <si>
    <t>Department ที่เกิน Capacity – [SD](sd#sd-sd-demand-scenario) เกินช่วง **Q3–Q4**; peak gap [-7.7 FTE]{shortage} (114.5%) ใน **Q4**</t>
  </si>
  <si>
    <t>Sections ที่เกินอย่างน้อย 1 Quarter  – [Design](sd#sd-sect-design), [SA](sd#sd-sect-sa), [PM](sd#sd-sect-pm), [BA](sd#sd-sect-ba), [QA](sd#sd-sect-qa), [TM](sd#sd-sect-tm)</t>
  </si>
  <si>
    <t>Localized Capacity Pressure – [SD](sd) ใกล้ Fully Allocate ที่ 97% และมี 5 Sections ที่ Plan เกิน Staff: [Design](sd#sd-sect-design), [SA](sd#sd-sect-sa), [PM](sd#sd-sect-pm), [BA](sd#sd-sect-ba), [QA](sd#sd-sect-qa)</t>
  </si>
  <si>
    <t>[PSE-SE](pse#pse-sect-se) มี slack [+5.85 FTE]{available} เป็นสัญญาณแรกของ gap ที่ขยายขึ้นใน Quarter ถัดไป</t>
  </si>
  <si>
    <t>Action</t>
  </si>
  <si>
    <t>[CPS-BD](cps#cps-sect-bd) ควรเร่งปิด pipeline สำหรับปี 2027 ขณะที่ยังอยู่ในช่วง Buffer</t>
  </si>
  <si>
    <t xml:space="preserve"> [CPS-BD](cps#cps-sect-bd) มี Capacity [+3.14 FTE]{available} สามารถเน้น prospecting และ pipeline building สำหรับปี 2027</t>
  </si>
  <si>
    <t>ส่วนใหญ่มี Capacity เหลือ ควรทบทวน pipeline visibility และแผน deploy คนข้ามทีม</t>
  </si>
  <si>
    <t>Section อื่นๆ</t>
  </si>
  <si>
    <t>พบ Capacity pressure ในหลาย Section ก่อนที่หลายทีมจะมี Capacity ส่วนเกินในปี 2027</t>
  </si>
  <si>
    <t>Q3–Q4/2026</t>
  </si>
  <si>
    <t>Sections ที่เกิน Full-Pipeline Capacity อย่างน้อย 1 Quarter  – [Design](sd#sd-sect-design), [SA](sd#sd-sect-sa), [PM](sd#sd-sect-pm), [BA](sd#sd-sect-ba), [QA](sd#sd-sect-qa), [TM](sd#sd-sect-tm)</t>
  </si>
  <si>
    <t>Plan 100% ตลอด ควร monitor burnout risk และความเสี่ยงจากการพึ่งพาคนใดคนหนึ่ง (bus factor) เนื่องจากไม่มี Capacity buffer</t>
  </si>
  <si>
    <t>Note: ไปป์ ([CoE](tde#tde-sect-coe)) มีแผนลาคลอดช่วง Oct 2026–Jan 2027 ควรตรวจ Coverage และการส่งต่องานล่วงหน้า</t>
  </si>
  <si>
    <t>Note: เฟรช ([R&amp;A](aic#aic-sect-ra)) มีแผนลาคลอดช่วง Jul–Dec 2026 ควรตรวจ Coverage ของงานและการส่งต่องานในช่วงดังกล่าว</t>
  </si>
  <si>
    <t>%Plan แบบ Weighted ลดจาก 91.56% ใน Q3/2026 เหลือ 54.94% ใน Q2/2027 (-36.62 pp)</t>
  </si>
  <si>
    <t>สาเหตุหลักคือ pipeline ปี 2027 ลดลง รวมถึงใช้ Plan แบบ apply ตาม %win rate</t>
  </si>
  <si>
    <t>Staff ปัจจุบันยังรองรับ Full-Pipeline Demand ได้ตลอดช่วง Forecast</t>
  </si>
  <si>
    <t>Weighted Plan ลดลงตามความแน่นอนของงานจากงานที่ได้รับจาก AE/BD</t>
  </si>
  <si>
    <t>100.00% (Fully Allocation)</t>
  </si>
  <si>
    <t>[Scenario: Win 100%]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</si>
</sst>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1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0"/>
      <color rgb="FFFFFFFF"/>
      <name val="Aptos"/>
    </font>
    <font>
      <sz val="11"/>
      <color rgb="FF000000"/>
      <name val="Aptos Narrow"/>
      <family val="2"/>
      <scheme val="minor"/>
    </font>
    <font>
      <sz val="10"/>
      <color rgb="FF1F2937"/>
      <name val="Calibri"/>
      <family val="2"/>
    </font>
    <font>
      <sz val="12"/>
      <color rgb="FFA5A5A5"/>
      <name val="Aptos Narrow"/>
      <family val="2"/>
      <scheme val="minor"/>
    </font>
    <font>
      <sz val="10"/>
      <color rgb="FF1F2937"/>
      <name val="Aptos"/>
    </font>
    <font>
      <sz val="11"/>
      <name val="Calibri"/>
      <family val="2"/>
    </font>
  </fonts>
  <fills count="42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BDBDB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theme="5"/>
        <bgColor rgb="FF4472C4"/>
      </patternFill>
    </fill>
    <fill>
      <patternFill patternType="solid">
        <fgColor rgb="FFED7D31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F4E78"/>
      </patternFill>
    </fill>
  </fills>
  <borders count="11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9FBAD0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9FBAD0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9FBAD0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9FBAD0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9FBAD0"/>
      </bottom>
      <diagonal/>
    </border>
  </borders>
  <cellStyleXfs count="2">
    <xf numFmtId="0" fontId="0" fillId="0" borderId="0"/>
    <xf numFmtId="0" fontId="30" fillId="0" borderId="0"/>
  </cellStyleXfs>
  <cellXfs count="118">
    <xf numFmtId="0" fontId="0" fillId="0" borderId="0" xfId="0"/>
    <xf numFmtId="0" fontId="2" fillId="0" borderId="0" xfId="0" applyFont="1"/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10" fontId="4" fillId="0" borderId="0" xfId="0" applyNumberFormat="1" applyFont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1" xfId="0" applyFont="1" applyFill="1" applyBorder="1"/>
    <xf numFmtId="0" fontId="3" fillId="7" borderId="1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3" fontId="21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0" fillId="21" borderId="0" xfId="0" applyFont="1" applyFill="1"/>
    <xf numFmtId="0" fontId="21" fillId="26" borderId="0" xfId="0" applyFont="1" applyFill="1"/>
    <xf numFmtId="0" fontId="21" fillId="25" borderId="0" xfId="0" applyFont="1" applyFill="1"/>
    <xf numFmtId="0" fontId="22" fillId="0" borderId="0" xfId="0" applyFont="1"/>
    <xf numFmtId="2" fontId="22" fillId="0" borderId="0" xfId="0" applyNumberFormat="1" applyFont="1"/>
    <xf numFmtId="0" fontId="23" fillId="0" borderId="0" xfId="0" applyFont="1"/>
    <xf numFmtId="0" fontId="0" fillId="27" borderId="0" xfId="0" applyFill="1"/>
    <xf numFmtId="0" fontId="1" fillId="28" borderId="0" xfId="0" applyFont="1" applyFill="1" applyAlignment="1">
      <alignment horizontal="left"/>
    </xf>
    <xf numFmtId="0" fontId="1" fillId="29" borderId="0" xfId="0" applyFont="1" applyFill="1" applyAlignment="1">
      <alignment horizontal="left"/>
    </xf>
    <xf numFmtId="0" fontId="3" fillId="0" borderId="0" xfId="0" applyFont="1"/>
    <xf numFmtId="0" fontId="8" fillId="30" borderId="0" xfId="0" applyFont="1" applyFill="1"/>
    <xf numFmtId="0" fontId="8" fillId="31" borderId="0" xfId="0" applyFont="1" applyFill="1"/>
    <xf numFmtId="0" fontId="4" fillId="6" borderId="0" xfId="0" applyFont="1" applyFill="1"/>
    <xf numFmtId="0" fontId="26" fillId="0" borderId="0" xfId="0" applyFont="1"/>
    <xf numFmtId="0" fontId="0" fillId="32" borderId="0" xfId="0" applyFill="1"/>
    <xf numFmtId="0" fontId="25" fillId="0" borderId="2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7" fillId="0" borderId="5" xfId="0" applyFont="1" applyBorder="1" applyAlignment="1">
      <alignment vertical="center" wrapText="1"/>
    </xf>
    <xf numFmtId="0" fontId="27" fillId="0" borderId="6" xfId="0" applyFont="1" applyBorder="1" applyAlignment="1">
      <alignment vertical="center" wrapText="1"/>
    </xf>
    <xf numFmtId="1" fontId="27" fillId="0" borderId="6" xfId="0" applyNumberFormat="1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7" fillId="0" borderId="7" xfId="0" applyFont="1" applyBorder="1" applyAlignment="1">
      <alignment vertical="center" wrapText="1"/>
    </xf>
    <xf numFmtId="0" fontId="27" fillId="33" borderId="5" xfId="0" applyFont="1" applyFill="1" applyBorder="1" applyAlignment="1">
      <alignment vertical="center" wrapText="1"/>
    </xf>
    <xf numFmtId="1" fontId="27" fillId="20" borderId="6" xfId="0" applyNumberFormat="1" applyFont="1" applyFill="1" applyBorder="1" applyAlignment="1">
      <alignment horizontal="center" vertical="center" wrapText="1"/>
    </xf>
    <xf numFmtId="1" fontId="27" fillId="34" borderId="6" xfId="0" applyNumberFormat="1" applyFont="1" applyFill="1" applyBorder="1" applyAlignment="1">
      <alignment horizontal="center" vertical="center" wrapText="1"/>
    </xf>
    <xf numFmtId="0" fontId="27" fillId="35" borderId="5" xfId="0" applyFont="1" applyFill="1" applyBorder="1" applyAlignment="1">
      <alignment vertical="center" wrapText="1"/>
    </xf>
    <xf numFmtId="0" fontId="27" fillId="36" borderId="5" xfId="0" applyFont="1" applyFill="1" applyBorder="1" applyAlignment="1">
      <alignment vertical="center" wrapText="1"/>
    </xf>
    <xf numFmtId="0" fontId="27" fillId="37" borderId="5" xfId="0" applyFont="1" applyFill="1" applyBorder="1" applyAlignment="1">
      <alignment vertical="center" wrapText="1"/>
    </xf>
    <xf numFmtId="0" fontId="27" fillId="38" borderId="5" xfId="0" applyFont="1" applyFill="1" applyBorder="1" applyAlignment="1">
      <alignment vertical="center" wrapText="1"/>
    </xf>
    <xf numFmtId="0" fontId="27" fillId="39" borderId="5" xfId="0" applyFont="1" applyFill="1" applyBorder="1" applyAlignment="1">
      <alignment vertical="center" wrapText="1"/>
    </xf>
    <xf numFmtId="0" fontId="27" fillId="40" borderId="5" xfId="0" applyFont="1" applyFill="1" applyBorder="1" applyAlignment="1">
      <alignment vertical="center" wrapText="1"/>
    </xf>
    <xf numFmtId="0" fontId="28" fillId="0" borderId="0" xfId="0" applyFont="1"/>
    <xf numFmtId="0" fontId="0" fillId="0" borderId="0" xfId="0" quotePrefix="1"/>
    <xf numFmtId="0" fontId="16" fillId="27" borderId="0" xfId="0" applyFont="1" applyFill="1"/>
    <xf numFmtId="0" fontId="25" fillId="41" borderId="2" xfId="0" applyFont="1" applyFill="1" applyBorder="1" applyAlignment="1">
      <alignment horizontal="center" vertical="center" wrapText="1"/>
    </xf>
    <xf numFmtId="0" fontId="25" fillId="41" borderId="3" xfId="0" applyFont="1" applyFill="1" applyBorder="1" applyAlignment="1">
      <alignment horizontal="center" vertical="center" wrapText="1"/>
    </xf>
    <xf numFmtId="0" fontId="25" fillId="41" borderId="4" xfId="0" applyFont="1" applyFill="1" applyBorder="1" applyAlignment="1">
      <alignment horizontal="center" vertical="center" wrapText="1"/>
    </xf>
    <xf numFmtId="0" fontId="29" fillId="0" borderId="5" xfId="0" applyFont="1" applyBorder="1" applyAlignment="1">
      <alignment vertical="center" wrapText="1"/>
    </xf>
    <xf numFmtId="0" fontId="29" fillId="0" borderId="6" xfId="0" applyFont="1" applyBorder="1" applyAlignment="1">
      <alignment vertical="center" wrapText="1"/>
    </xf>
    <xf numFmtId="1" fontId="29" fillId="0" borderId="6" xfId="0" applyNumberFormat="1" applyFont="1" applyBorder="1" applyAlignment="1">
      <alignment horizontal="center" vertical="center" wrapText="1"/>
    </xf>
    <xf numFmtId="0" fontId="29" fillId="0" borderId="6" xfId="0" applyFont="1" applyBorder="1" applyAlignment="1">
      <alignment horizontal="center" vertical="center" wrapText="1"/>
    </xf>
    <xf numFmtId="0" fontId="29" fillId="0" borderId="6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9" fillId="0" borderId="7" xfId="0" applyFont="1" applyBorder="1" applyAlignment="1">
      <alignment vertical="center" wrapText="1"/>
    </xf>
    <xf numFmtId="0" fontId="29" fillId="0" borderId="8" xfId="0" applyFont="1" applyBorder="1" applyAlignment="1">
      <alignment vertical="center" wrapText="1"/>
    </xf>
    <xf numFmtId="0" fontId="29" fillId="0" borderId="9" xfId="0" applyFont="1" applyBorder="1" applyAlignment="1">
      <alignment vertical="center" wrapText="1"/>
    </xf>
    <xf numFmtId="1" fontId="29" fillId="0" borderId="9" xfId="0" applyNumberFormat="1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9" fillId="0" borderId="10" xfId="0" applyFont="1" applyBorder="1" applyAlignment="1">
      <alignment vertical="center" wrapText="1"/>
    </xf>
  </cellXfs>
  <cellStyles count="2">
    <cellStyle name="Normal" xfId="0" builtinId="0"/>
    <cellStyle name="Normal 2" xfId="1" xr:uid="{3629E3DC-9BDF-EE43-B2B2-ED9F0954FFC2}"/>
  </cellStyles>
  <dxfs count="22"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rgb="FF000000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B5FC57-107C-A641-9F28-02FC652ECBAA}" name="SummaryTable" displayName="SummaryTable" ref="A1:N194" totalsRowShown="0">
  <autoFilter ref="A1:N194" xr:uid="{52B5FC57-107C-A641-9F28-02FC652ECBAA}"/>
  <tableColumns count="14">
    <tableColumn id="1" xr3:uid="{FF7AF450-6999-9D44-8AA4-D45E1EDE4E90}" name="page"/>
    <tableColumn id="2" xr3:uid="{68BAF763-A4DF-8B46-B430-D6E3E194A665}" name="summary_title"/>
    <tableColumn id="3" xr3:uid="{96E42311-B937-9C42-BFFD-93E609F3AFA7}" name="group_order"/>
    <tableColumn id="4" xr3:uid="{575AEB1A-2FA7-F34F-8667-C02547F9AD6A}" name="item_order"/>
    <tableColumn id="5" xr3:uid="{98AC031D-BD99-8E49-8CE9-C78ADFF206A4}" name="level"/>
    <tableColumn id="6" xr3:uid="{645FE1B4-E6C2-BE4E-A804-4CEA8E0AEECC}" name="type"/>
    <tableColumn id="7" xr3:uid="{9BCEAFB9-63AA-D745-BA6A-D8BA11E5B51B}" name="label"/>
    <tableColumn id="8" xr3:uid="{6F2CD355-1907-334A-B278-7D657C579738}" name="data"/>
    <tableColumn id="9" xr3:uid="{81D50D4D-1651-3646-9588-75BDB173FEDF}" name="highlight"/>
    <tableColumn id="10" xr3:uid="{E83E90F7-C694-CF47-9B01-AE5261F83761}" name="highlight_style"/>
    <tableColumn id="11" xr3:uid="{FBE08553-2825-324B-9A8D-420BA5F653A4}" name="href"/>
    <tableColumn id="12" xr3:uid="{AE3607A1-B95C-1944-8AC4-210CDE26FD67}" name="link_target"/>
    <tableColumn id="13" xr3:uid="{B4130DD0-8459-6A41-BF64-AB1EC68F171D}" name="enabled"/>
    <tableColumn id="14" xr3:uid="{1260CD93-0C7A-2741-895B-FE90AED38D23}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1D7E04-C86E-264A-8460-C38DF52F8B10}" name="SummaryTable32" displayName="SummaryTable32" ref="A1:N155" totalsRowShown="0" headerRowDxfId="21" dataDxfId="20">
  <autoFilter ref="A1:N155" xr:uid="{7D7986BE-DF1F-C240-8C1A-92B2DFB1286F}"/>
  <tableColumns count="14">
    <tableColumn id="1" xr3:uid="{AFC171CE-E77D-3740-A134-534E17D725A8}" name="page" dataDxfId="19"/>
    <tableColumn id="2" xr3:uid="{B5E977AF-A4F1-0E43-AF5F-B8AEC1B5C09A}" name="summary_title" dataDxfId="18"/>
    <tableColumn id="3" xr3:uid="{B0CFF497-C60D-E542-B847-ED9015394FF6}" name="group_order" dataDxfId="17"/>
    <tableColumn id="4" xr3:uid="{1A8E49FE-84AD-2345-B060-D7177AF73610}" name="item_order" dataDxfId="16"/>
    <tableColumn id="5" xr3:uid="{0BC9994F-DE1D-3740-B124-F1D88922D713}" name="level" dataDxfId="15"/>
    <tableColumn id="6" xr3:uid="{6933D3A1-90C0-3E42-B274-261668C1B4C6}" name="type" dataDxfId="14"/>
    <tableColumn id="7" xr3:uid="{608FAA20-4EE3-0942-94F0-0E8F6B68BE42}" name="label" dataDxfId="13"/>
    <tableColumn id="8" xr3:uid="{4ABCE388-070E-9541-AD3A-806B7BBEE9EB}" name="data" dataDxfId="12"/>
    <tableColumn id="9" xr3:uid="{D0F13594-6CFD-E946-8D44-CF30186F5015}" name="highlight" dataDxfId="11"/>
    <tableColumn id="10" xr3:uid="{85964D12-458E-A24A-8337-D0C7F8C75B57}" name="highlight_style" dataDxfId="10"/>
    <tableColumn id="11" xr3:uid="{D38D4A72-F395-0542-A445-5E94AAA6314F}" name="href" dataDxfId="9"/>
    <tableColumn id="12" xr3:uid="{0281BBAF-51A8-524D-990E-CC8087B459F6}" name="link_target" dataDxfId="8"/>
    <tableColumn id="13" xr3:uid="{2D343789-3097-8D4B-85E2-CA497FC21F98}" name="enabled" dataDxfId="7"/>
    <tableColumn id="14" xr3:uid="{2F4D9C77-6F98-4444-A13A-225798458FAB}" name="note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3C8C2-3F5C-0C4F-89AF-D594D4425BE6}">
  <sheetPr>
    <tabColor theme="3"/>
  </sheetPr>
  <dimension ref="A1:N194"/>
  <sheetViews>
    <sheetView workbookViewId="0">
      <pane ySplit="1" topLeftCell="A26" activePane="bottomLeft" state="frozen"/>
      <selection pane="bottomLeft" activeCell="G44" sqref="G44"/>
    </sheetView>
  </sheetViews>
  <sheetFormatPr baseColWidth="10" defaultRowHeight="16" x14ac:dyDescent="0.2"/>
  <cols>
    <col min="1" max="1" width="12" customWidth="1"/>
    <col min="2" max="2" width="26.33203125" customWidth="1"/>
    <col min="3" max="4" width="12" customWidth="1"/>
    <col min="5" max="5" width="8" customWidth="1"/>
    <col min="6" max="6" width="14" customWidth="1"/>
    <col min="7" max="7" width="52" customWidth="1"/>
    <col min="8" max="8" width="32" customWidth="1"/>
    <col min="9" max="9" width="42" customWidth="1"/>
    <col min="10" max="10" width="17" customWidth="1"/>
    <col min="11" max="11" width="34" customWidth="1"/>
    <col min="12" max="12" width="14" customWidth="1"/>
    <col min="13" max="13" width="10" customWidth="1"/>
    <col min="14" max="14" width="48" customWidth="1"/>
  </cols>
  <sheetData>
    <row r="1" spans="1:14" ht="34.75" customHeight="1" x14ac:dyDescent="0.2">
      <c r="A1" s="103" t="s">
        <v>138</v>
      </c>
      <c r="B1" s="104" t="s">
        <v>139</v>
      </c>
      <c r="C1" s="104" t="s">
        <v>140</v>
      </c>
      <c r="D1" s="104" t="s">
        <v>141</v>
      </c>
      <c r="E1" s="104" t="s">
        <v>142</v>
      </c>
      <c r="F1" s="104" t="s">
        <v>143</v>
      </c>
      <c r="G1" s="104" t="s">
        <v>144</v>
      </c>
      <c r="H1" s="104" t="s">
        <v>145</v>
      </c>
      <c r="I1" s="104" t="s">
        <v>146</v>
      </c>
      <c r="J1" s="104" t="s">
        <v>147</v>
      </c>
      <c r="K1" s="104" t="s">
        <v>148</v>
      </c>
      <c r="L1" s="104" t="s">
        <v>149</v>
      </c>
      <c r="M1" s="104" t="s">
        <v>150</v>
      </c>
      <c r="N1" s="105" t="s">
        <v>151</v>
      </c>
    </row>
    <row r="2" spans="1:14" ht="40" customHeight="1" x14ac:dyDescent="0.2">
      <c r="A2" s="106" t="s">
        <v>163</v>
      </c>
      <c r="B2" s="107" t="s">
        <v>269</v>
      </c>
      <c r="C2" s="108">
        <v>1</v>
      </c>
      <c r="D2" s="108">
        <v>1</v>
      </c>
      <c r="E2" s="108">
        <v>1</v>
      </c>
      <c r="F2" s="107" t="s">
        <v>155</v>
      </c>
      <c r="G2" s="107" t="s">
        <v>183</v>
      </c>
      <c r="H2" s="107"/>
      <c r="I2" s="107" t="s">
        <v>296</v>
      </c>
      <c r="J2" s="109" t="s">
        <v>153</v>
      </c>
      <c r="K2" s="107"/>
      <c r="L2" s="109" t="s">
        <v>154</v>
      </c>
      <c r="M2" s="110" t="b">
        <v>1</v>
      </c>
      <c r="N2" s="111"/>
    </row>
    <row r="3" spans="1:14" ht="40" customHeight="1" x14ac:dyDescent="0.2">
      <c r="A3" s="106" t="s">
        <v>163</v>
      </c>
      <c r="B3" s="107"/>
      <c r="C3" s="108">
        <v>1</v>
      </c>
      <c r="D3" s="108">
        <v>2</v>
      </c>
      <c r="E3" s="108">
        <v>2</v>
      </c>
      <c r="F3" s="107" t="s">
        <v>155</v>
      </c>
      <c r="G3" s="107" t="s">
        <v>486</v>
      </c>
      <c r="H3" s="107"/>
      <c r="I3" s="107"/>
      <c r="J3" s="109" t="s">
        <v>154</v>
      </c>
      <c r="K3" s="107"/>
      <c r="L3" s="109" t="s">
        <v>154</v>
      </c>
      <c r="M3" s="110" t="b">
        <v>1</v>
      </c>
      <c r="N3" s="111"/>
    </row>
    <row r="4" spans="1:14" ht="40" customHeight="1" x14ac:dyDescent="0.2">
      <c r="A4" s="106" t="s">
        <v>163</v>
      </c>
      <c r="B4" s="107"/>
      <c r="C4" s="108">
        <v>1</v>
      </c>
      <c r="D4" s="108">
        <v>3</v>
      </c>
      <c r="E4" s="108">
        <v>2</v>
      </c>
      <c r="F4" s="107" t="s">
        <v>155</v>
      </c>
      <c r="G4" s="107" t="s">
        <v>487</v>
      </c>
      <c r="H4" s="107"/>
      <c r="I4" s="107"/>
      <c r="J4" s="109" t="s">
        <v>154</v>
      </c>
      <c r="K4" s="107"/>
      <c r="L4" s="109" t="s">
        <v>154</v>
      </c>
      <c r="M4" s="110" t="b">
        <v>1</v>
      </c>
      <c r="N4" s="111"/>
    </row>
    <row r="5" spans="1:14" ht="40" customHeight="1" x14ac:dyDescent="0.2">
      <c r="A5" s="106" t="s">
        <v>163</v>
      </c>
      <c r="B5" s="107"/>
      <c r="C5" s="108">
        <v>1</v>
      </c>
      <c r="D5" s="108">
        <v>4</v>
      </c>
      <c r="E5" s="108">
        <v>2</v>
      </c>
      <c r="F5" s="107" t="s">
        <v>178</v>
      </c>
      <c r="G5" s="107" t="s">
        <v>208</v>
      </c>
      <c r="H5" s="107" t="s">
        <v>428</v>
      </c>
      <c r="I5" s="107"/>
      <c r="J5" s="109" t="s">
        <v>154</v>
      </c>
      <c r="K5" s="107"/>
      <c r="L5" s="109" t="s">
        <v>154</v>
      </c>
      <c r="M5" s="110" t="b">
        <v>1</v>
      </c>
      <c r="N5" s="111"/>
    </row>
    <row r="6" spans="1:14" ht="40" customHeight="1" x14ac:dyDescent="0.2">
      <c r="A6" s="106" t="s">
        <v>163</v>
      </c>
      <c r="B6" s="107"/>
      <c r="C6" s="108">
        <v>1</v>
      </c>
      <c r="D6" s="108">
        <v>5</v>
      </c>
      <c r="E6" s="108">
        <v>2</v>
      </c>
      <c r="F6" s="107" t="s">
        <v>155</v>
      </c>
      <c r="G6" s="107" t="s">
        <v>412</v>
      </c>
      <c r="H6" s="107"/>
      <c r="I6" s="107"/>
      <c r="J6" s="109" t="s">
        <v>154</v>
      </c>
      <c r="K6" s="107"/>
      <c r="L6" s="109" t="s">
        <v>154</v>
      </c>
      <c r="M6" s="110" t="b">
        <v>1</v>
      </c>
      <c r="N6" s="111"/>
    </row>
    <row r="7" spans="1:14" ht="40" customHeight="1" x14ac:dyDescent="0.2">
      <c r="A7" s="106" t="s">
        <v>163</v>
      </c>
      <c r="B7" s="107"/>
      <c r="C7" s="108">
        <v>2</v>
      </c>
      <c r="D7" s="108">
        <v>1</v>
      </c>
      <c r="E7" s="108">
        <v>1</v>
      </c>
      <c r="F7" s="107" t="s">
        <v>155</v>
      </c>
      <c r="G7" s="107" t="s">
        <v>410</v>
      </c>
      <c r="H7" s="107"/>
      <c r="I7" s="107" t="s">
        <v>491</v>
      </c>
      <c r="J7" s="109" t="s">
        <v>159</v>
      </c>
      <c r="K7" s="107"/>
      <c r="L7" s="109" t="s">
        <v>154</v>
      </c>
      <c r="M7" s="110" t="b">
        <v>1</v>
      </c>
      <c r="N7" s="111"/>
    </row>
    <row r="8" spans="1:14" ht="40" customHeight="1" x14ac:dyDescent="0.2">
      <c r="A8" s="106" t="s">
        <v>163</v>
      </c>
      <c r="B8" s="107"/>
      <c r="C8" s="108">
        <v>2</v>
      </c>
      <c r="D8" s="108">
        <v>2</v>
      </c>
      <c r="E8" s="108">
        <v>2</v>
      </c>
      <c r="F8" s="107" t="s">
        <v>155</v>
      </c>
      <c r="G8" s="107" t="s">
        <v>366</v>
      </c>
      <c r="H8" s="107"/>
      <c r="I8" s="107"/>
      <c r="J8" s="109" t="s">
        <v>154</v>
      </c>
      <c r="K8" s="107"/>
      <c r="L8" s="109" t="s">
        <v>154</v>
      </c>
      <c r="M8" s="110" t="b">
        <v>1</v>
      </c>
      <c r="N8" s="111"/>
    </row>
    <row r="9" spans="1:14" ht="40" customHeight="1" x14ac:dyDescent="0.2">
      <c r="A9" s="106" t="s">
        <v>163</v>
      </c>
      <c r="B9" s="107"/>
      <c r="C9" s="108">
        <v>2</v>
      </c>
      <c r="D9" s="108">
        <v>3</v>
      </c>
      <c r="E9" s="108">
        <v>2</v>
      </c>
      <c r="F9" s="107" t="s">
        <v>155</v>
      </c>
      <c r="G9" s="107" t="s">
        <v>471</v>
      </c>
      <c r="H9" s="107"/>
      <c r="I9" s="107"/>
      <c r="J9" s="109" t="s">
        <v>154</v>
      </c>
      <c r="K9" s="107"/>
      <c r="L9" s="109" t="s">
        <v>154</v>
      </c>
      <c r="M9" s="110" t="b">
        <v>1</v>
      </c>
      <c r="N9" s="111"/>
    </row>
    <row r="10" spans="1:14" ht="40" customHeight="1" x14ac:dyDescent="0.2">
      <c r="A10" s="106" t="s">
        <v>163</v>
      </c>
      <c r="B10" s="107"/>
      <c r="C10" s="108">
        <v>2</v>
      </c>
      <c r="D10" s="108">
        <v>4</v>
      </c>
      <c r="E10" s="108">
        <v>2</v>
      </c>
      <c r="F10" s="107" t="s">
        <v>155</v>
      </c>
      <c r="G10" s="107" t="s">
        <v>472</v>
      </c>
      <c r="H10" s="107"/>
      <c r="I10" s="107"/>
      <c r="J10" s="109" t="s">
        <v>154</v>
      </c>
      <c r="K10" s="107"/>
      <c r="L10" s="109" t="s">
        <v>154</v>
      </c>
      <c r="M10" s="110" t="b">
        <v>1</v>
      </c>
      <c r="N10" s="111"/>
    </row>
    <row r="11" spans="1:14" ht="40" customHeight="1" x14ac:dyDescent="0.2">
      <c r="A11" s="106" t="s">
        <v>163</v>
      </c>
      <c r="B11" s="107"/>
      <c r="C11" s="108">
        <v>3</v>
      </c>
      <c r="D11" s="108">
        <v>1</v>
      </c>
      <c r="E11" s="108">
        <v>1</v>
      </c>
      <c r="F11" s="107" t="s">
        <v>178</v>
      </c>
      <c r="G11" s="107" t="s">
        <v>413</v>
      </c>
      <c r="H11" s="107" t="s">
        <v>414</v>
      </c>
      <c r="I11" s="107" t="s">
        <v>194</v>
      </c>
      <c r="J11" s="109" t="s">
        <v>153</v>
      </c>
      <c r="K11" s="107"/>
      <c r="L11" s="109" t="s">
        <v>154</v>
      </c>
      <c r="M11" s="110" t="b">
        <v>1</v>
      </c>
      <c r="N11" s="111"/>
    </row>
    <row r="12" spans="1:14" ht="40" customHeight="1" x14ac:dyDescent="0.2">
      <c r="A12" s="106" t="s">
        <v>163</v>
      </c>
      <c r="B12" s="107"/>
      <c r="C12" s="108">
        <v>3</v>
      </c>
      <c r="D12" s="108">
        <v>2</v>
      </c>
      <c r="E12" s="108">
        <v>2</v>
      </c>
      <c r="F12" s="107" t="s">
        <v>155</v>
      </c>
      <c r="G12" s="107" t="s">
        <v>473</v>
      </c>
      <c r="H12" s="107"/>
      <c r="I12" s="107"/>
      <c r="J12" s="109" t="s">
        <v>154</v>
      </c>
      <c r="K12" s="107"/>
      <c r="L12" s="109" t="s">
        <v>154</v>
      </c>
      <c r="M12" s="110" t="b">
        <v>1</v>
      </c>
      <c r="N12" s="111"/>
    </row>
    <row r="13" spans="1:14" ht="40" customHeight="1" x14ac:dyDescent="0.2">
      <c r="A13" s="106" t="s">
        <v>163</v>
      </c>
      <c r="B13" s="107"/>
      <c r="C13" s="108">
        <v>3</v>
      </c>
      <c r="D13" s="108">
        <v>3</v>
      </c>
      <c r="E13" s="108">
        <v>2</v>
      </c>
      <c r="F13" s="107" t="s">
        <v>155</v>
      </c>
      <c r="G13" s="107" t="s">
        <v>298</v>
      </c>
      <c r="H13" s="107" t="s">
        <v>474</v>
      </c>
      <c r="I13" s="107"/>
      <c r="J13" s="109" t="s">
        <v>154</v>
      </c>
      <c r="K13" s="107"/>
      <c r="L13" s="109" t="s">
        <v>154</v>
      </c>
      <c r="M13" s="110" t="b">
        <v>1</v>
      </c>
      <c r="N13" s="111"/>
    </row>
    <row r="14" spans="1:14" ht="40" customHeight="1" x14ac:dyDescent="0.2">
      <c r="A14" s="106" t="s">
        <v>163</v>
      </c>
      <c r="B14" s="107"/>
      <c r="C14" s="108">
        <v>3</v>
      </c>
      <c r="D14" s="108">
        <v>4</v>
      </c>
      <c r="E14" s="108">
        <v>2</v>
      </c>
      <c r="F14" s="107" t="s">
        <v>178</v>
      </c>
      <c r="G14" s="107" t="s">
        <v>475</v>
      </c>
      <c r="H14" s="107" t="s">
        <v>476</v>
      </c>
      <c r="I14" s="107"/>
      <c r="J14" s="109" t="s">
        <v>154</v>
      </c>
      <c r="K14" s="107"/>
      <c r="L14" s="109" t="s">
        <v>154</v>
      </c>
      <c r="M14" s="110" t="b">
        <v>1</v>
      </c>
      <c r="N14" s="111"/>
    </row>
    <row r="15" spans="1:14" ht="40" customHeight="1" x14ac:dyDescent="0.2">
      <c r="A15" s="106" t="s">
        <v>163</v>
      </c>
      <c r="B15" s="107"/>
      <c r="C15" s="108">
        <v>3</v>
      </c>
      <c r="D15" s="108">
        <v>5</v>
      </c>
      <c r="E15" s="108">
        <v>2</v>
      </c>
      <c r="F15" s="107" t="s">
        <v>155</v>
      </c>
      <c r="G15" s="107" t="s">
        <v>367</v>
      </c>
      <c r="H15" s="107"/>
      <c r="I15" s="107"/>
      <c r="J15" s="109" t="s">
        <v>154</v>
      </c>
      <c r="K15" s="107"/>
      <c r="L15" s="109" t="s">
        <v>154</v>
      </c>
      <c r="M15" s="110" t="b">
        <v>1</v>
      </c>
      <c r="N15" s="111"/>
    </row>
    <row r="16" spans="1:14" ht="40" customHeight="1" x14ac:dyDescent="0.2">
      <c r="A16" s="106" t="s">
        <v>163</v>
      </c>
      <c r="B16" s="107"/>
      <c r="C16" s="108">
        <v>3</v>
      </c>
      <c r="D16" s="108">
        <v>6</v>
      </c>
      <c r="E16" s="108">
        <v>2</v>
      </c>
      <c r="F16" s="107" t="s">
        <v>152</v>
      </c>
      <c r="G16" s="107" t="s">
        <v>110</v>
      </c>
      <c r="H16" s="107" t="s">
        <v>210</v>
      </c>
      <c r="I16" s="107"/>
      <c r="J16" s="109" t="s">
        <v>154</v>
      </c>
      <c r="K16" s="107" t="s">
        <v>168</v>
      </c>
      <c r="L16" s="109" t="s">
        <v>144</v>
      </c>
      <c r="M16" s="110" t="b">
        <v>1</v>
      </c>
      <c r="N16" s="111"/>
    </row>
    <row r="17" spans="1:14" ht="40" customHeight="1" x14ac:dyDescent="0.2">
      <c r="A17" s="106" t="s">
        <v>163</v>
      </c>
      <c r="B17" s="107"/>
      <c r="C17" s="108">
        <v>3</v>
      </c>
      <c r="D17" s="108">
        <v>7</v>
      </c>
      <c r="E17" s="108">
        <v>2</v>
      </c>
      <c r="F17" s="107" t="s">
        <v>152</v>
      </c>
      <c r="G17" s="107" t="s">
        <v>104</v>
      </c>
      <c r="H17" s="107" t="s">
        <v>211</v>
      </c>
      <c r="I17" s="107"/>
      <c r="J17" s="109" t="s">
        <v>154</v>
      </c>
      <c r="K17" s="107" t="s">
        <v>160</v>
      </c>
      <c r="L17" s="109" t="s">
        <v>144</v>
      </c>
      <c r="M17" s="110" t="b">
        <v>1</v>
      </c>
      <c r="N17" s="111"/>
    </row>
    <row r="18" spans="1:14" ht="40" customHeight="1" x14ac:dyDescent="0.2">
      <c r="A18" s="106" t="s">
        <v>163</v>
      </c>
      <c r="B18" s="107"/>
      <c r="C18" s="108">
        <v>3</v>
      </c>
      <c r="D18" s="108">
        <v>8</v>
      </c>
      <c r="E18" s="108">
        <v>2</v>
      </c>
      <c r="F18" s="107" t="s">
        <v>152</v>
      </c>
      <c r="G18" s="107" t="s">
        <v>111</v>
      </c>
      <c r="H18" s="107" t="s">
        <v>212</v>
      </c>
      <c r="I18" s="107"/>
      <c r="J18" s="109" t="s">
        <v>154</v>
      </c>
      <c r="K18" s="107" t="s">
        <v>201</v>
      </c>
      <c r="L18" s="109" t="s">
        <v>144</v>
      </c>
      <c r="M18" s="110" t="b">
        <v>1</v>
      </c>
      <c r="N18" s="111"/>
    </row>
    <row r="19" spans="1:14" ht="40" customHeight="1" x14ac:dyDescent="0.2">
      <c r="A19" s="106" t="s">
        <v>163</v>
      </c>
      <c r="B19" s="107"/>
      <c r="C19" s="108">
        <v>3</v>
      </c>
      <c r="D19" s="108">
        <v>9</v>
      </c>
      <c r="E19" s="108">
        <v>2</v>
      </c>
      <c r="F19" s="107" t="s">
        <v>155</v>
      </c>
      <c r="G19" s="107" t="s">
        <v>195</v>
      </c>
      <c r="H19" s="107"/>
      <c r="I19" s="107"/>
      <c r="J19" s="109" t="s">
        <v>154</v>
      </c>
      <c r="K19" s="107"/>
      <c r="L19" s="109" t="s">
        <v>154</v>
      </c>
      <c r="M19" s="110" t="b">
        <v>1</v>
      </c>
      <c r="N19" s="111"/>
    </row>
    <row r="20" spans="1:14" ht="40" customHeight="1" x14ac:dyDescent="0.2">
      <c r="A20" s="106" t="s">
        <v>163</v>
      </c>
      <c r="B20" s="107"/>
      <c r="C20" s="108">
        <v>3</v>
      </c>
      <c r="D20" s="108">
        <v>10</v>
      </c>
      <c r="E20" s="108">
        <v>2</v>
      </c>
      <c r="F20" s="107" t="s">
        <v>152</v>
      </c>
      <c r="G20" s="107" t="s">
        <v>103</v>
      </c>
      <c r="H20" s="107"/>
      <c r="I20" s="107" t="s">
        <v>216</v>
      </c>
      <c r="J20" s="109" t="s">
        <v>158</v>
      </c>
      <c r="K20" s="107" t="s">
        <v>166</v>
      </c>
      <c r="L20" s="109" t="s">
        <v>144</v>
      </c>
      <c r="M20" s="110" t="b">
        <v>1</v>
      </c>
      <c r="N20" s="111"/>
    </row>
    <row r="21" spans="1:14" ht="40" customHeight="1" x14ac:dyDescent="0.2">
      <c r="A21" s="106" t="s">
        <v>163</v>
      </c>
      <c r="B21" s="107"/>
      <c r="C21" s="108">
        <v>3</v>
      </c>
      <c r="D21" s="108">
        <v>11</v>
      </c>
      <c r="E21" s="108">
        <v>2</v>
      </c>
      <c r="F21" s="107" t="s">
        <v>152</v>
      </c>
      <c r="G21" s="107" t="s">
        <v>167</v>
      </c>
      <c r="H21" s="107"/>
      <c r="I21" s="107" t="s">
        <v>217</v>
      </c>
      <c r="J21" s="109" t="s">
        <v>158</v>
      </c>
      <c r="K21" s="107" t="s">
        <v>156</v>
      </c>
      <c r="L21" s="109" t="s">
        <v>144</v>
      </c>
      <c r="M21" s="110" t="b">
        <v>1</v>
      </c>
      <c r="N21" s="111"/>
    </row>
    <row r="22" spans="1:14" ht="40" customHeight="1" x14ac:dyDescent="0.2">
      <c r="A22" s="106" t="s">
        <v>163</v>
      </c>
      <c r="B22" s="107"/>
      <c r="C22" s="108">
        <v>3</v>
      </c>
      <c r="D22" s="108">
        <v>12</v>
      </c>
      <c r="E22" s="108">
        <v>2</v>
      </c>
      <c r="F22" s="107" t="s">
        <v>152</v>
      </c>
      <c r="G22" s="107" t="s">
        <v>114</v>
      </c>
      <c r="H22" s="107"/>
      <c r="I22" s="107" t="s">
        <v>218</v>
      </c>
      <c r="J22" s="109" t="s">
        <v>158</v>
      </c>
      <c r="K22" s="107" t="s">
        <v>165</v>
      </c>
      <c r="L22" s="109" t="s">
        <v>144</v>
      </c>
      <c r="M22" s="110" t="b">
        <v>1</v>
      </c>
      <c r="N22" s="111"/>
    </row>
    <row r="23" spans="1:14" ht="40" customHeight="1" x14ac:dyDescent="0.2">
      <c r="A23" s="106" t="s">
        <v>163</v>
      </c>
      <c r="B23" s="107"/>
      <c r="C23" s="108">
        <v>3</v>
      </c>
      <c r="D23" s="108">
        <v>13</v>
      </c>
      <c r="E23" s="108">
        <v>2</v>
      </c>
      <c r="F23" s="107" t="s">
        <v>155</v>
      </c>
      <c r="G23" s="107" t="s">
        <v>200</v>
      </c>
      <c r="H23" s="107"/>
      <c r="I23" s="107"/>
      <c r="J23" s="109" t="s">
        <v>154</v>
      </c>
      <c r="K23" s="107"/>
      <c r="L23" s="109" t="s">
        <v>154</v>
      </c>
      <c r="M23" s="110" t="b">
        <v>1</v>
      </c>
      <c r="N23" s="111"/>
    </row>
    <row r="24" spans="1:14" ht="40" customHeight="1" x14ac:dyDescent="0.2">
      <c r="A24" s="106" t="s">
        <v>163</v>
      </c>
      <c r="B24" s="107"/>
      <c r="C24" s="108">
        <v>3</v>
      </c>
      <c r="D24" s="108">
        <v>14</v>
      </c>
      <c r="E24" s="108">
        <v>2</v>
      </c>
      <c r="F24" s="107" t="s">
        <v>152</v>
      </c>
      <c r="G24" s="107" t="s">
        <v>111</v>
      </c>
      <c r="H24" s="107"/>
      <c r="I24" s="107" t="s">
        <v>219</v>
      </c>
      <c r="J24" s="109" t="s">
        <v>159</v>
      </c>
      <c r="K24" s="107" t="s">
        <v>201</v>
      </c>
      <c r="L24" s="109" t="s">
        <v>144</v>
      </c>
      <c r="M24" s="110" t="b">
        <v>1</v>
      </c>
      <c r="N24" s="111"/>
    </row>
    <row r="25" spans="1:14" ht="40" customHeight="1" x14ac:dyDescent="0.2">
      <c r="A25" s="106" t="s">
        <v>163</v>
      </c>
      <c r="B25" s="107"/>
      <c r="C25" s="108">
        <v>3</v>
      </c>
      <c r="D25" s="108">
        <v>15</v>
      </c>
      <c r="E25" s="108">
        <v>2</v>
      </c>
      <c r="F25" s="107" t="s">
        <v>152</v>
      </c>
      <c r="G25" s="107" t="s">
        <v>110</v>
      </c>
      <c r="H25" s="107"/>
      <c r="I25" s="107" t="s">
        <v>220</v>
      </c>
      <c r="J25" s="109" t="s">
        <v>159</v>
      </c>
      <c r="K25" s="107" t="s">
        <v>168</v>
      </c>
      <c r="L25" s="109" t="s">
        <v>144</v>
      </c>
      <c r="M25" s="110" t="b">
        <v>1</v>
      </c>
      <c r="N25" s="111"/>
    </row>
    <row r="26" spans="1:14" ht="40" customHeight="1" x14ac:dyDescent="0.2">
      <c r="A26" s="106" t="s">
        <v>163</v>
      </c>
      <c r="B26" s="107"/>
      <c r="C26" s="108">
        <v>3</v>
      </c>
      <c r="D26" s="108">
        <v>16</v>
      </c>
      <c r="E26" s="108">
        <v>2</v>
      </c>
      <c r="F26" s="107" t="s">
        <v>152</v>
      </c>
      <c r="G26" s="107" t="s">
        <v>104</v>
      </c>
      <c r="H26" s="107"/>
      <c r="I26" s="107" t="s">
        <v>221</v>
      </c>
      <c r="J26" s="109" t="s">
        <v>159</v>
      </c>
      <c r="K26" s="107" t="s">
        <v>160</v>
      </c>
      <c r="L26" s="109" t="s">
        <v>144</v>
      </c>
      <c r="M26" s="110" t="b">
        <v>1</v>
      </c>
      <c r="N26" s="111"/>
    </row>
    <row r="27" spans="1:14" ht="40" customHeight="1" x14ac:dyDescent="0.2">
      <c r="A27" s="106" t="s">
        <v>163</v>
      </c>
      <c r="B27" s="107"/>
      <c r="C27" s="108">
        <v>4</v>
      </c>
      <c r="D27" s="108">
        <v>1</v>
      </c>
      <c r="E27" s="108">
        <v>1</v>
      </c>
      <c r="F27" s="107" t="s">
        <v>178</v>
      </c>
      <c r="G27" s="107" t="s">
        <v>415</v>
      </c>
      <c r="H27" s="107" t="s">
        <v>416</v>
      </c>
      <c r="I27" s="107" t="s">
        <v>202</v>
      </c>
      <c r="J27" s="109" t="s">
        <v>153</v>
      </c>
      <c r="K27" s="107"/>
      <c r="L27" s="109" t="s">
        <v>154</v>
      </c>
      <c r="M27" s="110" t="b">
        <v>1</v>
      </c>
      <c r="N27" s="111"/>
    </row>
    <row r="28" spans="1:14" ht="40" customHeight="1" x14ac:dyDescent="0.2">
      <c r="A28" s="106" t="s">
        <v>163</v>
      </c>
      <c r="B28" s="107"/>
      <c r="C28" s="108">
        <v>4</v>
      </c>
      <c r="D28" s="108">
        <v>2</v>
      </c>
      <c r="E28" s="108">
        <v>2</v>
      </c>
      <c r="F28" s="107" t="s">
        <v>155</v>
      </c>
      <c r="G28" s="107" t="s">
        <v>424</v>
      </c>
      <c r="H28" s="107"/>
      <c r="I28" s="107"/>
      <c r="J28" s="109" t="s">
        <v>154</v>
      </c>
      <c r="K28" s="107"/>
      <c r="L28" s="109" t="s">
        <v>154</v>
      </c>
      <c r="M28" s="110" t="b">
        <v>1</v>
      </c>
      <c r="N28" s="111"/>
    </row>
    <row r="29" spans="1:14" ht="40" customHeight="1" x14ac:dyDescent="0.2">
      <c r="A29" s="106" t="s">
        <v>163</v>
      </c>
      <c r="B29" s="107"/>
      <c r="C29" s="108">
        <v>4</v>
      </c>
      <c r="D29" s="108">
        <v>3</v>
      </c>
      <c r="E29" s="108">
        <v>2</v>
      </c>
      <c r="F29" s="107" t="s">
        <v>155</v>
      </c>
      <c r="G29" s="107" t="s">
        <v>425</v>
      </c>
      <c r="H29" s="107"/>
      <c r="I29" s="107"/>
      <c r="J29" s="109" t="s">
        <v>154</v>
      </c>
      <c r="K29" s="107"/>
      <c r="L29" s="109" t="s">
        <v>154</v>
      </c>
      <c r="M29" s="110" t="b">
        <v>1</v>
      </c>
      <c r="N29" s="111"/>
    </row>
    <row r="30" spans="1:14" ht="40" customHeight="1" x14ac:dyDescent="0.2">
      <c r="A30" s="106" t="s">
        <v>163</v>
      </c>
      <c r="B30" s="107"/>
      <c r="C30" s="108">
        <v>4</v>
      </c>
      <c r="D30" s="108">
        <v>4</v>
      </c>
      <c r="E30" s="108">
        <v>2</v>
      </c>
      <c r="F30" s="107" t="s">
        <v>178</v>
      </c>
      <c r="G30" s="107" t="s">
        <v>475</v>
      </c>
      <c r="H30" s="107" t="s">
        <v>477</v>
      </c>
      <c r="I30" s="107"/>
      <c r="J30" s="109" t="s">
        <v>154</v>
      </c>
      <c r="K30" s="107"/>
      <c r="L30" s="109" t="s">
        <v>154</v>
      </c>
      <c r="M30" s="110" t="b">
        <v>1</v>
      </c>
      <c r="N30" s="111"/>
    </row>
    <row r="31" spans="1:14" ht="40" customHeight="1" x14ac:dyDescent="0.2">
      <c r="A31" s="106" t="s">
        <v>163</v>
      </c>
      <c r="B31" s="107"/>
      <c r="C31" s="108">
        <v>4</v>
      </c>
      <c r="D31" s="108">
        <v>5</v>
      </c>
      <c r="E31" s="108">
        <v>2</v>
      </c>
      <c r="F31" s="107" t="s">
        <v>155</v>
      </c>
      <c r="G31" s="107" t="s">
        <v>367</v>
      </c>
      <c r="H31" s="107"/>
      <c r="I31" s="107"/>
      <c r="J31" s="109" t="s">
        <v>154</v>
      </c>
      <c r="K31" s="107"/>
      <c r="L31" s="109" t="s">
        <v>154</v>
      </c>
      <c r="M31" s="110" t="b">
        <v>1</v>
      </c>
      <c r="N31" s="111"/>
    </row>
    <row r="32" spans="1:14" ht="40" customHeight="1" x14ac:dyDescent="0.2">
      <c r="A32" s="106" t="s">
        <v>163</v>
      </c>
      <c r="B32" s="107"/>
      <c r="C32" s="108">
        <v>4</v>
      </c>
      <c r="D32" s="108">
        <v>6</v>
      </c>
      <c r="E32" s="108">
        <v>2</v>
      </c>
      <c r="F32" s="107" t="s">
        <v>152</v>
      </c>
      <c r="G32" s="107" t="s">
        <v>104</v>
      </c>
      <c r="H32" s="107" t="s">
        <v>222</v>
      </c>
      <c r="I32" s="107"/>
      <c r="J32" s="109" t="s">
        <v>154</v>
      </c>
      <c r="K32" s="107" t="s">
        <v>160</v>
      </c>
      <c r="L32" s="109" t="s">
        <v>144</v>
      </c>
      <c r="M32" s="110" t="b">
        <v>1</v>
      </c>
      <c r="N32" s="111"/>
    </row>
    <row r="33" spans="1:14" ht="40" customHeight="1" x14ac:dyDescent="0.2">
      <c r="A33" s="106" t="s">
        <v>163</v>
      </c>
      <c r="B33" s="107"/>
      <c r="C33" s="108">
        <v>4</v>
      </c>
      <c r="D33" s="108">
        <v>7</v>
      </c>
      <c r="E33" s="108">
        <v>2</v>
      </c>
      <c r="F33" s="107" t="s">
        <v>152</v>
      </c>
      <c r="G33" s="107" t="s">
        <v>109</v>
      </c>
      <c r="H33" s="107" t="s">
        <v>223</v>
      </c>
      <c r="I33" s="107"/>
      <c r="J33" s="109" t="s">
        <v>154</v>
      </c>
      <c r="K33" s="107" t="s">
        <v>170</v>
      </c>
      <c r="L33" s="109" t="s">
        <v>144</v>
      </c>
      <c r="M33" s="110" t="b">
        <v>1</v>
      </c>
      <c r="N33" s="111"/>
    </row>
    <row r="34" spans="1:14" ht="40" customHeight="1" x14ac:dyDescent="0.2">
      <c r="A34" s="106" t="s">
        <v>163</v>
      </c>
      <c r="B34" s="107"/>
      <c r="C34" s="108">
        <v>4</v>
      </c>
      <c r="D34" s="108">
        <v>8</v>
      </c>
      <c r="E34" s="108">
        <v>2</v>
      </c>
      <c r="F34" s="107" t="s">
        <v>152</v>
      </c>
      <c r="G34" s="107" t="s">
        <v>111</v>
      </c>
      <c r="H34" s="107" t="s">
        <v>224</v>
      </c>
      <c r="I34" s="107"/>
      <c r="J34" s="109" t="s">
        <v>154</v>
      </c>
      <c r="K34" s="107" t="s">
        <v>201</v>
      </c>
      <c r="L34" s="109" t="s">
        <v>144</v>
      </c>
      <c r="M34" s="110" t="b">
        <v>1</v>
      </c>
      <c r="N34" s="111"/>
    </row>
    <row r="35" spans="1:14" ht="40" customHeight="1" x14ac:dyDescent="0.2">
      <c r="A35" s="106" t="s">
        <v>163</v>
      </c>
      <c r="B35" s="107"/>
      <c r="C35" s="108">
        <v>4</v>
      </c>
      <c r="D35" s="108">
        <v>9</v>
      </c>
      <c r="E35" s="108">
        <v>2</v>
      </c>
      <c r="F35" s="107" t="s">
        <v>155</v>
      </c>
      <c r="G35" s="107" t="s">
        <v>195</v>
      </c>
      <c r="H35" s="107"/>
      <c r="I35" s="107"/>
      <c r="J35" s="109" t="s">
        <v>154</v>
      </c>
      <c r="K35" s="107"/>
      <c r="L35" s="109" t="s">
        <v>154</v>
      </c>
      <c r="M35" s="110" t="b">
        <v>1</v>
      </c>
      <c r="N35" s="111"/>
    </row>
    <row r="36" spans="1:14" ht="40" customHeight="1" x14ac:dyDescent="0.2">
      <c r="A36" s="106" t="s">
        <v>163</v>
      </c>
      <c r="B36" s="107"/>
      <c r="C36" s="108">
        <v>4</v>
      </c>
      <c r="D36" s="108">
        <v>10</v>
      </c>
      <c r="E36" s="108">
        <v>2</v>
      </c>
      <c r="F36" s="107" t="s">
        <v>152</v>
      </c>
      <c r="G36" s="107" t="s">
        <v>103</v>
      </c>
      <c r="H36" s="107"/>
      <c r="I36" s="107" t="s">
        <v>227</v>
      </c>
      <c r="J36" s="109" t="s">
        <v>158</v>
      </c>
      <c r="K36" s="107" t="s">
        <v>166</v>
      </c>
      <c r="L36" s="109" t="s">
        <v>144</v>
      </c>
      <c r="M36" s="110" t="b">
        <v>1</v>
      </c>
      <c r="N36" s="111"/>
    </row>
    <row r="37" spans="1:14" ht="40" customHeight="1" x14ac:dyDescent="0.2">
      <c r="A37" s="106" t="s">
        <v>163</v>
      </c>
      <c r="B37" s="107"/>
      <c r="C37" s="108">
        <v>4</v>
      </c>
      <c r="D37" s="108">
        <v>11</v>
      </c>
      <c r="E37" s="108">
        <v>2</v>
      </c>
      <c r="F37" s="107" t="s">
        <v>152</v>
      </c>
      <c r="G37" s="107" t="s">
        <v>167</v>
      </c>
      <c r="H37" s="107"/>
      <c r="I37" s="107" t="s">
        <v>228</v>
      </c>
      <c r="J37" s="109" t="s">
        <v>158</v>
      </c>
      <c r="K37" s="107" t="s">
        <v>156</v>
      </c>
      <c r="L37" s="109" t="s">
        <v>144</v>
      </c>
      <c r="M37" s="110" t="b">
        <v>1</v>
      </c>
      <c r="N37" s="111"/>
    </row>
    <row r="38" spans="1:14" ht="40" customHeight="1" x14ac:dyDescent="0.2">
      <c r="A38" s="106" t="s">
        <v>163</v>
      </c>
      <c r="B38" s="107"/>
      <c r="C38" s="108">
        <v>4</v>
      </c>
      <c r="D38" s="108">
        <v>12</v>
      </c>
      <c r="E38" s="108">
        <v>2</v>
      </c>
      <c r="F38" s="107" t="s">
        <v>152</v>
      </c>
      <c r="G38" s="107" t="s">
        <v>105</v>
      </c>
      <c r="H38" s="107"/>
      <c r="I38" s="107" t="s">
        <v>229</v>
      </c>
      <c r="J38" s="109" t="s">
        <v>158</v>
      </c>
      <c r="K38" s="107" t="s">
        <v>161</v>
      </c>
      <c r="L38" s="109" t="s">
        <v>144</v>
      </c>
      <c r="M38" s="110" t="b">
        <v>1</v>
      </c>
      <c r="N38" s="111"/>
    </row>
    <row r="39" spans="1:14" ht="40" customHeight="1" x14ac:dyDescent="0.2">
      <c r="A39" s="106" t="s">
        <v>163</v>
      </c>
      <c r="B39" s="107"/>
      <c r="C39" s="108">
        <v>4</v>
      </c>
      <c r="D39" s="108">
        <v>13</v>
      </c>
      <c r="E39" s="108">
        <v>2</v>
      </c>
      <c r="F39" s="107" t="s">
        <v>155</v>
      </c>
      <c r="G39" s="107" t="s">
        <v>200</v>
      </c>
      <c r="H39" s="107"/>
      <c r="I39" s="107"/>
      <c r="J39" s="109" t="s">
        <v>154</v>
      </c>
      <c r="K39" s="107"/>
      <c r="L39" s="109" t="s">
        <v>154</v>
      </c>
      <c r="M39" s="110" t="b">
        <v>1</v>
      </c>
      <c r="N39" s="111"/>
    </row>
    <row r="40" spans="1:14" ht="40" customHeight="1" x14ac:dyDescent="0.2">
      <c r="A40" s="106" t="s">
        <v>163</v>
      </c>
      <c r="B40" s="107"/>
      <c r="C40" s="108">
        <v>4</v>
      </c>
      <c r="D40" s="108">
        <v>14</v>
      </c>
      <c r="E40" s="108">
        <v>2</v>
      </c>
      <c r="F40" s="107" t="s">
        <v>152</v>
      </c>
      <c r="G40" s="107" t="s">
        <v>104</v>
      </c>
      <c r="H40" s="107"/>
      <c r="I40" s="107" t="s">
        <v>230</v>
      </c>
      <c r="J40" s="109" t="s">
        <v>159</v>
      </c>
      <c r="K40" s="107" t="s">
        <v>160</v>
      </c>
      <c r="L40" s="109" t="s">
        <v>144</v>
      </c>
      <c r="M40" s="110" t="b">
        <v>1</v>
      </c>
      <c r="N40" s="111"/>
    </row>
    <row r="41" spans="1:14" ht="40" customHeight="1" x14ac:dyDescent="0.2">
      <c r="A41" s="106" t="s">
        <v>163</v>
      </c>
      <c r="B41" s="107"/>
      <c r="C41" s="108">
        <v>4</v>
      </c>
      <c r="D41" s="108">
        <v>15</v>
      </c>
      <c r="E41" s="108">
        <v>2</v>
      </c>
      <c r="F41" s="107" t="s">
        <v>152</v>
      </c>
      <c r="G41" s="107" t="s">
        <v>111</v>
      </c>
      <c r="H41" s="107"/>
      <c r="I41" s="107" t="s">
        <v>231</v>
      </c>
      <c r="J41" s="109" t="s">
        <v>159</v>
      </c>
      <c r="K41" s="107" t="s">
        <v>201</v>
      </c>
      <c r="L41" s="109" t="s">
        <v>144</v>
      </c>
      <c r="M41" s="110" t="b">
        <v>1</v>
      </c>
      <c r="N41" s="111"/>
    </row>
    <row r="42" spans="1:14" ht="40" customHeight="1" x14ac:dyDescent="0.2">
      <c r="A42" s="106" t="s">
        <v>163</v>
      </c>
      <c r="B42" s="107"/>
      <c r="C42" s="108">
        <v>4</v>
      </c>
      <c r="D42" s="108">
        <v>16</v>
      </c>
      <c r="E42" s="108">
        <v>2</v>
      </c>
      <c r="F42" s="107" t="s">
        <v>152</v>
      </c>
      <c r="G42" s="107" t="s">
        <v>109</v>
      </c>
      <c r="H42" s="107"/>
      <c r="I42" s="107" t="s">
        <v>232</v>
      </c>
      <c r="J42" s="109" t="s">
        <v>159</v>
      </c>
      <c r="K42" s="107" t="s">
        <v>170</v>
      </c>
      <c r="L42" s="109" t="s">
        <v>144</v>
      </c>
      <c r="M42" s="110" t="b">
        <v>1</v>
      </c>
      <c r="N42" s="111"/>
    </row>
    <row r="43" spans="1:14" ht="40" customHeight="1" x14ac:dyDescent="0.2">
      <c r="A43" s="106" t="s">
        <v>163</v>
      </c>
      <c r="B43" s="107"/>
      <c r="C43" s="108">
        <v>5</v>
      </c>
      <c r="D43" s="108">
        <v>1</v>
      </c>
      <c r="E43" s="108">
        <v>1</v>
      </c>
      <c r="F43" s="107" t="s">
        <v>178</v>
      </c>
      <c r="G43" s="107" t="s">
        <v>417</v>
      </c>
      <c r="H43" s="107" t="s">
        <v>418</v>
      </c>
      <c r="I43" s="107" t="s">
        <v>203</v>
      </c>
      <c r="J43" s="109" t="s">
        <v>153</v>
      </c>
      <c r="K43" s="107"/>
      <c r="L43" s="109" t="s">
        <v>154</v>
      </c>
      <c r="M43" s="110" t="b">
        <v>1</v>
      </c>
      <c r="N43" s="111"/>
    </row>
    <row r="44" spans="1:14" ht="40" customHeight="1" x14ac:dyDescent="0.2">
      <c r="A44" s="106" t="s">
        <v>163</v>
      </c>
      <c r="B44" s="107"/>
      <c r="C44" s="108">
        <v>5</v>
      </c>
      <c r="D44" s="108">
        <v>2</v>
      </c>
      <c r="E44" s="108">
        <v>2</v>
      </c>
      <c r="F44" s="107" t="s">
        <v>155</v>
      </c>
      <c r="G44" s="107" t="s">
        <v>426</v>
      </c>
      <c r="H44" s="107"/>
      <c r="I44" s="107"/>
      <c r="J44" s="109" t="s">
        <v>154</v>
      </c>
      <c r="K44" s="107"/>
      <c r="L44" s="109" t="s">
        <v>154</v>
      </c>
      <c r="M44" s="110" t="b">
        <v>1</v>
      </c>
      <c r="N44" s="111"/>
    </row>
    <row r="45" spans="1:14" ht="40" customHeight="1" x14ac:dyDescent="0.2">
      <c r="A45" s="106" t="s">
        <v>163</v>
      </c>
      <c r="B45" s="107"/>
      <c r="C45" s="108">
        <v>5</v>
      </c>
      <c r="D45" s="108">
        <v>3</v>
      </c>
      <c r="E45" s="108">
        <v>2</v>
      </c>
      <c r="F45" s="107" t="s">
        <v>178</v>
      </c>
      <c r="G45" s="107" t="s">
        <v>32</v>
      </c>
      <c r="H45" s="107" t="s">
        <v>368</v>
      </c>
      <c r="I45" s="107"/>
      <c r="J45" s="109" t="s">
        <v>154</v>
      </c>
      <c r="K45" s="107" t="s">
        <v>172</v>
      </c>
      <c r="L45" s="109" t="s">
        <v>144</v>
      </c>
      <c r="M45" s="110" t="b">
        <v>1</v>
      </c>
      <c r="N45" s="111"/>
    </row>
    <row r="46" spans="1:14" ht="40" customHeight="1" x14ac:dyDescent="0.2">
      <c r="A46" s="106" t="s">
        <v>163</v>
      </c>
      <c r="B46" s="107"/>
      <c r="C46" s="108">
        <v>5</v>
      </c>
      <c r="D46" s="108">
        <v>4</v>
      </c>
      <c r="E46" s="108">
        <v>2</v>
      </c>
      <c r="F46" s="107" t="s">
        <v>178</v>
      </c>
      <c r="G46" s="107" t="s">
        <v>103</v>
      </c>
      <c r="H46" s="107" t="s">
        <v>369</v>
      </c>
      <c r="I46" s="107"/>
      <c r="J46" s="109" t="s">
        <v>154</v>
      </c>
      <c r="K46" s="107" t="s">
        <v>166</v>
      </c>
      <c r="L46" s="109" t="s">
        <v>144</v>
      </c>
      <c r="M46" s="110" t="b">
        <v>1</v>
      </c>
      <c r="N46" s="111"/>
    </row>
    <row r="47" spans="1:14" ht="40" customHeight="1" x14ac:dyDescent="0.2">
      <c r="A47" s="106" t="s">
        <v>163</v>
      </c>
      <c r="B47" s="107"/>
      <c r="C47" s="108">
        <v>5</v>
      </c>
      <c r="D47" s="108">
        <v>5</v>
      </c>
      <c r="E47" s="108">
        <v>2</v>
      </c>
      <c r="F47" s="107" t="s">
        <v>155</v>
      </c>
      <c r="G47" s="107" t="s">
        <v>195</v>
      </c>
      <c r="H47" s="107"/>
      <c r="I47" s="107"/>
      <c r="J47" s="109" t="s">
        <v>154</v>
      </c>
      <c r="K47" s="107"/>
      <c r="L47" s="109" t="s">
        <v>154</v>
      </c>
      <c r="M47" s="110" t="b">
        <v>1</v>
      </c>
      <c r="N47" s="111"/>
    </row>
    <row r="48" spans="1:14" ht="40" customHeight="1" x14ac:dyDescent="0.2">
      <c r="A48" s="106" t="s">
        <v>163</v>
      </c>
      <c r="B48" s="107"/>
      <c r="C48" s="108">
        <v>5</v>
      </c>
      <c r="D48" s="108">
        <v>6</v>
      </c>
      <c r="E48" s="108">
        <v>2</v>
      </c>
      <c r="F48" s="107" t="s">
        <v>152</v>
      </c>
      <c r="G48" s="107" t="s">
        <v>103</v>
      </c>
      <c r="H48" s="107"/>
      <c r="I48" s="107" t="s">
        <v>239</v>
      </c>
      <c r="J48" s="109" t="s">
        <v>158</v>
      </c>
      <c r="K48" s="107" t="s">
        <v>166</v>
      </c>
      <c r="L48" s="109" t="s">
        <v>144</v>
      </c>
      <c r="M48" s="110" t="b">
        <v>1</v>
      </c>
      <c r="N48" s="111"/>
    </row>
    <row r="49" spans="1:14" ht="40" customHeight="1" x14ac:dyDescent="0.2">
      <c r="A49" s="106" t="s">
        <v>163</v>
      </c>
      <c r="B49" s="107"/>
      <c r="C49" s="108">
        <v>5</v>
      </c>
      <c r="D49" s="108">
        <v>7</v>
      </c>
      <c r="E49" s="108">
        <v>2</v>
      </c>
      <c r="F49" s="107" t="s">
        <v>152</v>
      </c>
      <c r="G49" s="107" t="s">
        <v>111</v>
      </c>
      <c r="H49" s="107"/>
      <c r="I49" s="107" t="s">
        <v>240</v>
      </c>
      <c r="J49" s="109" t="s">
        <v>158</v>
      </c>
      <c r="K49" s="107" t="s">
        <v>201</v>
      </c>
      <c r="L49" s="109" t="s">
        <v>144</v>
      </c>
      <c r="M49" s="110" t="b">
        <v>1</v>
      </c>
      <c r="N49" s="111"/>
    </row>
    <row r="50" spans="1:14" ht="40" customHeight="1" x14ac:dyDescent="0.2">
      <c r="A50" s="106" t="s">
        <v>163</v>
      </c>
      <c r="B50" s="107"/>
      <c r="C50" s="108">
        <v>5</v>
      </c>
      <c r="D50" s="108">
        <v>8</v>
      </c>
      <c r="E50" s="108">
        <v>2</v>
      </c>
      <c r="F50" s="107" t="s">
        <v>152</v>
      </c>
      <c r="G50" s="107" t="s">
        <v>167</v>
      </c>
      <c r="H50" s="107"/>
      <c r="I50" s="107" t="s">
        <v>241</v>
      </c>
      <c r="J50" s="109" t="s">
        <v>158</v>
      </c>
      <c r="K50" s="107" t="s">
        <v>156</v>
      </c>
      <c r="L50" s="109" t="s">
        <v>144</v>
      </c>
      <c r="M50" s="110" t="b">
        <v>1</v>
      </c>
      <c r="N50" s="111"/>
    </row>
    <row r="51" spans="1:14" ht="40" customHeight="1" x14ac:dyDescent="0.2">
      <c r="A51" s="106" t="s">
        <v>163</v>
      </c>
      <c r="B51" s="107"/>
      <c r="C51" s="108">
        <v>6</v>
      </c>
      <c r="D51" s="108">
        <v>1</v>
      </c>
      <c r="E51" s="108">
        <v>1</v>
      </c>
      <c r="F51" s="107" t="s">
        <v>178</v>
      </c>
      <c r="G51" s="107" t="s">
        <v>419</v>
      </c>
      <c r="H51" s="107" t="s">
        <v>420</v>
      </c>
      <c r="I51" s="107" t="s">
        <v>205</v>
      </c>
      <c r="J51" s="109" t="s">
        <v>153</v>
      </c>
      <c r="K51" s="107"/>
      <c r="L51" s="109" t="s">
        <v>154</v>
      </c>
      <c r="M51" s="110" t="b">
        <v>1</v>
      </c>
      <c r="N51" s="111"/>
    </row>
    <row r="52" spans="1:14" ht="40" customHeight="1" x14ac:dyDescent="0.2">
      <c r="A52" s="106" t="s">
        <v>163</v>
      </c>
      <c r="B52" s="107"/>
      <c r="C52" s="108">
        <v>6</v>
      </c>
      <c r="D52" s="108">
        <v>2</v>
      </c>
      <c r="E52" s="108">
        <v>2</v>
      </c>
      <c r="F52" s="107" t="s">
        <v>155</v>
      </c>
      <c r="G52" s="107" t="s">
        <v>427</v>
      </c>
      <c r="H52" s="107"/>
      <c r="I52" s="107"/>
      <c r="J52" s="109" t="s">
        <v>154</v>
      </c>
      <c r="K52" s="107"/>
      <c r="L52" s="109" t="s">
        <v>154</v>
      </c>
      <c r="M52" s="110" t="b">
        <v>1</v>
      </c>
      <c r="N52" s="111"/>
    </row>
    <row r="53" spans="1:14" ht="40" customHeight="1" x14ac:dyDescent="0.2">
      <c r="A53" s="106" t="s">
        <v>163</v>
      </c>
      <c r="B53" s="107"/>
      <c r="C53" s="108">
        <v>6</v>
      </c>
      <c r="D53" s="108">
        <v>3</v>
      </c>
      <c r="E53" s="108">
        <v>2</v>
      </c>
      <c r="F53" s="107" t="s">
        <v>178</v>
      </c>
      <c r="G53" s="107" t="s">
        <v>112</v>
      </c>
      <c r="H53" s="107" t="s">
        <v>370</v>
      </c>
      <c r="I53" s="107"/>
      <c r="J53" s="109" t="s">
        <v>154</v>
      </c>
      <c r="K53" s="107" t="s">
        <v>162</v>
      </c>
      <c r="L53" s="109" t="s">
        <v>144</v>
      </c>
      <c r="M53" s="110" t="b">
        <v>1</v>
      </c>
      <c r="N53" s="111"/>
    </row>
    <row r="54" spans="1:14" ht="40" customHeight="1" x14ac:dyDescent="0.2">
      <c r="A54" s="106" t="s">
        <v>163</v>
      </c>
      <c r="B54" s="107"/>
      <c r="C54" s="108">
        <v>6</v>
      </c>
      <c r="D54" s="108">
        <v>4</v>
      </c>
      <c r="E54" s="108">
        <v>2</v>
      </c>
      <c r="F54" s="107" t="s">
        <v>178</v>
      </c>
      <c r="G54" s="107" t="s">
        <v>479</v>
      </c>
      <c r="H54" s="107" t="s">
        <v>478</v>
      </c>
      <c r="I54" s="107"/>
      <c r="J54" s="109" t="s">
        <v>154</v>
      </c>
      <c r="K54" s="107"/>
      <c r="L54" s="109" t="s">
        <v>154</v>
      </c>
      <c r="M54" s="110" t="b">
        <v>1</v>
      </c>
      <c r="N54" s="111"/>
    </row>
    <row r="55" spans="1:14" ht="40" customHeight="1" x14ac:dyDescent="0.2">
      <c r="A55" s="106" t="s">
        <v>163</v>
      </c>
      <c r="B55" s="107"/>
      <c r="C55" s="108">
        <v>6</v>
      </c>
      <c r="D55" s="108">
        <v>5</v>
      </c>
      <c r="E55" s="108">
        <v>2</v>
      </c>
      <c r="F55" s="107" t="s">
        <v>155</v>
      </c>
      <c r="G55" s="107" t="s">
        <v>367</v>
      </c>
      <c r="H55" s="107"/>
      <c r="I55" s="107"/>
      <c r="J55" s="109" t="s">
        <v>154</v>
      </c>
      <c r="K55" s="107"/>
      <c r="L55" s="109" t="s">
        <v>154</v>
      </c>
      <c r="M55" s="110" t="b">
        <v>1</v>
      </c>
      <c r="N55" s="111"/>
    </row>
    <row r="56" spans="1:14" ht="40" customHeight="1" x14ac:dyDescent="0.2">
      <c r="A56" s="106" t="s">
        <v>163</v>
      </c>
      <c r="B56" s="107"/>
      <c r="C56" s="108">
        <v>6</v>
      </c>
      <c r="D56" s="108">
        <v>6</v>
      </c>
      <c r="E56" s="108">
        <v>2</v>
      </c>
      <c r="F56" s="107" t="s">
        <v>152</v>
      </c>
      <c r="G56" s="107" t="s">
        <v>112</v>
      </c>
      <c r="H56" s="107" t="s">
        <v>242</v>
      </c>
      <c r="I56" s="107"/>
      <c r="J56" s="109" t="s">
        <v>154</v>
      </c>
      <c r="K56" s="107" t="s">
        <v>162</v>
      </c>
      <c r="L56" s="109" t="s">
        <v>144</v>
      </c>
      <c r="M56" s="110" t="b">
        <v>1</v>
      </c>
      <c r="N56" s="111"/>
    </row>
    <row r="57" spans="1:14" ht="40" customHeight="1" x14ac:dyDescent="0.2">
      <c r="A57" s="106" t="s">
        <v>163</v>
      </c>
      <c r="B57" s="107"/>
      <c r="C57" s="108">
        <v>6</v>
      </c>
      <c r="D57" s="108">
        <v>7</v>
      </c>
      <c r="E57" s="108">
        <v>2</v>
      </c>
      <c r="F57" s="107" t="s">
        <v>155</v>
      </c>
      <c r="G57" s="107" t="s">
        <v>195</v>
      </c>
      <c r="H57" s="107"/>
      <c r="I57" s="107"/>
      <c r="J57" s="109" t="s">
        <v>154</v>
      </c>
      <c r="K57" s="107"/>
      <c r="L57" s="109" t="s">
        <v>154</v>
      </c>
      <c r="M57" s="110" t="b">
        <v>1</v>
      </c>
      <c r="N57" s="111"/>
    </row>
    <row r="58" spans="1:14" ht="40" customHeight="1" x14ac:dyDescent="0.2">
      <c r="A58" s="106" t="s">
        <v>163</v>
      </c>
      <c r="B58" s="107"/>
      <c r="C58" s="108">
        <v>6</v>
      </c>
      <c r="D58" s="108">
        <v>8</v>
      </c>
      <c r="E58" s="108">
        <v>2</v>
      </c>
      <c r="F58" s="107" t="s">
        <v>152</v>
      </c>
      <c r="G58" s="107" t="s">
        <v>103</v>
      </c>
      <c r="H58" s="107"/>
      <c r="I58" s="107" t="s">
        <v>246</v>
      </c>
      <c r="J58" s="109" t="s">
        <v>158</v>
      </c>
      <c r="K58" s="107" t="s">
        <v>166</v>
      </c>
      <c r="L58" s="109" t="s">
        <v>144</v>
      </c>
      <c r="M58" s="110" t="b">
        <v>1</v>
      </c>
      <c r="N58" s="111"/>
    </row>
    <row r="59" spans="1:14" ht="40" customHeight="1" x14ac:dyDescent="0.2">
      <c r="A59" s="106" t="s">
        <v>163</v>
      </c>
      <c r="B59" s="107"/>
      <c r="C59" s="108">
        <v>6</v>
      </c>
      <c r="D59" s="108">
        <v>9</v>
      </c>
      <c r="E59" s="108">
        <v>2</v>
      </c>
      <c r="F59" s="107" t="s">
        <v>152</v>
      </c>
      <c r="G59" s="107" t="s">
        <v>111</v>
      </c>
      <c r="H59" s="107"/>
      <c r="I59" s="107" t="s">
        <v>247</v>
      </c>
      <c r="J59" s="109" t="s">
        <v>158</v>
      </c>
      <c r="K59" s="107" t="s">
        <v>201</v>
      </c>
      <c r="L59" s="109" t="s">
        <v>144</v>
      </c>
      <c r="M59" s="110" t="b">
        <v>1</v>
      </c>
      <c r="N59" s="111"/>
    </row>
    <row r="60" spans="1:14" ht="40" customHeight="1" x14ac:dyDescent="0.2">
      <c r="A60" s="106" t="s">
        <v>163</v>
      </c>
      <c r="B60" s="107"/>
      <c r="C60" s="108">
        <v>6</v>
      </c>
      <c r="D60" s="108">
        <v>10</v>
      </c>
      <c r="E60" s="108">
        <v>2</v>
      </c>
      <c r="F60" s="107" t="s">
        <v>152</v>
      </c>
      <c r="G60" s="107" t="s">
        <v>167</v>
      </c>
      <c r="H60" s="107"/>
      <c r="I60" s="107" t="s">
        <v>248</v>
      </c>
      <c r="J60" s="109" t="s">
        <v>158</v>
      </c>
      <c r="K60" s="107" t="s">
        <v>156</v>
      </c>
      <c r="L60" s="109" t="s">
        <v>144</v>
      </c>
      <c r="M60" s="110" t="b">
        <v>1</v>
      </c>
      <c r="N60" s="111"/>
    </row>
    <row r="61" spans="1:14" ht="40" customHeight="1" x14ac:dyDescent="0.2">
      <c r="A61" s="106" t="s">
        <v>163</v>
      </c>
      <c r="B61" s="107"/>
      <c r="C61" s="108">
        <v>6</v>
      </c>
      <c r="D61" s="108">
        <v>11</v>
      </c>
      <c r="E61" s="108">
        <v>2</v>
      </c>
      <c r="F61" s="107" t="s">
        <v>155</v>
      </c>
      <c r="G61" s="107" t="s">
        <v>200</v>
      </c>
      <c r="H61" s="107"/>
      <c r="I61" s="107"/>
      <c r="J61" s="109" t="s">
        <v>154</v>
      </c>
      <c r="K61" s="107"/>
      <c r="L61" s="109" t="s">
        <v>154</v>
      </c>
      <c r="M61" s="110" t="b">
        <v>1</v>
      </c>
      <c r="N61" s="111"/>
    </row>
    <row r="62" spans="1:14" ht="40" customHeight="1" x14ac:dyDescent="0.2">
      <c r="A62" s="106" t="s">
        <v>163</v>
      </c>
      <c r="B62" s="107"/>
      <c r="C62" s="108">
        <v>6</v>
      </c>
      <c r="D62" s="108">
        <v>12</v>
      </c>
      <c r="E62" s="108">
        <v>2</v>
      </c>
      <c r="F62" s="107" t="s">
        <v>152</v>
      </c>
      <c r="G62" s="107" t="s">
        <v>112</v>
      </c>
      <c r="H62" s="107"/>
      <c r="I62" s="107" t="s">
        <v>249</v>
      </c>
      <c r="J62" s="109" t="s">
        <v>159</v>
      </c>
      <c r="K62" s="107" t="s">
        <v>162</v>
      </c>
      <c r="L62" s="109" t="s">
        <v>144</v>
      </c>
      <c r="M62" s="110" t="b">
        <v>1</v>
      </c>
      <c r="N62" s="111"/>
    </row>
    <row r="63" spans="1:14" ht="40" customHeight="1" x14ac:dyDescent="0.2">
      <c r="A63" s="106" t="s">
        <v>176</v>
      </c>
      <c r="B63" s="107" t="s">
        <v>280</v>
      </c>
      <c r="C63" s="108">
        <v>1</v>
      </c>
      <c r="D63" s="108">
        <v>1</v>
      </c>
      <c r="E63" s="108">
        <v>1</v>
      </c>
      <c r="F63" s="107" t="s">
        <v>155</v>
      </c>
      <c r="G63" s="107" t="s">
        <v>183</v>
      </c>
      <c r="H63" s="107"/>
      <c r="I63" s="107" t="s">
        <v>371</v>
      </c>
      <c r="J63" s="109" t="s">
        <v>153</v>
      </c>
      <c r="K63" s="107"/>
      <c r="L63" s="109" t="s">
        <v>154</v>
      </c>
      <c r="M63" s="110" t="b">
        <v>1</v>
      </c>
      <c r="N63" s="111"/>
    </row>
    <row r="64" spans="1:14" ht="40" customHeight="1" x14ac:dyDescent="0.2">
      <c r="A64" s="106" t="s">
        <v>176</v>
      </c>
      <c r="B64" s="107"/>
      <c r="C64" s="108">
        <v>1</v>
      </c>
      <c r="D64" s="108">
        <v>2</v>
      </c>
      <c r="E64" s="108">
        <v>2</v>
      </c>
      <c r="F64" s="107" t="s">
        <v>178</v>
      </c>
      <c r="G64" s="107" t="s">
        <v>351</v>
      </c>
      <c r="H64" s="107" t="s">
        <v>430</v>
      </c>
      <c r="I64" s="107"/>
      <c r="J64" s="109" t="s">
        <v>154</v>
      </c>
      <c r="K64" s="107"/>
      <c r="L64" s="109" t="s">
        <v>154</v>
      </c>
      <c r="M64" s="110" t="b">
        <v>1</v>
      </c>
      <c r="N64" s="111"/>
    </row>
    <row r="65" spans="1:14" ht="40" customHeight="1" x14ac:dyDescent="0.2">
      <c r="A65" s="106" t="s">
        <v>176</v>
      </c>
      <c r="B65" s="107"/>
      <c r="C65" s="108">
        <v>1</v>
      </c>
      <c r="D65" s="108">
        <v>3</v>
      </c>
      <c r="E65" s="108">
        <v>2</v>
      </c>
      <c r="F65" s="107" t="s">
        <v>178</v>
      </c>
      <c r="G65" s="107" t="s">
        <v>208</v>
      </c>
      <c r="H65" s="107" t="s">
        <v>429</v>
      </c>
      <c r="I65" s="107"/>
      <c r="J65" s="109" t="s">
        <v>154</v>
      </c>
      <c r="K65" s="107"/>
      <c r="L65" s="109" t="s">
        <v>154</v>
      </c>
      <c r="M65" s="110" t="b">
        <v>1</v>
      </c>
      <c r="N65" s="111"/>
    </row>
    <row r="66" spans="1:14" ht="40" customHeight="1" x14ac:dyDescent="0.2">
      <c r="A66" s="106" t="s">
        <v>176</v>
      </c>
      <c r="B66" s="107"/>
      <c r="C66" s="108">
        <v>1</v>
      </c>
      <c r="D66" s="108">
        <v>4</v>
      </c>
      <c r="E66" s="108">
        <v>2</v>
      </c>
      <c r="F66" s="107" t="s">
        <v>178</v>
      </c>
      <c r="G66" s="107" t="s">
        <v>410</v>
      </c>
      <c r="H66" s="107" t="s">
        <v>436</v>
      </c>
      <c r="I66" s="107"/>
      <c r="J66" s="109" t="s">
        <v>154</v>
      </c>
      <c r="K66" s="107"/>
      <c r="L66" s="109" t="s">
        <v>154</v>
      </c>
      <c r="M66" s="110" t="b">
        <v>1</v>
      </c>
      <c r="N66" s="111"/>
    </row>
    <row r="67" spans="1:14" ht="40" customHeight="1" x14ac:dyDescent="0.2">
      <c r="A67" s="106" t="s">
        <v>176</v>
      </c>
      <c r="B67" s="107"/>
      <c r="C67" s="108">
        <v>1</v>
      </c>
      <c r="D67" s="108">
        <v>5</v>
      </c>
      <c r="E67" s="108">
        <v>2</v>
      </c>
      <c r="F67" s="107" t="s">
        <v>155</v>
      </c>
      <c r="G67" s="107" t="s">
        <v>421</v>
      </c>
      <c r="H67" s="107"/>
      <c r="I67" s="107"/>
      <c r="J67" s="109" t="s">
        <v>154</v>
      </c>
      <c r="K67" s="107"/>
      <c r="L67" s="109" t="s">
        <v>154</v>
      </c>
      <c r="M67" s="110" t="b">
        <v>1</v>
      </c>
      <c r="N67" s="111"/>
    </row>
    <row r="68" spans="1:14" ht="40" customHeight="1" x14ac:dyDescent="0.2">
      <c r="A68" s="106" t="s">
        <v>176</v>
      </c>
      <c r="B68" s="107"/>
      <c r="C68" s="108">
        <v>2</v>
      </c>
      <c r="D68" s="108">
        <v>1</v>
      </c>
      <c r="E68" s="108">
        <v>1</v>
      </c>
      <c r="F68" s="107" t="s">
        <v>155</v>
      </c>
      <c r="G68" s="107" t="s">
        <v>30</v>
      </c>
      <c r="H68" s="107"/>
      <c r="I68" s="107" t="s">
        <v>306</v>
      </c>
      <c r="J68" s="109" t="s">
        <v>153</v>
      </c>
      <c r="K68" s="107" t="s">
        <v>164</v>
      </c>
      <c r="L68" s="109" t="s">
        <v>144</v>
      </c>
      <c r="M68" s="110" t="b">
        <v>1</v>
      </c>
      <c r="N68" s="111"/>
    </row>
    <row r="69" spans="1:14" ht="40" customHeight="1" x14ac:dyDescent="0.2">
      <c r="A69" s="106" t="s">
        <v>176</v>
      </c>
      <c r="B69" s="107"/>
      <c r="C69" s="108">
        <v>2</v>
      </c>
      <c r="D69" s="108">
        <v>2</v>
      </c>
      <c r="E69" s="108">
        <v>2</v>
      </c>
      <c r="F69" s="107" t="s">
        <v>178</v>
      </c>
      <c r="G69" s="107" t="s">
        <v>351</v>
      </c>
      <c r="H69" s="107" t="s">
        <v>431</v>
      </c>
      <c r="I69" s="107"/>
      <c r="J69" s="109" t="s">
        <v>154</v>
      </c>
      <c r="K69" s="107"/>
      <c r="L69" s="109" t="s">
        <v>154</v>
      </c>
      <c r="M69" s="110" t="b">
        <v>1</v>
      </c>
      <c r="N69" s="111"/>
    </row>
    <row r="70" spans="1:14" ht="40" customHeight="1" x14ac:dyDescent="0.2">
      <c r="A70" s="106" t="s">
        <v>176</v>
      </c>
      <c r="B70" s="107"/>
      <c r="C70" s="108">
        <v>2</v>
      </c>
      <c r="D70" s="108">
        <v>3</v>
      </c>
      <c r="E70" s="108">
        <v>2</v>
      </c>
      <c r="F70" s="107" t="s">
        <v>178</v>
      </c>
      <c r="G70" s="107" t="s">
        <v>433</v>
      </c>
      <c r="H70" s="107" t="s">
        <v>432</v>
      </c>
      <c r="I70" s="107"/>
      <c r="J70" s="109" t="s">
        <v>154</v>
      </c>
      <c r="K70" s="107"/>
      <c r="L70" s="109" t="s">
        <v>154</v>
      </c>
      <c r="M70" s="110" t="b">
        <v>1</v>
      </c>
      <c r="N70" s="111"/>
    </row>
    <row r="71" spans="1:14" ht="40" customHeight="1" x14ac:dyDescent="0.2">
      <c r="A71" s="106" t="s">
        <v>176</v>
      </c>
      <c r="B71" s="107"/>
      <c r="C71" s="108">
        <v>2</v>
      </c>
      <c r="D71" s="108">
        <v>4</v>
      </c>
      <c r="E71" s="108">
        <v>2</v>
      </c>
      <c r="F71" s="107" t="s">
        <v>155</v>
      </c>
      <c r="G71" s="107" t="s">
        <v>372</v>
      </c>
      <c r="H71" s="107"/>
      <c r="I71" s="107"/>
      <c r="J71" s="109" t="s">
        <v>154</v>
      </c>
      <c r="K71" s="107"/>
      <c r="L71" s="109" t="s">
        <v>154</v>
      </c>
      <c r="M71" s="110" t="b">
        <v>1</v>
      </c>
      <c r="N71" s="111"/>
    </row>
    <row r="72" spans="1:14" ht="40" customHeight="1" x14ac:dyDescent="0.2">
      <c r="A72" s="106" t="s">
        <v>176</v>
      </c>
      <c r="B72" s="107"/>
      <c r="C72" s="108">
        <v>3</v>
      </c>
      <c r="D72" s="108">
        <v>1</v>
      </c>
      <c r="E72" s="108">
        <v>1</v>
      </c>
      <c r="F72" s="107" t="s">
        <v>155</v>
      </c>
      <c r="G72" s="107" t="s">
        <v>31</v>
      </c>
      <c r="H72" s="107"/>
      <c r="I72" s="107" t="s">
        <v>373</v>
      </c>
      <c r="J72" s="109" t="s">
        <v>153</v>
      </c>
      <c r="K72" s="107" t="s">
        <v>173</v>
      </c>
      <c r="L72" s="109" t="s">
        <v>144</v>
      </c>
      <c r="M72" s="110" t="b">
        <v>1</v>
      </c>
      <c r="N72" s="111"/>
    </row>
    <row r="73" spans="1:14" ht="40" customHeight="1" x14ac:dyDescent="0.2">
      <c r="A73" s="106" t="s">
        <v>176</v>
      </c>
      <c r="B73" s="107"/>
      <c r="C73" s="108">
        <v>3</v>
      </c>
      <c r="D73" s="108">
        <v>2</v>
      </c>
      <c r="E73" s="108">
        <v>2</v>
      </c>
      <c r="F73" s="107" t="s">
        <v>178</v>
      </c>
      <c r="G73" s="107" t="s">
        <v>351</v>
      </c>
      <c r="H73" s="107" t="s">
        <v>434</v>
      </c>
      <c r="I73" s="107"/>
      <c r="J73" s="109" t="s">
        <v>154</v>
      </c>
      <c r="K73" s="107"/>
      <c r="L73" s="109" t="s">
        <v>154</v>
      </c>
      <c r="M73" s="110" t="b">
        <v>1</v>
      </c>
      <c r="N73" s="111"/>
    </row>
    <row r="74" spans="1:14" ht="40" customHeight="1" x14ac:dyDescent="0.2">
      <c r="A74" s="106" t="s">
        <v>176</v>
      </c>
      <c r="B74" s="107"/>
      <c r="C74" s="108">
        <v>3</v>
      </c>
      <c r="D74" s="108">
        <v>3</v>
      </c>
      <c r="E74" s="108">
        <v>2</v>
      </c>
      <c r="F74" s="107" t="s">
        <v>178</v>
      </c>
      <c r="G74" s="107" t="s">
        <v>433</v>
      </c>
      <c r="H74" s="107" t="s">
        <v>432</v>
      </c>
      <c r="I74" s="107"/>
      <c r="J74" s="109" t="s">
        <v>154</v>
      </c>
      <c r="K74" s="107"/>
      <c r="L74" s="109" t="s">
        <v>154</v>
      </c>
      <c r="M74" s="110" t="b">
        <v>1</v>
      </c>
      <c r="N74" s="111"/>
    </row>
    <row r="75" spans="1:14" ht="40" customHeight="1" x14ac:dyDescent="0.2">
      <c r="A75" s="106" t="s">
        <v>176</v>
      </c>
      <c r="B75" s="107"/>
      <c r="C75" s="108">
        <v>3</v>
      </c>
      <c r="D75" s="108">
        <v>4</v>
      </c>
      <c r="E75" s="108">
        <v>2</v>
      </c>
      <c r="F75" s="107" t="s">
        <v>155</v>
      </c>
      <c r="G75" s="107" t="s">
        <v>422</v>
      </c>
      <c r="H75" s="107"/>
      <c r="I75" s="107"/>
      <c r="J75" s="109" t="s">
        <v>154</v>
      </c>
      <c r="K75" s="107"/>
      <c r="L75" s="109" t="s">
        <v>154</v>
      </c>
      <c r="M75" s="110" t="b">
        <v>1</v>
      </c>
      <c r="N75" s="111"/>
    </row>
    <row r="76" spans="1:14" ht="40" customHeight="1" x14ac:dyDescent="0.2">
      <c r="A76" s="106" t="s">
        <v>176</v>
      </c>
      <c r="B76" s="107"/>
      <c r="C76" s="108">
        <v>4</v>
      </c>
      <c r="D76" s="108">
        <v>1</v>
      </c>
      <c r="E76" s="108">
        <v>1</v>
      </c>
      <c r="F76" s="107" t="s">
        <v>155</v>
      </c>
      <c r="G76" s="107" t="s">
        <v>32</v>
      </c>
      <c r="H76" s="107"/>
      <c r="I76" s="107" t="s">
        <v>374</v>
      </c>
      <c r="J76" s="109" t="s">
        <v>153</v>
      </c>
      <c r="K76" s="107" t="s">
        <v>172</v>
      </c>
      <c r="L76" s="109" t="s">
        <v>144</v>
      </c>
      <c r="M76" s="110" t="b">
        <v>1</v>
      </c>
      <c r="N76" s="111"/>
    </row>
    <row r="77" spans="1:14" ht="40" customHeight="1" x14ac:dyDescent="0.2">
      <c r="A77" s="106" t="s">
        <v>176</v>
      </c>
      <c r="B77" s="107"/>
      <c r="C77" s="108">
        <v>4</v>
      </c>
      <c r="D77" s="108">
        <v>2</v>
      </c>
      <c r="E77" s="108">
        <v>2</v>
      </c>
      <c r="F77" s="107" t="s">
        <v>178</v>
      </c>
      <c r="G77" s="107" t="s">
        <v>351</v>
      </c>
      <c r="H77" s="107" t="s">
        <v>435</v>
      </c>
      <c r="I77" s="107"/>
      <c r="J77" s="109" t="s">
        <v>154</v>
      </c>
      <c r="K77" s="107"/>
      <c r="L77" s="109" t="s">
        <v>154</v>
      </c>
      <c r="M77" s="110" t="b">
        <v>1</v>
      </c>
      <c r="N77" s="111"/>
    </row>
    <row r="78" spans="1:14" ht="40" customHeight="1" x14ac:dyDescent="0.2">
      <c r="A78" s="106" t="s">
        <v>176</v>
      </c>
      <c r="B78" s="107"/>
      <c r="C78" s="108">
        <v>4</v>
      </c>
      <c r="D78" s="108">
        <v>3</v>
      </c>
      <c r="E78" s="108">
        <v>2</v>
      </c>
      <c r="F78" s="107" t="s">
        <v>178</v>
      </c>
      <c r="G78" s="107" t="s">
        <v>433</v>
      </c>
      <c r="H78" s="107" t="s">
        <v>437</v>
      </c>
      <c r="I78" s="107"/>
      <c r="J78" s="109" t="s">
        <v>154</v>
      </c>
      <c r="K78" s="107"/>
      <c r="L78" s="109" t="s">
        <v>154</v>
      </c>
      <c r="M78" s="110" t="b">
        <v>1</v>
      </c>
      <c r="N78" s="111"/>
    </row>
    <row r="79" spans="1:14" ht="40" customHeight="1" x14ac:dyDescent="0.2">
      <c r="A79" s="106" t="s">
        <v>176</v>
      </c>
      <c r="B79" s="107"/>
      <c r="C79" s="108">
        <v>4</v>
      </c>
      <c r="D79" s="108">
        <v>4</v>
      </c>
      <c r="E79" s="108">
        <v>2</v>
      </c>
      <c r="F79" s="107" t="s">
        <v>155</v>
      </c>
      <c r="G79" s="107" t="s">
        <v>375</v>
      </c>
      <c r="H79" s="107"/>
      <c r="I79" s="107"/>
      <c r="J79" s="109" t="s">
        <v>154</v>
      </c>
      <c r="K79" s="107"/>
      <c r="L79" s="109" t="s">
        <v>154</v>
      </c>
      <c r="M79" s="110" t="b">
        <v>1</v>
      </c>
      <c r="N79" s="111"/>
    </row>
    <row r="80" spans="1:14" ht="40" customHeight="1" x14ac:dyDescent="0.2">
      <c r="A80" s="106" t="s">
        <v>164</v>
      </c>
      <c r="B80" s="107" t="s">
        <v>281</v>
      </c>
      <c r="C80" s="108">
        <v>1</v>
      </c>
      <c r="D80" s="108">
        <v>1</v>
      </c>
      <c r="E80" s="108">
        <v>1</v>
      </c>
      <c r="F80" s="107" t="s">
        <v>155</v>
      </c>
      <c r="G80" s="107" t="s">
        <v>183</v>
      </c>
      <c r="H80" s="107"/>
      <c r="I80" s="107" t="s">
        <v>306</v>
      </c>
      <c r="J80" s="109" t="s">
        <v>153</v>
      </c>
      <c r="K80" s="107"/>
      <c r="L80" s="109" t="s">
        <v>154</v>
      </c>
      <c r="M80" s="110" t="b">
        <v>1</v>
      </c>
      <c r="N80" s="111"/>
    </row>
    <row r="81" spans="1:14" ht="40" customHeight="1" x14ac:dyDescent="0.2">
      <c r="A81" s="106" t="s">
        <v>164</v>
      </c>
      <c r="B81" s="107"/>
      <c r="C81" s="108">
        <v>1</v>
      </c>
      <c r="D81" s="108">
        <v>2</v>
      </c>
      <c r="E81" s="108">
        <v>2</v>
      </c>
      <c r="F81" s="107" t="s">
        <v>178</v>
      </c>
      <c r="G81" s="107" t="s">
        <v>351</v>
      </c>
      <c r="H81" s="107" t="s">
        <v>438</v>
      </c>
      <c r="I81" s="107"/>
      <c r="J81" s="109" t="s">
        <v>154</v>
      </c>
      <c r="K81" s="107"/>
      <c r="L81" s="109" t="s">
        <v>154</v>
      </c>
      <c r="M81" s="110" t="b">
        <v>1</v>
      </c>
      <c r="N81" s="111"/>
    </row>
    <row r="82" spans="1:14" ht="40" customHeight="1" x14ac:dyDescent="0.2">
      <c r="A82" s="106" t="s">
        <v>164</v>
      </c>
      <c r="B82" s="107"/>
      <c r="C82" s="108">
        <v>1</v>
      </c>
      <c r="D82" s="108">
        <v>3</v>
      </c>
      <c r="E82" s="108">
        <v>2</v>
      </c>
      <c r="F82" s="107" t="s">
        <v>178</v>
      </c>
      <c r="G82" s="107" t="s">
        <v>208</v>
      </c>
      <c r="H82" s="107" t="s">
        <v>439</v>
      </c>
      <c r="I82" s="107"/>
      <c r="J82" s="109" t="s">
        <v>154</v>
      </c>
      <c r="K82" s="107"/>
      <c r="L82" s="109" t="s">
        <v>154</v>
      </c>
      <c r="M82" s="110" t="b">
        <v>1</v>
      </c>
      <c r="N82" s="111"/>
    </row>
    <row r="83" spans="1:14" ht="40" customHeight="1" x14ac:dyDescent="0.2">
      <c r="A83" s="106" t="s">
        <v>164</v>
      </c>
      <c r="B83" s="107"/>
      <c r="C83" s="108">
        <v>1</v>
      </c>
      <c r="D83" s="108">
        <v>4</v>
      </c>
      <c r="E83" s="108">
        <v>2</v>
      </c>
      <c r="F83" s="107" t="s">
        <v>178</v>
      </c>
      <c r="G83" s="107" t="s">
        <v>433</v>
      </c>
      <c r="H83" s="107" t="s">
        <v>432</v>
      </c>
      <c r="I83" s="107"/>
      <c r="J83" s="109" t="s">
        <v>154</v>
      </c>
      <c r="K83" s="107"/>
      <c r="L83" s="109" t="s">
        <v>154</v>
      </c>
      <c r="M83" s="110" t="b">
        <v>1</v>
      </c>
      <c r="N83" s="111"/>
    </row>
    <row r="84" spans="1:14" ht="40" customHeight="1" x14ac:dyDescent="0.2">
      <c r="A84" s="106" t="s">
        <v>164</v>
      </c>
      <c r="B84" s="107"/>
      <c r="C84" s="108">
        <v>1</v>
      </c>
      <c r="D84" s="108">
        <v>5</v>
      </c>
      <c r="E84" s="108">
        <v>2</v>
      </c>
      <c r="F84" s="107" t="s">
        <v>155</v>
      </c>
      <c r="G84" s="107" t="s">
        <v>376</v>
      </c>
      <c r="H84" s="107"/>
      <c r="I84" s="107"/>
      <c r="J84" s="109" t="s">
        <v>154</v>
      </c>
      <c r="K84" s="107"/>
      <c r="L84" s="109" t="s">
        <v>154</v>
      </c>
      <c r="M84" s="110" t="b">
        <v>1</v>
      </c>
      <c r="N84" s="111"/>
    </row>
    <row r="85" spans="1:14" ht="40" customHeight="1" x14ac:dyDescent="0.2">
      <c r="A85" s="106" t="s">
        <v>164</v>
      </c>
      <c r="B85" s="107"/>
      <c r="C85" s="108">
        <v>2</v>
      </c>
      <c r="D85" s="108">
        <v>1</v>
      </c>
      <c r="E85" s="108">
        <v>1</v>
      </c>
      <c r="F85" s="107" t="s">
        <v>155</v>
      </c>
      <c r="G85" s="107" t="s">
        <v>36</v>
      </c>
      <c r="H85" s="107"/>
      <c r="I85" s="107" t="s">
        <v>260</v>
      </c>
      <c r="J85" s="109" t="s">
        <v>153</v>
      </c>
      <c r="K85" s="107" t="s">
        <v>156</v>
      </c>
      <c r="L85" s="109" t="s">
        <v>144</v>
      </c>
      <c r="M85" s="110" t="b">
        <v>1</v>
      </c>
      <c r="N85" s="111"/>
    </row>
    <row r="86" spans="1:14" ht="40" customHeight="1" x14ac:dyDescent="0.2">
      <c r="A86" s="106" t="s">
        <v>164</v>
      </c>
      <c r="B86" s="107"/>
      <c r="C86" s="108">
        <v>2</v>
      </c>
      <c r="D86" s="108">
        <v>2</v>
      </c>
      <c r="E86" s="108">
        <v>2</v>
      </c>
      <c r="F86" s="107" t="s">
        <v>178</v>
      </c>
      <c r="G86" s="107" t="s">
        <v>351</v>
      </c>
      <c r="H86" s="107" t="s">
        <v>440</v>
      </c>
      <c r="I86" s="107"/>
      <c r="J86" s="109" t="s">
        <v>154</v>
      </c>
      <c r="K86" s="107"/>
      <c r="L86" s="109" t="s">
        <v>154</v>
      </c>
      <c r="M86" s="110" t="b">
        <v>1</v>
      </c>
      <c r="N86" s="111"/>
    </row>
    <row r="87" spans="1:14" ht="40" customHeight="1" x14ac:dyDescent="0.2">
      <c r="A87" s="106" t="s">
        <v>164</v>
      </c>
      <c r="B87" s="107"/>
      <c r="C87" s="108">
        <v>2</v>
      </c>
      <c r="D87" s="108">
        <v>3</v>
      </c>
      <c r="E87" s="108">
        <v>2</v>
      </c>
      <c r="F87" s="107" t="s">
        <v>178</v>
      </c>
      <c r="G87" s="107" t="s">
        <v>433</v>
      </c>
      <c r="H87" s="107" t="s">
        <v>432</v>
      </c>
      <c r="I87" s="107"/>
      <c r="J87" s="109" t="s">
        <v>154</v>
      </c>
      <c r="K87" s="107"/>
      <c r="L87" s="109" t="s">
        <v>154</v>
      </c>
      <c r="M87" s="110" t="b">
        <v>1</v>
      </c>
      <c r="N87" s="111"/>
    </row>
    <row r="88" spans="1:14" ht="40" customHeight="1" x14ac:dyDescent="0.2">
      <c r="A88" s="106" t="s">
        <v>164</v>
      </c>
      <c r="B88" s="107"/>
      <c r="C88" s="108">
        <v>2</v>
      </c>
      <c r="D88" s="108">
        <v>4</v>
      </c>
      <c r="E88" s="108">
        <v>2</v>
      </c>
      <c r="F88" s="107" t="s">
        <v>155</v>
      </c>
      <c r="G88" s="107" t="s">
        <v>377</v>
      </c>
      <c r="H88" s="107"/>
      <c r="I88" s="107"/>
      <c r="J88" s="109" t="s">
        <v>154</v>
      </c>
      <c r="K88" s="107"/>
      <c r="L88" s="109" t="s">
        <v>154</v>
      </c>
      <c r="M88" s="110" t="b">
        <v>1</v>
      </c>
      <c r="N88" s="111"/>
    </row>
    <row r="89" spans="1:14" ht="40" customHeight="1" x14ac:dyDescent="0.2">
      <c r="A89" s="106" t="s">
        <v>164</v>
      </c>
      <c r="B89" s="107"/>
      <c r="C89" s="108">
        <v>3</v>
      </c>
      <c r="D89" s="108">
        <v>1</v>
      </c>
      <c r="E89" s="108">
        <v>1</v>
      </c>
      <c r="F89" s="107" t="s">
        <v>155</v>
      </c>
      <c r="G89" s="107" t="s">
        <v>37</v>
      </c>
      <c r="H89" s="107"/>
      <c r="I89" s="107" t="s">
        <v>174</v>
      </c>
      <c r="J89" s="109" t="s">
        <v>153</v>
      </c>
      <c r="K89" s="107" t="s">
        <v>157</v>
      </c>
      <c r="L89" s="109" t="s">
        <v>144</v>
      </c>
      <c r="M89" s="110" t="b">
        <v>1</v>
      </c>
      <c r="N89" s="111"/>
    </row>
    <row r="90" spans="1:14" ht="40" customHeight="1" x14ac:dyDescent="0.2">
      <c r="A90" s="106" t="s">
        <v>164</v>
      </c>
      <c r="B90" s="107"/>
      <c r="C90" s="108">
        <v>3</v>
      </c>
      <c r="D90" s="108">
        <v>2</v>
      </c>
      <c r="E90" s="108">
        <v>2</v>
      </c>
      <c r="F90" s="107" t="s">
        <v>178</v>
      </c>
      <c r="G90" s="107" t="s">
        <v>351</v>
      </c>
      <c r="H90" s="107" t="s">
        <v>441</v>
      </c>
      <c r="I90" s="107"/>
      <c r="J90" s="109" t="s">
        <v>154</v>
      </c>
      <c r="K90" s="107"/>
      <c r="L90" s="109" t="s">
        <v>154</v>
      </c>
      <c r="M90" s="110" t="b">
        <v>1</v>
      </c>
      <c r="N90" s="111"/>
    </row>
    <row r="91" spans="1:14" ht="40" customHeight="1" x14ac:dyDescent="0.2">
      <c r="A91" s="106" t="s">
        <v>164</v>
      </c>
      <c r="B91" s="107"/>
      <c r="C91" s="108">
        <v>3</v>
      </c>
      <c r="D91" s="108">
        <v>3</v>
      </c>
      <c r="E91" s="108">
        <v>2</v>
      </c>
      <c r="F91" s="107" t="s">
        <v>178</v>
      </c>
      <c r="G91" s="107" t="s">
        <v>433</v>
      </c>
      <c r="H91" s="107" t="s">
        <v>432</v>
      </c>
      <c r="I91" s="107"/>
      <c r="J91" s="109" t="s">
        <v>154</v>
      </c>
      <c r="K91" s="107"/>
      <c r="L91" s="109" t="s">
        <v>154</v>
      </c>
      <c r="M91" s="110" t="b">
        <v>1</v>
      </c>
      <c r="N91" s="111"/>
    </row>
    <row r="92" spans="1:14" ht="40" customHeight="1" x14ac:dyDescent="0.2">
      <c r="A92" s="106" t="s">
        <v>164</v>
      </c>
      <c r="B92" s="107"/>
      <c r="C92" s="108">
        <v>3</v>
      </c>
      <c r="D92" s="108">
        <v>4</v>
      </c>
      <c r="E92" s="108">
        <v>2</v>
      </c>
      <c r="F92" s="107" t="s">
        <v>155</v>
      </c>
      <c r="G92" s="107" t="s">
        <v>378</v>
      </c>
      <c r="H92" s="107"/>
      <c r="I92" s="107"/>
      <c r="J92" s="109" t="s">
        <v>154</v>
      </c>
      <c r="K92" s="107"/>
      <c r="L92" s="109" t="s">
        <v>154</v>
      </c>
      <c r="M92" s="110" t="b">
        <v>1</v>
      </c>
      <c r="N92" s="111"/>
    </row>
    <row r="93" spans="1:14" ht="40" customHeight="1" x14ac:dyDescent="0.2">
      <c r="A93" s="106" t="s">
        <v>173</v>
      </c>
      <c r="B93" s="107" t="s">
        <v>282</v>
      </c>
      <c r="C93" s="108">
        <v>1</v>
      </c>
      <c r="D93" s="108">
        <v>1</v>
      </c>
      <c r="E93" s="108">
        <v>1</v>
      </c>
      <c r="F93" s="107" t="s">
        <v>155</v>
      </c>
      <c r="G93" s="107" t="s">
        <v>183</v>
      </c>
      <c r="H93" s="107"/>
      <c r="I93" s="107" t="s">
        <v>373</v>
      </c>
      <c r="J93" s="109" t="s">
        <v>153</v>
      </c>
      <c r="K93" s="107"/>
      <c r="L93" s="109" t="s">
        <v>154</v>
      </c>
      <c r="M93" s="110" t="b">
        <v>1</v>
      </c>
      <c r="N93" s="111"/>
    </row>
    <row r="94" spans="1:14" ht="40" customHeight="1" x14ac:dyDescent="0.2">
      <c r="A94" s="106" t="s">
        <v>173</v>
      </c>
      <c r="B94" s="107"/>
      <c r="C94" s="108">
        <v>1</v>
      </c>
      <c r="D94" s="108">
        <v>2</v>
      </c>
      <c r="E94" s="108">
        <v>2</v>
      </c>
      <c r="F94" s="107" t="s">
        <v>178</v>
      </c>
      <c r="G94" s="107" t="s">
        <v>351</v>
      </c>
      <c r="H94" s="107" t="s">
        <v>442</v>
      </c>
      <c r="I94" s="107"/>
      <c r="J94" s="109" t="s">
        <v>154</v>
      </c>
      <c r="K94" s="107"/>
      <c r="L94" s="109" t="s">
        <v>154</v>
      </c>
      <c r="M94" s="110" t="b">
        <v>1</v>
      </c>
      <c r="N94" s="111"/>
    </row>
    <row r="95" spans="1:14" ht="40" customHeight="1" x14ac:dyDescent="0.2">
      <c r="A95" s="106" t="s">
        <v>173</v>
      </c>
      <c r="B95" s="107"/>
      <c r="C95" s="108">
        <v>1</v>
      </c>
      <c r="D95" s="108">
        <v>3</v>
      </c>
      <c r="E95" s="108">
        <v>2</v>
      </c>
      <c r="F95" s="107" t="s">
        <v>178</v>
      </c>
      <c r="G95" s="107" t="s">
        <v>208</v>
      </c>
      <c r="H95" s="107" t="s">
        <v>443</v>
      </c>
      <c r="I95" s="107"/>
      <c r="J95" s="109" t="s">
        <v>154</v>
      </c>
      <c r="K95" s="107"/>
      <c r="L95" s="109" t="s">
        <v>154</v>
      </c>
      <c r="M95" s="110" t="b">
        <v>1</v>
      </c>
      <c r="N95" s="111"/>
    </row>
    <row r="96" spans="1:14" ht="40" customHeight="1" x14ac:dyDescent="0.2">
      <c r="A96" s="106" t="s">
        <v>173</v>
      </c>
      <c r="B96" s="107"/>
      <c r="C96" s="108">
        <v>1</v>
      </c>
      <c r="D96" s="108">
        <v>4</v>
      </c>
      <c r="E96" s="108">
        <v>2</v>
      </c>
      <c r="F96" s="107" t="s">
        <v>178</v>
      </c>
      <c r="G96" s="107" t="s">
        <v>433</v>
      </c>
      <c r="H96" s="107" t="s">
        <v>432</v>
      </c>
      <c r="I96" s="107"/>
      <c r="J96" s="109" t="s">
        <v>154</v>
      </c>
      <c r="K96" s="107"/>
      <c r="L96" s="109" t="s">
        <v>154</v>
      </c>
      <c r="M96" s="110" t="b">
        <v>1</v>
      </c>
      <c r="N96" s="111"/>
    </row>
    <row r="97" spans="1:14" ht="40" customHeight="1" x14ac:dyDescent="0.2">
      <c r="A97" s="106" t="s">
        <v>173</v>
      </c>
      <c r="B97" s="107"/>
      <c r="C97" s="108">
        <v>1</v>
      </c>
      <c r="D97" s="108">
        <v>5</v>
      </c>
      <c r="E97" s="108">
        <v>2</v>
      </c>
      <c r="F97" s="107" t="s">
        <v>155</v>
      </c>
      <c r="G97" s="107" t="s">
        <v>423</v>
      </c>
      <c r="H97" s="107"/>
      <c r="I97" s="107"/>
      <c r="J97" s="109" t="s">
        <v>154</v>
      </c>
      <c r="K97" s="107"/>
      <c r="L97" s="109" t="s">
        <v>154</v>
      </c>
      <c r="M97" s="110" t="b">
        <v>1</v>
      </c>
      <c r="N97" s="111"/>
    </row>
    <row r="98" spans="1:14" ht="40" customHeight="1" x14ac:dyDescent="0.2">
      <c r="A98" s="106" t="s">
        <v>173</v>
      </c>
      <c r="B98" s="107"/>
      <c r="C98" s="108">
        <v>2</v>
      </c>
      <c r="D98" s="108">
        <v>1</v>
      </c>
      <c r="E98" s="108">
        <v>1</v>
      </c>
      <c r="F98" s="107" t="s">
        <v>155</v>
      </c>
      <c r="G98" s="107" t="s">
        <v>39</v>
      </c>
      <c r="H98" s="107"/>
      <c r="I98" s="107" t="s">
        <v>263</v>
      </c>
      <c r="J98" s="109" t="s">
        <v>153</v>
      </c>
      <c r="K98" s="107" t="s">
        <v>175</v>
      </c>
      <c r="L98" s="109" t="s">
        <v>144</v>
      </c>
      <c r="M98" s="110" t="b">
        <v>1</v>
      </c>
      <c r="N98" s="111"/>
    </row>
    <row r="99" spans="1:14" ht="40" customHeight="1" x14ac:dyDescent="0.2">
      <c r="A99" s="106" t="s">
        <v>173</v>
      </c>
      <c r="B99" s="107"/>
      <c r="C99" s="108">
        <v>2</v>
      </c>
      <c r="D99" s="108">
        <v>2</v>
      </c>
      <c r="E99" s="108">
        <v>2</v>
      </c>
      <c r="F99" s="107" t="s">
        <v>178</v>
      </c>
      <c r="G99" s="107" t="s">
        <v>351</v>
      </c>
      <c r="H99" s="107" t="s">
        <v>444</v>
      </c>
      <c r="I99" s="107"/>
      <c r="J99" s="109" t="s">
        <v>154</v>
      </c>
      <c r="K99" s="107"/>
      <c r="L99" s="109" t="s">
        <v>154</v>
      </c>
      <c r="M99" s="110" t="b">
        <v>1</v>
      </c>
      <c r="N99" s="111"/>
    </row>
    <row r="100" spans="1:14" ht="40" customHeight="1" x14ac:dyDescent="0.2">
      <c r="A100" s="106" t="s">
        <v>173</v>
      </c>
      <c r="B100" s="107"/>
      <c r="C100" s="108">
        <v>2</v>
      </c>
      <c r="D100" s="108">
        <v>3</v>
      </c>
      <c r="E100" s="108">
        <v>2</v>
      </c>
      <c r="F100" s="107" t="s">
        <v>178</v>
      </c>
      <c r="G100" s="107" t="s">
        <v>433</v>
      </c>
      <c r="H100" s="107" t="s">
        <v>432</v>
      </c>
      <c r="I100" s="107"/>
      <c r="J100" s="109" t="s">
        <v>154</v>
      </c>
      <c r="K100" s="107"/>
      <c r="L100" s="109" t="s">
        <v>154</v>
      </c>
      <c r="M100" s="110" t="b">
        <v>1</v>
      </c>
      <c r="N100" s="111"/>
    </row>
    <row r="101" spans="1:14" ht="40" customHeight="1" x14ac:dyDescent="0.2">
      <c r="A101" s="106" t="s">
        <v>173</v>
      </c>
      <c r="B101" s="107"/>
      <c r="C101" s="108">
        <v>2</v>
      </c>
      <c r="D101" s="108">
        <v>4</v>
      </c>
      <c r="E101" s="108">
        <v>2</v>
      </c>
      <c r="F101" s="107" t="s">
        <v>155</v>
      </c>
      <c r="G101" s="107" t="s">
        <v>379</v>
      </c>
      <c r="H101" s="107"/>
      <c r="I101" s="107"/>
      <c r="J101" s="109" t="s">
        <v>154</v>
      </c>
      <c r="K101" s="107"/>
      <c r="L101" s="109" t="s">
        <v>154</v>
      </c>
      <c r="M101" s="110" t="b">
        <v>1</v>
      </c>
      <c r="N101" s="111"/>
    </row>
    <row r="102" spans="1:14" ht="40" customHeight="1" x14ac:dyDescent="0.2">
      <c r="A102" s="106" t="s">
        <v>173</v>
      </c>
      <c r="B102" s="107"/>
      <c r="C102" s="108">
        <v>3</v>
      </c>
      <c r="D102" s="108">
        <v>1</v>
      </c>
      <c r="E102" s="108">
        <v>1</v>
      </c>
      <c r="F102" s="107" t="s">
        <v>155</v>
      </c>
      <c r="G102" s="107" t="s">
        <v>44</v>
      </c>
      <c r="H102" s="107"/>
      <c r="I102" s="107" t="s">
        <v>262</v>
      </c>
      <c r="J102" s="109" t="s">
        <v>153</v>
      </c>
      <c r="K102" s="107" t="s">
        <v>166</v>
      </c>
      <c r="L102" s="109" t="s">
        <v>144</v>
      </c>
      <c r="M102" s="110" t="b">
        <v>1</v>
      </c>
      <c r="N102" s="111"/>
    </row>
    <row r="103" spans="1:14" ht="40" customHeight="1" x14ac:dyDescent="0.2">
      <c r="A103" s="106" t="s">
        <v>173</v>
      </c>
      <c r="B103" s="107"/>
      <c r="C103" s="108">
        <v>3</v>
      </c>
      <c r="D103" s="108">
        <v>2</v>
      </c>
      <c r="E103" s="108">
        <v>2</v>
      </c>
      <c r="F103" s="107" t="s">
        <v>178</v>
      </c>
      <c r="G103" s="107" t="s">
        <v>351</v>
      </c>
      <c r="H103" s="107" t="s">
        <v>445</v>
      </c>
      <c r="I103" s="107"/>
      <c r="J103" s="109" t="s">
        <v>154</v>
      </c>
      <c r="K103" s="107"/>
      <c r="L103" s="109" t="s">
        <v>154</v>
      </c>
      <c r="M103" s="110" t="b">
        <v>1</v>
      </c>
      <c r="N103" s="111"/>
    </row>
    <row r="104" spans="1:14" ht="40" customHeight="1" x14ac:dyDescent="0.2">
      <c r="A104" s="106" t="s">
        <v>173</v>
      </c>
      <c r="B104" s="107"/>
      <c r="C104" s="108">
        <v>3</v>
      </c>
      <c r="D104" s="108">
        <v>3</v>
      </c>
      <c r="E104" s="108">
        <v>2</v>
      </c>
      <c r="F104" s="107" t="s">
        <v>178</v>
      </c>
      <c r="G104" s="107" t="s">
        <v>433</v>
      </c>
      <c r="H104" s="107" t="s">
        <v>432</v>
      </c>
      <c r="I104" s="107"/>
      <c r="J104" s="109" t="s">
        <v>154</v>
      </c>
      <c r="K104" s="107"/>
      <c r="L104" s="109" t="s">
        <v>154</v>
      </c>
      <c r="M104" s="110" t="b">
        <v>1</v>
      </c>
      <c r="N104" s="111"/>
    </row>
    <row r="105" spans="1:14" ht="40" customHeight="1" x14ac:dyDescent="0.2">
      <c r="A105" s="106" t="s">
        <v>173</v>
      </c>
      <c r="B105" s="107"/>
      <c r="C105" s="108">
        <v>3</v>
      </c>
      <c r="D105" s="108">
        <v>4</v>
      </c>
      <c r="E105" s="108">
        <v>2</v>
      </c>
      <c r="F105" s="107" t="s">
        <v>155</v>
      </c>
      <c r="G105" s="107" t="s">
        <v>380</v>
      </c>
      <c r="H105" s="107"/>
      <c r="I105" s="107"/>
      <c r="J105" s="109" t="s">
        <v>154</v>
      </c>
      <c r="K105" s="107"/>
      <c r="L105" s="109" t="s">
        <v>154</v>
      </c>
      <c r="M105" s="110" t="b">
        <v>1</v>
      </c>
      <c r="N105" s="111"/>
    </row>
    <row r="106" spans="1:14" ht="40" customHeight="1" x14ac:dyDescent="0.2">
      <c r="A106" s="106" t="s">
        <v>172</v>
      </c>
      <c r="B106" s="107" t="s">
        <v>283</v>
      </c>
      <c r="C106" s="108">
        <v>1</v>
      </c>
      <c r="D106" s="108">
        <v>1</v>
      </c>
      <c r="E106" s="108">
        <v>1</v>
      </c>
      <c r="F106" s="107" t="s">
        <v>155</v>
      </c>
      <c r="G106" s="107" t="s">
        <v>183</v>
      </c>
      <c r="H106" s="107"/>
      <c r="I106" s="107" t="s">
        <v>374</v>
      </c>
      <c r="J106" s="109" t="s">
        <v>153</v>
      </c>
      <c r="K106" s="107"/>
      <c r="L106" s="109" t="s">
        <v>154</v>
      </c>
      <c r="M106" s="110" t="b">
        <v>1</v>
      </c>
      <c r="N106" s="111"/>
    </row>
    <row r="107" spans="1:14" ht="40" customHeight="1" x14ac:dyDescent="0.2">
      <c r="A107" s="106" t="s">
        <v>172</v>
      </c>
      <c r="B107" s="107"/>
      <c r="C107" s="108">
        <v>1</v>
      </c>
      <c r="D107" s="108">
        <v>2</v>
      </c>
      <c r="E107" s="108">
        <v>2</v>
      </c>
      <c r="F107" s="107" t="s">
        <v>178</v>
      </c>
      <c r="G107" s="107" t="s">
        <v>351</v>
      </c>
      <c r="H107" s="107" t="s">
        <v>446</v>
      </c>
      <c r="I107" s="107"/>
      <c r="J107" s="109" t="s">
        <v>154</v>
      </c>
      <c r="K107" s="107"/>
      <c r="L107" s="109" t="s">
        <v>154</v>
      </c>
      <c r="M107" s="110" t="b">
        <v>1</v>
      </c>
      <c r="N107" s="111"/>
    </row>
    <row r="108" spans="1:14" ht="40" customHeight="1" x14ac:dyDescent="0.2">
      <c r="A108" s="106" t="s">
        <v>172</v>
      </c>
      <c r="B108" s="107"/>
      <c r="C108" s="108">
        <v>1</v>
      </c>
      <c r="D108" s="108">
        <v>3</v>
      </c>
      <c r="E108" s="108">
        <v>2</v>
      </c>
      <c r="F108" s="107" t="s">
        <v>178</v>
      </c>
      <c r="G108" s="107" t="s">
        <v>208</v>
      </c>
      <c r="H108" s="107" t="s">
        <v>447</v>
      </c>
      <c r="I108" s="107"/>
      <c r="J108" s="109" t="s">
        <v>154</v>
      </c>
      <c r="K108" s="107"/>
      <c r="L108" s="109" t="s">
        <v>154</v>
      </c>
      <c r="M108" s="110" t="b">
        <v>1</v>
      </c>
      <c r="N108" s="111"/>
    </row>
    <row r="109" spans="1:14" ht="40" customHeight="1" x14ac:dyDescent="0.2">
      <c r="A109" s="106" t="s">
        <v>172</v>
      </c>
      <c r="B109" s="107"/>
      <c r="C109" s="108">
        <v>1</v>
      </c>
      <c r="D109" s="108">
        <v>4</v>
      </c>
      <c r="E109" s="108">
        <v>2</v>
      </c>
      <c r="F109" s="107" t="s">
        <v>178</v>
      </c>
      <c r="G109" s="107" t="s">
        <v>433</v>
      </c>
      <c r="H109" s="107" t="s">
        <v>437</v>
      </c>
      <c r="I109" s="107"/>
      <c r="J109" s="109" t="s">
        <v>154</v>
      </c>
      <c r="K109" s="107"/>
      <c r="L109" s="109" t="s">
        <v>154</v>
      </c>
      <c r="M109" s="110" t="b">
        <v>1</v>
      </c>
      <c r="N109" s="111"/>
    </row>
    <row r="110" spans="1:14" ht="40" customHeight="1" x14ac:dyDescent="0.2">
      <c r="A110" s="106" t="s">
        <v>172</v>
      </c>
      <c r="B110" s="107"/>
      <c r="C110" s="108">
        <v>1</v>
      </c>
      <c r="D110" s="108">
        <v>5</v>
      </c>
      <c r="E110" s="108">
        <v>2</v>
      </c>
      <c r="F110" s="107" t="s">
        <v>178</v>
      </c>
      <c r="G110" s="107" t="s">
        <v>481</v>
      </c>
      <c r="H110" s="107" t="s">
        <v>480</v>
      </c>
      <c r="I110" s="107"/>
      <c r="J110" s="109" t="s">
        <v>154</v>
      </c>
      <c r="K110" s="107"/>
      <c r="L110" s="109" t="s">
        <v>154</v>
      </c>
      <c r="M110" s="110" t="b">
        <v>1</v>
      </c>
      <c r="N110" s="111"/>
    </row>
    <row r="111" spans="1:14" ht="40" customHeight="1" x14ac:dyDescent="0.2">
      <c r="A111" s="106" t="s">
        <v>172</v>
      </c>
      <c r="B111" s="107"/>
      <c r="C111" s="108">
        <v>1</v>
      </c>
      <c r="D111" s="108">
        <v>6</v>
      </c>
      <c r="E111" s="108">
        <v>2</v>
      </c>
      <c r="F111" s="107" t="s">
        <v>155</v>
      </c>
      <c r="G111" s="107" t="s">
        <v>482</v>
      </c>
      <c r="H111" s="107"/>
      <c r="I111" s="107"/>
      <c r="J111" s="109" t="s">
        <v>154</v>
      </c>
      <c r="K111" s="107"/>
      <c r="L111" s="109" t="s">
        <v>154</v>
      </c>
      <c r="M111" s="110" t="b">
        <v>1</v>
      </c>
      <c r="N111" s="111"/>
    </row>
    <row r="112" spans="1:14" ht="40" customHeight="1" x14ac:dyDescent="0.2">
      <c r="A112" s="106" t="s">
        <v>172</v>
      </c>
      <c r="B112" s="107"/>
      <c r="C112" s="108">
        <v>2</v>
      </c>
      <c r="D112" s="108">
        <v>1</v>
      </c>
      <c r="E112" s="108">
        <v>1</v>
      </c>
      <c r="F112" s="107" t="s">
        <v>155</v>
      </c>
      <c r="G112" s="107" t="s">
        <v>52</v>
      </c>
      <c r="H112" s="107"/>
      <c r="I112" s="107" t="s">
        <v>268</v>
      </c>
      <c r="J112" s="109" t="s">
        <v>153</v>
      </c>
      <c r="K112" s="107" t="s">
        <v>160</v>
      </c>
      <c r="L112" s="109" t="s">
        <v>144</v>
      </c>
      <c r="M112" s="110" t="b">
        <v>1</v>
      </c>
      <c r="N112" s="111"/>
    </row>
    <row r="113" spans="1:14" ht="40" customHeight="1" x14ac:dyDescent="0.2">
      <c r="A113" s="106" t="s">
        <v>172</v>
      </c>
      <c r="B113" s="107"/>
      <c r="C113" s="108">
        <v>2</v>
      </c>
      <c r="D113" s="108">
        <v>2</v>
      </c>
      <c r="E113" s="108">
        <v>2</v>
      </c>
      <c r="F113" s="107" t="s">
        <v>178</v>
      </c>
      <c r="G113" s="107" t="s">
        <v>351</v>
      </c>
      <c r="H113" s="107" t="s">
        <v>448</v>
      </c>
      <c r="I113" s="107"/>
      <c r="J113" s="109" t="s">
        <v>154</v>
      </c>
      <c r="K113" s="107"/>
      <c r="L113" s="109" t="s">
        <v>154</v>
      </c>
      <c r="M113" s="110" t="b">
        <v>1</v>
      </c>
      <c r="N113" s="111"/>
    </row>
    <row r="114" spans="1:14" ht="40" customHeight="1" x14ac:dyDescent="0.2">
      <c r="A114" s="106" t="s">
        <v>172</v>
      </c>
      <c r="B114" s="107"/>
      <c r="C114" s="108">
        <v>2</v>
      </c>
      <c r="D114" s="108">
        <v>3</v>
      </c>
      <c r="E114" s="108">
        <v>2</v>
      </c>
      <c r="F114" s="107" t="s">
        <v>178</v>
      </c>
      <c r="G114" s="107" t="s">
        <v>433</v>
      </c>
      <c r="H114" s="107" t="s">
        <v>449</v>
      </c>
      <c r="I114" s="107"/>
      <c r="J114" s="109" t="s">
        <v>154</v>
      </c>
      <c r="K114" s="107"/>
      <c r="L114" s="109" t="s">
        <v>154</v>
      </c>
      <c r="M114" s="110" t="b">
        <v>1</v>
      </c>
      <c r="N114" s="111"/>
    </row>
    <row r="115" spans="1:14" ht="40" customHeight="1" x14ac:dyDescent="0.2">
      <c r="A115" s="106" t="s">
        <v>172</v>
      </c>
      <c r="B115" s="107"/>
      <c r="C115" s="108">
        <v>2</v>
      </c>
      <c r="D115" s="108">
        <v>4</v>
      </c>
      <c r="E115" s="108">
        <v>2</v>
      </c>
      <c r="F115" s="107" t="s">
        <v>155</v>
      </c>
      <c r="G115" s="107" t="s">
        <v>381</v>
      </c>
      <c r="H115" s="107"/>
      <c r="I115" s="107"/>
      <c r="J115" s="109" t="s">
        <v>154</v>
      </c>
      <c r="K115" s="107"/>
      <c r="L115" s="109" t="s">
        <v>154</v>
      </c>
      <c r="M115" s="110" t="b">
        <v>1</v>
      </c>
      <c r="N115" s="111"/>
    </row>
    <row r="116" spans="1:14" ht="40" customHeight="1" x14ac:dyDescent="0.2">
      <c r="A116" s="106" t="s">
        <v>172</v>
      </c>
      <c r="B116" s="107"/>
      <c r="C116" s="108">
        <v>3</v>
      </c>
      <c r="D116" s="108">
        <v>1</v>
      </c>
      <c r="E116" s="108">
        <v>1</v>
      </c>
      <c r="F116" s="107" t="s">
        <v>155</v>
      </c>
      <c r="G116" s="107" t="s">
        <v>53</v>
      </c>
      <c r="H116" s="107"/>
      <c r="I116" s="107" t="s">
        <v>273</v>
      </c>
      <c r="J116" s="109" t="s">
        <v>153</v>
      </c>
      <c r="K116" s="107" t="s">
        <v>161</v>
      </c>
      <c r="L116" s="109" t="s">
        <v>144</v>
      </c>
      <c r="M116" s="110" t="b">
        <v>1</v>
      </c>
      <c r="N116" s="111"/>
    </row>
    <row r="117" spans="1:14" ht="40" customHeight="1" x14ac:dyDescent="0.2">
      <c r="A117" s="106" t="s">
        <v>172</v>
      </c>
      <c r="B117" s="107"/>
      <c r="C117" s="108">
        <v>3</v>
      </c>
      <c r="D117" s="108">
        <v>2</v>
      </c>
      <c r="E117" s="108">
        <v>2</v>
      </c>
      <c r="F117" s="107" t="s">
        <v>178</v>
      </c>
      <c r="G117" s="107" t="s">
        <v>351</v>
      </c>
      <c r="H117" s="107" t="s">
        <v>450</v>
      </c>
      <c r="I117" s="107"/>
      <c r="J117" s="109" t="s">
        <v>154</v>
      </c>
      <c r="K117" s="107"/>
      <c r="L117" s="109" t="s">
        <v>154</v>
      </c>
      <c r="M117" s="110" t="b">
        <v>1</v>
      </c>
      <c r="N117" s="111"/>
    </row>
    <row r="118" spans="1:14" ht="40" customHeight="1" x14ac:dyDescent="0.2">
      <c r="A118" s="106" t="s">
        <v>172</v>
      </c>
      <c r="B118" s="107"/>
      <c r="C118" s="108">
        <v>3</v>
      </c>
      <c r="D118" s="108">
        <v>3</v>
      </c>
      <c r="E118" s="108">
        <v>2</v>
      </c>
      <c r="F118" s="107" t="s">
        <v>178</v>
      </c>
      <c r="G118" s="107" t="s">
        <v>433</v>
      </c>
      <c r="H118" s="107" t="s">
        <v>432</v>
      </c>
      <c r="I118" s="107"/>
      <c r="J118" s="109" t="s">
        <v>154</v>
      </c>
      <c r="K118" s="107"/>
      <c r="L118" s="109" t="s">
        <v>154</v>
      </c>
      <c r="M118" s="110" t="b">
        <v>1</v>
      </c>
      <c r="N118" s="111"/>
    </row>
    <row r="119" spans="1:14" ht="40" customHeight="1" x14ac:dyDescent="0.2">
      <c r="A119" s="106" t="s">
        <v>172</v>
      </c>
      <c r="B119" s="107"/>
      <c r="C119" s="108">
        <v>3</v>
      </c>
      <c r="D119" s="108">
        <v>4</v>
      </c>
      <c r="E119" s="108">
        <v>2</v>
      </c>
      <c r="F119" s="107" t="s">
        <v>155</v>
      </c>
      <c r="G119" s="107" t="s">
        <v>382</v>
      </c>
      <c r="H119" s="107"/>
      <c r="I119" s="107"/>
      <c r="J119" s="109" t="s">
        <v>154</v>
      </c>
      <c r="K119" s="107"/>
      <c r="L119" s="109" t="s">
        <v>154</v>
      </c>
      <c r="M119" s="110" t="b">
        <v>1</v>
      </c>
      <c r="N119" s="111"/>
    </row>
    <row r="120" spans="1:14" ht="40" customHeight="1" x14ac:dyDescent="0.2">
      <c r="A120" s="106" t="s">
        <v>172</v>
      </c>
      <c r="B120" s="107"/>
      <c r="C120" s="108">
        <v>4</v>
      </c>
      <c r="D120" s="108">
        <v>1</v>
      </c>
      <c r="E120" s="108">
        <v>1</v>
      </c>
      <c r="F120" s="107" t="s">
        <v>155</v>
      </c>
      <c r="G120" s="107" t="s">
        <v>58</v>
      </c>
      <c r="H120" s="107"/>
      <c r="I120" s="107" t="s">
        <v>207</v>
      </c>
      <c r="J120" s="109" t="s">
        <v>153</v>
      </c>
      <c r="K120" s="107" t="s">
        <v>192</v>
      </c>
      <c r="L120" s="109" t="s">
        <v>144</v>
      </c>
      <c r="M120" s="110" t="b">
        <v>1</v>
      </c>
      <c r="N120" s="111"/>
    </row>
    <row r="121" spans="1:14" ht="40" customHeight="1" x14ac:dyDescent="0.2">
      <c r="A121" s="106" t="s">
        <v>172</v>
      </c>
      <c r="B121" s="107"/>
      <c r="C121" s="108">
        <v>4</v>
      </c>
      <c r="D121" s="108">
        <v>2</v>
      </c>
      <c r="E121" s="108">
        <v>2</v>
      </c>
      <c r="F121" s="107" t="s">
        <v>178</v>
      </c>
      <c r="G121" s="107" t="s">
        <v>351</v>
      </c>
      <c r="H121" s="107" t="s">
        <v>451</v>
      </c>
      <c r="I121" s="107"/>
      <c r="J121" s="109" t="s">
        <v>154</v>
      </c>
      <c r="K121" s="107"/>
      <c r="L121" s="109" t="s">
        <v>154</v>
      </c>
      <c r="M121" s="110" t="b">
        <v>1</v>
      </c>
      <c r="N121" s="111"/>
    </row>
    <row r="122" spans="1:14" ht="40" customHeight="1" x14ac:dyDescent="0.2">
      <c r="A122" s="106" t="s">
        <v>172</v>
      </c>
      <c r="B122" s="107"/>
      <c r="C122" s="108">
        <v>4</v>
      </c>
      <c r="D122" s="108">
        <v>3</v>
      </c>
      <c r="E122" s="108">
        <v>2</v>
      </c>
      <c r="F122" s="107" t="s">
        <v>178</v>
      </c>
      <c r="G122" s="107" t="s">
        <v>433</v>
      </c>
      <c r="H122" s="107" t="s">
        <v>452</v>
      </c>
      <c r="I122" s="107"/>
      <c r="J122" s="109" t="s">
        <v>154</v>
      </c>
      <c r="K122" s="107"/>
      <c r="L122" s="109" t="s">
        <v>154</v>
      </c>
      <c r="M122" s="110" t="b">
        <v>1</v>
      </c>
      <c r="N122" s="111"/>
    </row>
    <row r="123" spans="1:14" ht="40" customHeight="1" x14ac:dyDescent="0.2">
      <c r="A123" s="106" t="s">
        <v>172</v>
      </c>
      <c r="B123" s="107"/>
      <c r="C123" s="108">
        <v>4</v>
      </c>
      <c r="D123" s="108">
        <v>4</v>
      </c>
      <c r="E123" s="108">
        <v>2</v>
      </c>
      <c r="F123" s="107" t="s">
        <v>155</v>
      </c>
      <c r="G123" s="107" t="s">
        <v>383</v>
      </c>
      <c r="H123" s="107"/>
      <c r="I123" s="107"/>
      <c r="J123" s="109" t="s">
        <v>154</v>
      </c>
      <c r="K123" s="107"/>
      <c r="L123" s="109" t="s">
        <v>154</v>
      </c>
      <c r="M123" s="110" t="b">
        <v>1</v>
      </c>
      <c r="N123" s="111"/>
    </row>
    <row r="124" spans="1:14" ht="40" customHeight="1" x14ac:dyDescent="0.2">
      <c r="A124" s="106" t="s">
        <v>172</v>
      </c>
      <c r="B124" s="107"/>
      <c r="C124" s="108">
        <v>5</v>
      </c>
      <c r="D124" s="108">
        <v>1</v>
      </c>
      <c r="E124" s="108">
        <v>1</v>
      </c>
      <c r="F124" s="107" t="s">
        <v>155</v>
      </c>
      <c r="G124" s="107" t="s">
        <v>59</v>
      </c>
      <c r="H124" s="107"/>
      <c r="I124" s="107" t="s">
        <v>264</v>
      </c>
      <c r="J124" s="109" t="s">
        <v>153</v>
      </c>
      <c r="K124" s="107" t="s">
        <v>204</v>
      </c>
      <c r="L124" s="109" t="s">
        <v>144</v>
      </c>
      <c r="M124" s="110" t="b">
        <v>1</v>
      </c>
      <c r="N124" s="111"/>
    </row>
    <row r="125" spans="1:14" ht="40" customHeight="1" x14ac:dyDescent="0.2">
      <c r="A125" s="106" t="s">
        <v>172</v>
      </c>
      <c r="B125" s="107"/>
      <c r="C125" s="108">
        <v>5</v>
      </c>
      <c r="D125" s="108">
        <v>2</v>
      </c>
      <c r="E125" s="108">
        <v>2</v>
      </c>
      <c r="F125" s="107" t="s">
        <v>178</v>
      </c>
      <c r="G125" s="107" t="s">
        <v>351</v>
      </c>
      <c r="H125" s="107" t="s">
        <v>453</v>
      </c>
      <c r="I125" s="107"/>
      <c r="J125" s="109" t="s">
        <v>154</v>
      </c>
      <c r="K125" s="107"/>
      <c r="L125" s="109" t="s">
        <v>154</v>
      </c>
      <c r="M125" s="110" t="b">
        <v>1</v>
      </c>
      <c r="N125" s="111"/>
    </row>
    <row r="126" spans="1:14" ht="40" customHeight="1" x14ac:dyDescent="0.2">
      <c r="A126" s="106" t="s">
        <v>172</v>
      </c>
      <c r="B126" s="107"/>
      <c r="C126" s="108">
        <v>5</v>
      </c>
      <c r="D126" s="108">
        <v>3</v>
      </c>
      <c r="E126" s="108">
        <v>2</v>
      </c>
      <c r="F126" s="107" t="s">
        <v>178</v>
      </c>
      <c r="G126" s="107" t="s">
        <v>433</v>
      </c>
      <c r="H126" s="107" t="s">
        <v>432</v>
      </c>
      <c r="I126" s="107"/>
      <c r="J126" s="109" t="s">
        <v>154</v>
      </c>
      <c r="K126" s="107"/>
      <c r="L126" s="109" t="s">
        <v>154</v>
      </c>
      <c r="M126" s="110" t="b">
        <v>1</v>
      </c>
      <c r="N126" s="111"/>
    </row>
    <row r="127" spans="1:14" ht="40" customHeight="1" x14ac:dyDescent="0.2">
      <c r="A127" s="106" t="s">
        <v>172</v>
      </c>
      <c r="B127" s="107"/>
      <c r="C127" s="108">
        <v>5</v>
      </c>
      <c r="D127" s="108">
        <v>4</v>
      </c>
      <c r="E127" s="108">
        <v>2</v>
      </c>
      <c r="F127" s="107" t="s">
        <v>155</v>
      </c>
      <c r="G127" s="107" t="s">
        <v>384</v>
      </c>
      <c r="H127" s="107"/>
      <c r="I127" s="107"/>
      <c r="J127" s="109" t="s">
        <v>154</v>
      </c>
      <c r="K127" s="107"/>
      <c r="L127" s="109" t="s">
        <v>154</v>
      </c>
      <c r="M127" s="110" t="b">
        <v>1</v>
      </c>
      <c r="N127" s="111"/>
    </row>
    <row r="128" spans="1:14" ht="40" customHeight="1" x14ac:dyDescent="0.2">
      <c r="A128" s="106" t="s">
        <v>172</v>
      </c>
      <c r="B128" s="107"/>
      <c r="C128" s="108">
        <v>6</v>
      </c>
      <c r="D128" s="108">
        <v>1</v>
      </c>
      <c r="E128" s="108">
        <v>1</v>
      </c>
      <c r="F128" s="107" t="s">
        <v>155</v>
      </c>
      <c r="G128" s="107" t="s">
        <v>60</v>
      </c>
      <c r="H128" s="107"/>
      <c r="I128" s="107" t="s">
        <v>265</v>
      </c>
      <c r="J128" s="109" t="s">
        <v>153</v>
      </c>
      <c r="K128" s="107" t="s">
        <v>197</v>
      </c>
      <c r="L128" s="109" t="s">
        <v>144</v>
      </c>
      <c r="M128" s="110" t="b">
        <v>1</v>
      </c>
      <c r="N128" s="111"/>
    </row>
    <row r="129" spans="1:14" ht="40" customHeight="1" x14ac:dyDescent="0.2">
      <c r="A129" s="106" t="s">
        <v>172</v>
      </c>
      <c r="B129" s="107"/>
      <c r="C129" s="108">
        <v>6</v>
      </c>
      <c r="D129" s="108">
        <v>2</v>
      </c>
      <c r="E129" s="108">
        <v>2</v>
      </c>
      <c r="F129" s="107" t="s">
        <v>178</v>
      </c>
      <c r="G129" s="107" t="s">
        <v>351</v>
      </c>
      <c r="H129" s="107" t="s">
        <v>454</v>
      </c>
      <c r="I129" s="107"/>
      <c r="J129" s="109" t="s">
        <v>154</v>
      </c>
      <c r="K129" s="107"/>
      <c r="L129" s="109" t="s">
        <v>154</v>
      </c>
      <c r="M129" s="110" t="b">
        <v>1</v>
      </c>
      <c r="N129" s="111"/>
    </row>
    <row r="130" spans="1:14" ht="40" customHeight="1" x14ac:dyDescent="0.2">
      <c r="A130" s="106" t="s">
        <v>172</v>
      </c>
      <c r="B130" s="107"/>
      <c r="C130" s="108">
        <v>6</v>
      </c>
      <c r="D130" s="108">
        <v>3</v>
      </c>
      <c r="E130" s="108">
        <v>2</v>
      </c>
      <c r="F130" s="107" t="s">
        <v>178</v>
      </c>
      <c r="G130" s="107" t="s">
        <v>433</v>
      </c>
      <c r="H130" s="107" t="s">
        <v>432</v>
      </c>
      <c r="I130" s="107"/>
      <c r="J130" s="109" t="s">
        <v>154</v>
      </c>
      <c r="K130" s="107"/>
      <c r="L130" s="109" t="s">
        <v>154</v>
      </c>
      <c r="M130" s="110" t="b">
        <v>1</v>
      </c>
      <c r="N130" s="111"/>
    </row>
    <row r="131" spans="1:14" ht="40" customHeight="1" x14ac:dyDescent="0.2">
      <c r="A131" s="106" t="s">
        <v>172</v>
      </c>
      <c r="B131" s="107"/>
      <c r="C131" s="108">
        <v>6</v>
      </c>
      <c r="D131" s="108">
        <v>4</v>
      </c>
      <c r="E131" s="108">
        <v>2</v>
      </c>
      <c r="F131" s="107" t="s">
        <v>155</v>
      </c>
      <c r="G131" s="107" t="s">
        <v>385</v>
      </c>
      <c r="H131" s="107"/>
      <c r="I131" s="107"/>
      <c r="J131" s="109" t="s">
        <v>154</v>
      </c>
      <c r="K131" s="107"/>
      <c r="L131" s="109" t="s">
        <v>154</v>
      </c>
      <c r="M131" s="110" t="b">
        <v>1</v>
      </c>
      <c r="N131" s="111"/>
    </row>
    <row r="132" spans="1:14" ht="40" customHeight="1" x14ac:dyDescent="0.2">
      <c r="A132" s="106" t="s">
        <v>172</v>
      </c>
      <c r="B132" s="107"/>
      <c r="C132" s="108">
        <v>7</v>
      </c>
      <c r="D132" s="108">
        <v>1</v>
      </c>
      <c r="E132" s="108">
        <v>1</v>
      </c>
      <c r="F132" s="107" t="s">
        <v>155</v>
      </c>
      <c r="G132" s="107" t="s">
        <v>61</v>
      </c>
      <c r="H132" s="107"/>
      <c r="I132" s="107" t="s">
        <v>266</v>
      </c>
      <c r="J132" s="109" t="s">
        <v>153</v>
      </c>
      <c r="K132" s="107" t="s">
        <v>170</v>
      </c>
      <c r="L132" s="109" t="s">
        <v>144</v>
      </c>
      <c r="M132" s="110" t="b">
        <v>1</v>
      </c>
      <c r="N132" s="111"/>
    </row>
    <row r="133" spans="1:14" ht="40" customHeight="1" x14ac:dyDescent="0.2">
      <c r="A133" s="106" t="s">
        <v>172</v>
      </c>
      <c r="B133" s="107"/>
      <c r="C133" s="108">
        <v>7</v>
      </c>
      <c r="D133" s="108">
        <v>2</v>
      </c>
      <c r="E133" s="108">
        <v>2</v>
      </c>
      <c r="F133" s="107" t="s">
        <v>178</v>
      </c>
      <c r="G133" s="107" t="s">
        <v>351</v>
      </c>
      <c r="H133" s="107" t="s">
        <v>455</v>
      </c>
      <c r="I133" s="107"/>
      <c r="J133" s="109" t="s">
        <v>154</v>
      </c>
      <c r="K133" s="107"/>
      <c r="L133" s="109" t="s">
        <v>154</v>
      </c>
      <c r="M133" s="110" t="b">
        <v>1</v>
      </c>
      <c r="N133" s="111"/>
    </row>
    <row r="134" spans="1:14" ht="40" customHeight="1" x14ac:dyDescent="0.2">
      <c r="A134" s="106" t="s">
        <v>172</v>
      </c>
      <c r="B134" s="107"/>
      <c r="C134" s="108">
        <v>7</v>
      </c>
      <c r="D134" s="108">
        <v>3</v>
      </c>
      <c r="E134" s="108">
        <v>2</v>
      </c>
      <c r="F134" s="107" t="s">
        <v>178</v>
      </c>
      <c r="G134" s="107" t="s">
        <v>433</v>
      </c>
      <c r="H134" s="107" t="s">
        <v>456</v>
      </c>
      <c r="I134" s="107"/>
      <c r="J134" s="109" t="s">
        <v>154</v>
      </c>
      <c r="K134" s="107"/>
      <c r="L134" s="109" t="s">
        <v>154</v>
      </c>
      <c r="M134" s="110" t="b">
        <v>1</v>
      </c>
      <c r="N134" s="111"/>
    </row>
    <row r="135" spans="1:14" ht="40" customHeight="1" x14ac:dyDescent="0.2">
      <c r="A135" s="106" t="s">
        <v>172</v>
      </c>
      <c r="B135" s="107"/>
      <c r="C135" s="108">
        <v>7</v>
      </c>
      <c r="D135" s="108">
        <v>4</v>
      </c>
      <c r="E135" s="108">
        <v>2</v>
      </c>
      <c r="F135" s="107" t="s">
        <v>155</v>
      </c>
      <c r="G135" s="107" t="s">
        <v>411</v>
      </c>
      <c r="H135" s="107"/>
      <c r="I135" s="107"/>
      <c r="J135" s="109" t="s">
        <v>154</v>
      </c>
      <c r="K135" s="107"/>
      <c r="L135" s="109" t="s">
        <v>154</v>
      </c>
      <c r="M135" s="110" t="b">
        <v>1</v>
      </c>
      <c r="N135" s="111"/>
    </row>
    <row r="136" spans="1:14" x14ac:dyDescent="0.2">
      <c r="A136" s="106" t="s">
        <v>172</v>
      </c>
      <c r="B136" s="107"/>
      <c r="C136" s="108">
        <v>8</v>
      </c>
      <c r="D136" s="108">
        <v>1</v>
      </c>
      <c r="E136" s="108">
        <v>1</v>
      </c>
      <c r="F136" s="107" t="s">
        <v>155</v>
      </c>
      <c r="G136" s="107" t="s">
        <v>62</v>
      </c>
      <c r="H136" s="107"/>
      <c r="I136" s="107" t="s">
        <v>386</v>
      </c>
      <c r="J136" s="109" t="s">
        <v>153</v>
      </c>
      <c r="K136" s="107" t="s">
        <v>168</v>
      </c>
      <c r="L136" s="109" t="s">
        <v>144</v>
      </c>
      <c r="M136" s="110" t="b">
        <v>1</v>
      </c>
      <c r="N136" s="111"/>
    </row>
    <row r="137" spans="1:14" x14ac:dyDescent="0.2">
      <c r="A137" s="106" t="s">
        <v>172</v>
      </c>
      <c r="B137" s="107"/>
      <c r="C137" s="108">
        <v>8</v>
      </c>
      <c r="D137" s="108">
        <v>2</v>
      </c>
      <c r="E137" s="108">
        <v>2</v>
      </c>
      <c r="F137" s="107" t="s">
        <v>178</v>
      </c>
      <c r="G137" s="107" t="s">
        <v>351</v>
      </c>
      <c r="H137" s="107" t="s">
        <v>457</v>
      </c>
      <c r="I137" s="107"/>
      <c r="J137" s="109" t="s">
        <v>154</v>
      </c>
      <c r="K137" s="107"/>
      <c r="L137" s="109" t="s">
        <v>154</v>
      </c>
      <c r="M137" s="110" t="b">
        <v>1</v>
      </c>
      <c r="N137" s="111"/>
    </row>
    <row r="138" spans="1:14" ht="30" x14ac:dyDescent="0.2">
      <c r="A138" s="106" t="s">
        <v>172</v>
      </c>
      <c r="B138" s="107"/>
      <c r="C138" s="108">
        <v>8</v>
      </c>
      <c r="D138" s="108">
        <v>3</v>
      </c>
      <c r="E138" s="108">
        <v>2</v>
      </c>
      <c r="F138" s="107" t="s">
        <v>178</v>
      </c>
      <c r="G138" s="107" t="s">
        <v>433</v>
      </c>
      <c r="H138" s="107" t="s">
        <v>458</v>
      </c>
      <c r="I138" s="107"/>
      <c r="J138" s="109" t="s">
        <v>154</v>
      </c>
      <c r="K138" s="107"/>
      <c r="L138" s="109" t="s">
        <v>154</v>
      </c>
      <c r="M138" s="110" t="b">
        <v>1</v>
      </c>
      <c r="N138" s="111"/>
    </row>
    <row r="139" spans="1:14" ht="30" x14ac:dyDescent="0.2">
      <c r="A139" s="106" t="s">
        <v>172</v>
      </c>
      <c r="B139" s="107"/>
      <c r="C139" s="108">
        <v>8</v>
      </c>
      <c r="D139" s="108">
        <v>4</v>
      </c>
      <c r="E139" s="108">
        <v>2</v>
      </c>
      <c r="F139" s="107" t="s">
        <v>155</v>
      </c>
      <c r="G139" s="107" t="s">
        <v>387</v>
      </c>
      <c r="H139" s="107"/>
      <c r="I139" s="107"/>
      <c r="J139" s="109" t="s">
        <v>154</v>
      </c>
      <c r="K139" s="107"/>
      <c r="L139" s="109" t="s">
        <v>154</v>
      </c>
      <c r="M139" s="110" t="b">
        <v>1</v>
      </c>
      <c r="N139" s="111"/>
    </row>
    <row r="140" spans="1:14" x14ac:dyDescent="0.2">
      <c r="A140" s="106" t="s">
        <v>172</v>
      </c>
      <c r="B140" s="107"/>
      <c r="C140" s="108">
        <v>9</v>
      </c>
      <c r="D140" s="108">
        <v>1</v>
      </c>
      <c r="E140" s="108">
        <v>1</v>
      </c>
      <c r="F140" s="107" t="s">
        <v>155</v>
      </c>
      <c r="G140" s="107" t="s">
        <v>63</v>
      </c>
      <c r="H140" s="107"/>
      <c r="I140" s="107" t="s">
        <v>267</v>
      </c>
      <c r="J140" s="109" t="s">
        <v>153</v>
      </c>
      <c r="K140" s="107" t="s">
        <v>201</v>
      </c>
      <c r="L140" s="109" t="s">
        <v>144</v>
      </c>
      <c r="M140" s="110" t="b">
        <v>1</v>
      </c>
      <c r="N140" s="111"/>
    </row>
    <row r="141" spans="1:14" x14ac:dyDescent="0.2">
      <c r="A141" s="106" t="s">
        <v>172</v>
      </c>
      <c r="B141" s="107"/>
      <c r="C141" s="108">
        <v>9</v>
      </c>
      <c r="D141" s="108">
        <v>2</v>
      </c>
      <c r="E141" s="108">
        <v>2</v>
      </c>
      <c r="F141" s="107" t="s">
        <v>178</v>
      </c>
      <c r="G141" s="107" t="s">
        <v>351</v>
      </c>
      <c r="H141" s="107" t="s">
        <v>459</v>
      </c>
      <c r="I141" s="107"/>
      <c r="J141" s="109" t="s">
        <v>154</v>
      </c>
      <c r="K141" s="107"/>
      <c r="L141" s="109" t="s">
        <v>154</v>
      </c>
      <c r="M141" s="110" t="b">
        <v>1</v>
      </c>
      <c r="N141" s="111"/>
    </row>
    <row r="142" spans="1:14" ht="30" x14ac:dyDescent="0.2">
      <c r="A142" s="106" t="s">
        <v>172</v>
      </c>
      <c r="B142" s="107"/>
      <c r="C142" s="108">
        <v>9</v>
      </c>
      <c r="D142" s="108">
        <v>3</v>
      </c>
      <c r="E142" s="108">
        <v>2</v>
      </c>
      <c r="F142" s="107" t="s">
        <v>178</v>
      </c>
      <c r="G142" s="107" t="s">
        <v>433</v>
      </c>
      <c r="H142" s="107" t="s">
        <v>460</v>
      </c>
      <c r="I142" s="107"/>
      <c r="J142" s="109" t="s">
        <v>154</v>
      </c>
      <c r="K142" s="107"/>
      <c r="L142" s="109" t="s">
        <v>154</v>
      </c>
      <c r="M142" s="110" t="b">
        <v>1</v>
      </c>
      <c r="N142" s="111"/>
    </row>
    <row r="143" spans="1:14" ht="30" x14ac:dyDescent="0.2">
      <c r="A143" s="106" t="s">
        <v>172</v>
      </c>
      <c r="B143" s="107"/>
      <c r="C143" s="108">
        <v>9</v>
      </c>
      <c r="D143" s="108">
        <v>4</v>
      </c>
      <c r="E143" s="108">
        <v>2</v>
      </c>
      <c r="F143" s="107" t="s">
        <v>155</v>
      </c>
      <c r="G143" s="107" t="s">
        <v>388</v>
      </c>
      <c r="H143" s="107"/>
      <c r="I143" s="107"/>
      <c r="J143" s="109" t="s">
        <v>154</v>
      </c>
      <c r="K143" s="107"/>
      <c r="L143" s="109" t="s">
        <v>154</v>
      </c>
      <c r="M143" s="110" t="b">
        <v>1</v>
      </c>
      <c r="N143" s="111"/>
    </row>
    <row r="144" spans="1:14" x14ac:dyDescent="0.2">
      <c r="A144" s="106" t="s">
        <v>172</v>
      </c>
      <c r="B144" s="107"/>
      <c r="C144" s="108">
        <v>10</v>
      </c>
      <c r="D144" s="108">
        <v>1</v>
      </c>
      <c r="E144" s="108">
        <v>1</v>
      </c>
      <c r="F144" s="107" t="s">
        <v>155</v>
      </c>
      <c r="G144" s="107" t="s">
        <v>70</v>
      </c>
      <c r="H144" s="107"/>
      <c r="I144" s="107" t="s">
        <v>268</v>
      </c>
      <c r="J144" s="109" t="s">
        <v>153</v>
      </c>
      <c r="K144" s="107" t="s">
        <v>162</v>
      </c>
      <c r="L144" s="109" t="s">
        <v>144</v>
      </c>
      <c r="M144" s="110" t="b">
        <v>1</v>
      </c>
      <c r="N144" s="111"/>
    </row>
    <row r="145" spans="1:14" x14ac:dyDescent="0.2">
      <c r="A145" s="106" t="s">
        <v>172</v>
      </c>
      <c r="B145" s="107"/>
      <c r="C145" s="108">
        <v>10</v>
      </c>
      <c r="D145" s="108">
        <v>2</v>
      </c>
      <c r="E145" s="108">
        <v>2</v>
      </c>
      <c r="F145" s="107" t="s">
        <v>178</v>
      </c>
      <c r="G145" s="107" t="s">
        <v>351</v>
      </c>
      <c r="H145" s="107" t="s">
        <v>461</v>
      </c>
      <c r="I145" s="107"/>
      <c r="J145" s="109" t="s">
        <v>154</v>
      </c>
      <c r="K145" s="107"/>
      <c r="L145" s="109" t="s">
        <v>154</v>
      </c>
      <c r="M145" s="110" t="b">
        <v>1</v>
      </c>
      <c r="N145" s="111"/>
    </row>
    <row r="146" spans="1:14" ht="30" x14ac:dyDescent="0.2">
      <c r="A146" s="106" t="s">
        <v>172</v>
      </c>
      <c r="B146" s="107"/>
      <c r="C146" s="108">
        <v>10</v>
      </c>
      <c r="D146" s="108">
        <v>3</v>
      </c>
      <c r="E146" s="108">
        <v>2</v>
      </c>
      <c r="F146" s="107" t="s">
        <v>178</v>
      </c>
      <c r="G146" s="107" t="s">
        <v>433</v>
      </c>
      <c r="H146" s="107" t="s">
        <v>462</v>
      </c>
      <c r="I146" s="107"/>
      <c r="J146" s="109" t="s">
        <v>154</v>
      </c>
      <c r="K146" s="107"/>
      <c r="L146" s="109" t="s">
        <v>154</v>
      </c>
      <c r="M146" s="110" t="b">
        <v>1</v>
      </c>
      <c r="N146" s="111"/>
    </row>
    <row r="147" spans="1:14" ht="30" x14ac:dyDescent="0.2">
      <c r="A147" s="106" t="s">
        <v>172</v>
      </c>
      <c r="B147" s="107"/>
      <c r="C147" s="108">
        <v>10</v>
      </c>
      <c r="D147" s="108">
        <v>4</v>
      </c>
      <c r="E147" s="108">
        <v>2</v>
      </c>
      <c r="F147" s="107" t="s">
        <v>155</v>
      </c>
      <c r="G147" s="107" t="s">
        <v>389</v>
      </c>
      <c r="H147" s="107"/>
      <c r="I147" s="107"/>
      <c r="J147" s="109" t="s">
        <v>154</v>
      </c>
      <c r="K147" s="107"/>
      <c r="L147" s="109" t="s">
        <v>154</v>
      </c>
      <c r="M147" s="110" t="b">
        <v>1</v>
      </c>
      <c r="N147" s="111"/>
    </row>
    <row r="148" spans="1:14" x14ac:dyDescent="0.2">
      <c r="A148" s="106" t="s">
        <v>177</v>
      </c>
      <c r="B148" s="107" t="s">
        <v>284</v>
      </c>
      <c r="C148" s="108">
        <v>1</v>
      </c>
      <c r="D148" s="108">
        <v>1</v>
      </c>
      <c r="E148" s="108">
        <v>1</v>
      </c>
      <c r="F148" s="107" t="s">
        <v>155</v>
      </c>
      <c r="G148" s="107" t="s">
        <v>183</v>
      </c>
      <c r="H148" s="107"/>
      <c r="I148" s="107" t="s">
        <v>390</v>
      </c>
      <c r="J148" s="109" t="s">
        <v>153</v>
      </c>
      <c r="K148" s="107"/>
      <c r="L148" s="109" t="s">
        <v>154</v>
      </c>
      <c r="M148" s="110" t="b">
        <v>1</v>
      </c>
      <c r="N148" s="111"/>
    </row>
    <row r="149" spans="1:14" x14ac:dyDescent="0.2">
      <c r="A149" s="106" t="s">
        <v>177</v>
      </c>
      <c r="B149" s="107"/>
      <c r="C149" s="108">
        <v>1</v>
      </c>
      <c r="D149" s="108">
        <v>2</v>
      </c>
      <c r="E149" s="108">
        <v>2</v>
      </c>
      <c r="F149" s="107" t="s">
        <v>178</v>
      </c>
      <c r="G149" s="107" t="s">
        <v>351</v>
      </c>
      <c r="H149" s="107" t="s">
        <v>463</v>
      </c>
      <c r="I149" s="107"/>
      <c r="J149" s="109" t="s">
        <v>154</v>
      </c>
      <c r="K149" s="107"/>
      <c r="L149" s="109" t="s">
        <v>154</v>
      </c>
      <c r="M149" s="110" t="b">
        <v>1</v>
      </c>
      <c r="N149" s="111"/>
    </row>
    <row r="150" spans="1:14" ht="30" x14ac:dyDescent="0.2">
      <c r="A150" s="106" t="s">
        <v>177</v>
      </c>
      <c r="B150" s="107"/>
      <c r="C150" s="108">
        <v>1</v>
      </c>
      <c r="D150" s="108">
        <v>3</v>
      </c>
      <c r="E150" s="108">
        <v>2</v>
      </c>
      <c r="F150" s="107" t="s">
        <v>178</v>
      </c>
      <c r="G150" s="107" t="s">
        <v>208</v>
      </c>
      <c r="H150" s="107" t="s">
        <v>464</v>
      </c>
      <c r="I150" s="107"/>
      <c r="J150" s="109" t="s">
        <v>154</v>
      </c>
      <c r="K150" s="107"/>
      <c r="L150" s="109" t="s">
        <v>154</v>
      </c>
      <c r="M150" s="110" t="b">
        <v>1</v>
      </c>
      <c r="N150" s="111"/>
    </row>
    <row r="151" spans="1:14" x14ac:dyDescent="0.2">
      <c r="A151" s="106" t="s">
        <v>177</v>
      </c>
      <c r="B151" s="107"/>
      <c r="C151" s="108">
        <v>1</v>
      </c>
      <c r="D151" s="108">
        <v>4</v>
      </c>
      <c r="E151" s="108">
        <v>2</v>
      </c>
      <c r="F151" s="107" t="s">
        <v>178</v>
      </c>
      <c r="G151" s="107" t="s">
        <v>433</v>
      </c>
      <c r="H151" s="107" t="s">
        <v>432</v>
      </c>
      <c r="I151" s="107"/>
      <c r="J151" s="109" t="s">
        <v>154</v>
      </c>
      <c r="K151" s="107"/>
      <c r="L151" s="109" t="s">
        <v>154</v>
      </c>
      <c r="M151" s="110" t="b">
        <v>1</v>
      </c>
      <c r="N151" s="111"/>
    </row>
    <row r="152" spans="1:14" x14ac:dyDescent="0.2">
      <c r="A152" s="106" t="s">
        <v>177</v>
      </c>
      <c r="B152" s="107"/>
      <c r="C152" s="108">
        <v>1</v>
      </c>
      <c r="D152" s="108">
        <v>5</v>
      </c>
      <c r="E152" s="108">
        <v>2</v>
      </c>
      <c r="F152" s="107" t="s">
        <v>155</v>
      </c>
      <c r="G152" s="107" t="s">
        <v>489</v>
      </c>
      <c r="H152" s="107"/>
      <c r="I152" s="107"/>
      <c r="J152" s="109" t="s">
        <v>154</v>
      </c>
      <c r="K152" s="107"/>
      <c r="L152" s="109" t="s">
        <v>154</v>
      </c>
      <c r="M152" s="110" t="b">
        <v>1</v>
      </c>
      <c r="N152" s="111"/>
    </row>
    <row r="153" spans="1:14" x14ac:dyDescent="0.2">
      <c r="A153" s="106" t="s">
        <v>177</v>
      </c>
      <c r="B153" s="107"/>
      <c r="C153" s="108">
        <v>1</v>
      </c>
      <c r="D153" s="108">
        <v>5</v>
      </c>
      <c r="E153" s="108">
        <v>2</v>
      </c>
      <c r="F153" s="107" t="s">
        <v>155</v>
      </c>
      <c r="G153" s="107" t="s">
        <v>488</v>
      </c>
      <c r="H153" s="107"/>
      <c r="I153" s="107"/>
      <c r="J153" s="109" t="s">
        <v>154</v>
      </c>
      <c r="K153" s="107"/>
      <c r="L153" s="109" t="s">
        <v>154</v>
      </c>
      <c r="M153" s="110" t="b">
        <v>1</v>
      </c>
      <c r="N153" s="111"/>
    </row>
    <row r="154" spans="1:14" x14ac:dyDescent="0.2">
      <c r="A154" s="106" t="s">
        <v>177</v>
      </c>
      <c r="B154" s="107"/>
      <c r="C154" s="108">
        <v>2</v>
      </c>
      <c r="D154" s="108">
        <v>1</v>
      </c>
      <c r="E154" s="108">
        <v>1</v>
      </c>
      <c r="F154" s="107" t="s">
        <v>155</v>
      </c>
      <c r="G154" s="107" t="s">
        <v>71</v>
      </c>
      <c r="H154" s="107"/>
      <c r="I154" s="107" t="s">
        <v>391</v>
      </c>
      <c r="J154" s="109" t="s">
        <v>153</v>
      </c>
      <c r="K154" s="107" t="s">
        <v>392</v>
      </c>
      <c r="L154" s="109" t="s">
        <v>144</v>
      </c>
      <c r="M154" s="110" t="b">
        <v>1</v>
      </c>
      <c r="N154" s="111"/>
    </row>
    <row r="155" spans="1:14" x14ac:dyDescent="0.2">
      <c r="A155" s="106" t="s">
        <v>177</v>
      </c>
      <c r="B155" s="107"/>
      <c r="C155" s="108">
        <v>2</v>
      </c>
      <c r="D155" s="108">
        <v>2</v>
      </c>
      <c r="E155" s="108">
        <v>2</v>
      </c>
      <c r="F155" s="107" t="s">
        <v>178</v>
      </c>
      <c r="G155" s="107" t="s">
        <v>351</v>
      </c>
      <c r="H155" s="107" t="s">
        <v>465</v>
      </c>
      <c r="I155" s="107"/>
      <c r="J155" s="109" t="s">
        <v>154</v>
      </c>
      <c r="K155" s="107"/>
      <c r="L155" s="109" t="s">
        <v>154</v>
      </c>
      <c r="M155" s="110" t="b">
        <v>1</v>
      </c>
      <c r="N155" s="111"/>
    </row>
    <row r="156" spans="1:14" x14ac:dyDescent="0.2">
      <c r="A156" s="106" t="s">
        <v>177</v>
      </c>
      <c r="B156" s="107"/>
      <c r="C156" s="108">
        <v>2</v>
      </c>
      <c r="D156" s="108">
        <v>3</v>
      </c>
      <c r="E156" s="108">
        <v>2</v>
      </c>
      <c r="F156" s="107" t="s">
        <v>178</v>
      </c>
      <c r="G156" s="107" t="s">
        <v>433</v>
      </c>
      <c r="H156" s="107" t="s">
        <v>432</v>
      </c>
      <c r="I156" s="107"/>
      <c r="J156" s="109" t="s">
        <v>154</v>
      </c>
      <c r="K156" s="107"/>
      <c r="L156" s="109" t="s">
        <v>154</v>
      </c>
      <c r="M156" s="110" t="b">
        <v>1</v>
      </c>
      <c r="N156" s="111"/>
    </row>
    <row r="157" spans="1:14" ht="30" x14ac:dyDescent="0.2">
      <c r="A157" s="106" t="s">
        <v>177</v>
      </c>
      <c r="B157" s="107"/>
      <c r="C157" s="108">
        <v>2</v>
      </c>
      <c r="D157" s="108">
        <v>4</v>
      </c>
      <c r="E157" s="108">
        <v>2</v>
      </c>
      <c r="F157" s="107" t="s">
        <v>155</v>
      </c>
      <c r="G157" s="107" t="s">
        <v>485</v>
      </c>
      <c r="H157" s="107"/>
      <c r="I157" s="107"/>
      <c r="J157" s="109" t="s">
        <v>154</v>
      </c>
      <c r="K157" s="107"/>
      <c r="L157" s="109" t="s">
        <v>154</v>
      </c>
      <c r="M157" s="110" t="b">
        <v>1</v>
      </c>
      <c r="N157" s="111"/>
    </row>
    <row r="158" spans="1:14" x14ac:dyDescent="0.2">
      <c r="A158" s="106" t="s">
        <v>177</v>
      </c>
      <c r="B158" s="107"/>
      <c r="C158" s="108">
        <v>3</v>
      </c>
      <c r="D158" s="108">
        <v>1</v>
      </c>
      <c r="E158" s="108">
        <v>1</v>
      </c>
      <c r="F158" s="107" t="s">
        <v>155</v>
      </c>
      <c r="G158" s="107" t="s">
        <v>393</v>
      </c>
      <c r="H158" s="107"/>
      <c r="I158" s="107" t="s">
        <v>394</v>
      </c>
      <c r="J158" s="109" t="s">
        <v>153</v>
      </c>
      <c r="K158" s="107" t="s">
        <v>165</v>
      </c>
      <c r="L158" s="109" t="s">
        <v>144</v>
      </c>
      <c r="M158" s="110" t="b">
        <v>1</v>
      </c>
      <c r="N158" s="111"/>
    </row>
    <row r="159" spans="1:14" x14ac:dyDescent="0.2">
      <c r="A159" s="106" t="s">
        <v>177</v>
      </c>
      <c r="B159" s="107"/>
      <c r="C159" s="108">
        <v>3</v>
      </c>
      <c r="D159" s="108">
        <v>2</v>
      </c>
      <c r="E159" s="108">
        <v>2</v>
      </c>
      <c r="F159" s="107" t="s">
        <v>178</v>
      </c>
      <c r="G159" s="107" t="s">
        <v>351</v>
      </c>
      <c r="H159" s="107" t="s">
        <v>466</v>
      </c>
      <c r="I159" s="107"/>
      <c r="J159" s="109" t="s">
        <v>154</v>
      </c>
      <c r="K159" s="107"/>
      <c r="L159" s="109" t="s">
        <v>154</v>
      </c>
      <c r="M159" s="110" t="b">
        <v>1</v>
      </c>
      <c r="N159" s="111"/>
    </row>
    <row r="160" spans="1:14" x14ac:dyDescent="0.2">
      <c r="A160" s="106" t="s">
        <v>177</v>
      </c>
      <c r="B160" s="107"/>
      <c r="C160" s="108">
        <v>3</v>
      </c>
      <c r="D160" s="108">
        <v>3</v>
      </c>
      <c r="E160" s="108">
        <v>2</v>
      </c>
      <c r="F160" s="107" t="s">
        <v>178</v>
      </c>
      <c r="G160" s="107" t="s">
        <v>433</v>
      </c>
      <c r="H160" s="107" t="s">
        <v>432</v>
      </c>
      <c r="I160" s="107"/>
      <c r="J160" s="109" t="s">
        <v>154</v>
      </c>
      <c r="K160" s="107"/>
      <c r="L160" s="109" t="s">
        <v>154</v>
      </c>
      <c r="M160" s="110" t="b">
        <v>1</v>
      </c>
      <c r="N160" s="111"/>
    </row>
    <row r="161" spans="1:14" ht="30" x14ac:dyDescent="0.2">
      <c r="A161" s="106" t="s">
        <v>177</v>
      </c>
      <c r="B161" s="107"/>
      <c r="C161" s="108">
        <v>3</v>
      </c>
      <c r="D161" s="108">
        <v>4</v>
      </c>
      <c r="E161" s="108">
        <v>2</v>
      </c>
      <c r="F161" s="107" t="s">
        <v>155</v>
      </c>
      <c r="G161" s="107" t="s">
        <v>395</v>
      </c>
      <c r="H161" s="107"/>
      <c r="I161" s="107"/>
      <c r="J161" s="109" t="s">
        <v>154</v>
      </c>
      <c r="K161" s="107"/>
      <c r="L161" s="109" t="s">
        <v>154</v>
      </c>
      <c r="M161" s="110" t="b">
        <v>1</v>
      </c>
      <c r="N161" s="111"/>
    </row>
    <row r="162" spans="1:14" x14ac:dyDescent="0.2">
      <c r="A162" s="106" t="s">
        <v>177</v>
      </c>
      <c r="B162" s="107"/>
      <c r="C162" s="108">
        <v>4</v>
      </c>
      <c r="D162" s="108">
        <v>1</v>
      </c>
      <c r="E162" s="108">
        <v>1</v>
      </c>
      <c r="F162" s="107" t="s">
        <v>155</v>
      </c>
      <c r="G162" s="107" t="s">
        <v>396</v>
      </c>
      <c r="H162" s="107"/>
      <c r="I162" s="107" t="s">
        <v>397</v>
      </c>
      <c r="J162" s="109" t="s">
        <v>153</v>
      </c>
      <c r="K162" s="107" t="s">
        <v>398</v>
      </c>
      <c r="L162" s="109" t="s">
        <v>144</v>
      </c>
      <c r="M162" s="110" t="b">
        <v>1</v>
      </c>
      <c r="N162" s="111"/>
    </row>
    <row r="163" spans="1:14" x14ac:dyDescent="0.2">
      <c r="A163" s="106" t="s">
        <v>177</v>
      </c>
      <c r="B163" s="107"/>
      <c r="C163" s="108">
        <v>4</v>
      </c>
      <c r="D163" s="108">
        <v>2</v>
      </c>
      <c r="E163" s="108">
        <v>2</v>
      </c>
      <c r="F163" s="107" t="s">
        <v>178</v>
      </c>
      <c r="G163" s="107" t="s">
        <v>351</v>
      </c>
      <c r="H163" s="107" t="s">
        <v>467</v>
      </c>
      <c r="I163" s="107"/>
      <c r="J163" s="109" t="s">
        <v>154</v>
      </c>
      <c r="K163" s="107"/>
      <c r="L163" s="109" t="s">
        <v>154</v>
      </c>
      <c r="M163" s="110" t="b">
        <v>1</v>
      </c>
      <c r="N163" s="111"/>
    </row>
    <row r="164" spans="1:14" x14ac:dyDescent="0.2">
      <c r="A164" s="106" t="s">
        <v>177</v>
      </c>
      <c r="B164" s="107"/>
      <c r="C164" s="108">
        <v>4</v>
      </c>
      <c r="D164" s="108">
        <v>3</v>
      </c>
      <c r="E164" s="108">
        <v>2</v>
      </c>
      <c r="F164" s="107" t="s">
        <v>178</v>
      </c>
      <c r="G164" s="107" t="s">
        <v>433</v>
      </c>
      <c r="H164" s="107" t="s">
        <v>432</v>
      </c>
      <c r="I164" s="107"/>
      <c r="J164" s="109" t="s">
        <v>154</v>
      </c>
      <c r="K164" s="107"/>
      <c r="L164" s="109" t="s">
        <v>154</v>
      </c>
      <c r="M164" s="110" t="b">
        <v>1</v>
      </c>
      <c r="N164" s="111"/>
    </row>
    <row r="165" spans="1:14" ht="30" x14ac:dyDescent="0.2">
      <c r="A165" s="106" t="s">
        <v>177</v>
      </c>
      <c r="B165" s="107"/>
      <c r="C165" s="108">
        <v>4</v>
      </c>
      <c r="D165" s="108">
        <v>4</v>
      </c>
      <c r="E165" s="108">
        <v>2</v>
      </c>
      <c r="F165" s="107" t="s">
        <v>155</v>
      </c>
      <c r="G165" s="107" t="s">
        <v>399</v>
      </c>
      <c r="H165" s="107"/>
      <c r="I165" s="107"/>
      <c r="J165" s="109" t="s">
        <v>154</v>
      </c>
      <c r="K165" s="107"/>
      <c r="L165" s="109" t="s">
        <v>154</v>
      </c>
      <c r="M165" s="110" t="b">
        <v>1</v>
      </c>
      <c r="N165" s="111"/>
    </row>
    <row r="166" spans="1:14" x14ac:dyDescent="0.2">
      <c r="A166" s="106" t="s">
        <v>177</v>
      </c>
      <c r="B166" s="107"/>
      <c r="C166" s="108">
        <v>5</v>
      </c>
      <c r="D166" s="108">
        <v>1</v>
      </c>
      <c r="E166" s="108">
        <v>1</v>
      </c>
      <c r="F166" s="107" t="s">
        <v>155</v>
      </c>
      <c r="G166" s="107" t="s">
        <v>400</v>
      </c>
      <c r="H166" s="107"/>
      <c r="I166" s="107" t="s">
        <v>260</v>
      </c>
      <c r="J166" s="109" t="s">
        <v>153</v>
      </c>
      <c r="K166" s="107" t="s">
        <v>199</v>
      </c>
      <c r="L166" s="109" t="s">
        <v>144</v>
      </c>
      <c r="M166" s="110" t="b">
        <v>1</v>
      </c>
      <c r="N166" s="111"/>
    </row>
    <row r="167" spans="1:14" x14ac:dyDescent="0.2">
      <c r="A167" s="106" t="s">
        <v>177</v>
      </c>
      <c r="B167" s="107"/>
      <c r="C167" s="108">
        <v>5</v>
      </c>
      <c r="D167" s="108">
        <v>2</v>
      </c>
      <c r="E167" s="108">
        <v>2</v>
      </c>
      <c r="F167" s="107" t="s">
        <v>178</v>
      </c>
      <c r="G167" s="107" t="s">
        <v>351</v>
      </c>
      <c r="H167" s="107" t="s">
        <v>468</v>
      </c>
      <c r="I167" s="107"/>
      <c r="J167" s="109" t="s">
        <v>154</v>
      </c>
      <c r="K167" s="107"/>
      <c r="L167" s="109" t="s">
        <v>154</v>
      </c>
      <c r="M167" s="110" t="b">
        <v>1</v>
      </c>
      <c r="N167" s="111"/>
    </row>
    <row r="168" spans="1:14" x14ac:dyDescent="0.2">
      <c r="A168" s="106" t="s">
        <v>177</v>
      </c>
      <c r="B168" s="107"/>
      <c r="C168" s="108">
        <v>5</v>
      </c>
      <c r="D168" s="108">
        <v>3</v>
      </c>
      <c r="E168" s="108">
        <v>2</v>
      </c>
      <c r="F168" s="107" t="s">
        <v>178</v>
      </c>
      <c r="G168" s="107" t="s">
        <v>433</v>
      </c>
      <c r="H168" s="107" t="s">
        <v>432</v>
      </c>
      <c r="I168" s="107"/>
      <c r="J168" s="109" t="s">
        <v>154</v>
      </c>
      <c r="K168" s="107"/>
      <c r="L168" s="109" t="s">
        <v>154</v>
      </c>
      <c r="M168" s="110" t="b">
        <v>1</v>
      </c>
      <c r="N168" s="111"/>
    </row>
    <row r="169" spans="1:14" ht="30" x14ac:dyDescent="0.2">
      <c r="A169" s="106" t="s">
        <v>177</v>
      </c>
      <c r="B169" s="107"/>
      <c r="C169" s="108">
        <v>5</v>
      </c>
      <c r="D169" s="108">
        <v>4</v>
      </c>
      <c r="E169" s="108">
        <v>2</v>
      </c>
      <c r="F169" s="107" t="s">
        <v>155</v>
      </c>
      <c r="G169" s="107" t="s">
        <v>401</v>
      </c>
      <c r="H169" s="107"/>
      <c r="I169" s="107"/>
      <c r="J169" s="109" t="s">
        <v>154</v>
      </c>
      <c r="K169" s="107"/>
      <c r="L169" s="109" t="s">
        <v>154</v>
      </c>
      <c r="M169" s="110" t="b">
        <v>1</v>
      </c>
      <c r="N169" s="111"/>
    </row>
    <row r="170" spans="1:14" x14ac:dyDescent="0.2">
      <c r="A170" s="106" t="s">
        <v>177</v>
      </c>
      <c r="B170" s="107"/>
      <c r="C170" s="108">
        <v>6</v>
      </c>
      <c r="D170" s="108">
        <v>1</v>
      </c>
      <c r="E170" s="108">
        <v>1</v>
      </c>
      <c r="F170" s="107" t="s">
        <v>155</v>
      </c>
      <c r="G170" s="107" t="s">
        <v>75</v>
      </c>
      <c r="H170" s="107"/>
      <c r="I170" s="107" t="s">
        <v>402</v>
      </c>
      <c r="J170" s="109" t="s">
        <v>154</v>
      </c>
      <c r="K170" s="107" t="s">
        <v>403</v>
      </c>
      <c r="L170" s="109" t="s">
        <v>144</v>
      </c>
      <c r="M170" s="110" t="b">
        <v>1</v>
      </c>
      <c r="N170" s="111"/>
    </row>
    <row r="171" spans="1:14" x14ac:dyDescent="0.2">
      <c r="A171" s="106" t="s">
        <v>177</v>
      </c>
      <c r="B171" s="107"/>
      <c r="C171" s="108">
        <v>6</v>
      </c>
      <c r="D171" s="108">
        <v>2</v>
      </c>
      <c r="E171" s="108">
        <v>2</v>
      </c>
      <c r="F171" s="107" t="s">
        <v>178</v>
      </c>
      <c r="G171" s="107" t="s">
        <v>351</v>
      </c>
      <c r="H171" s="107" t="s">
        <v>469</v>
      </c>
      <c r="I171" s="107"/>
      <c r="J171" s="109" t="s">
        <v>154</v>
      </c>
      <c r="K171" s="107"/>
      <c r="L171" s="109" t="s">
        <v>154</v>
      </c>
      <c r="M171" s="110" t="b">
        <v>1</v>
      </c>
      <c r="N171" s="111"/>
    </row>
    <row r="172" spans="1:14" x14ac:dyDescent="0.2">
      <c r="A172" s="106" t="s">
        <v>177</v>
      </c>
      <c r="B172" s="107"/>
      <c r="C172" s="108">
        <v>6</v>
      </c>
      <c r="D172" s="108">
        <v>3</v>
      </c>
      <c r="E172" s="108">
        <v>2</v>
      </c>
      <c r="F172" s="107" t="s">
        <v>178</v>
      </c>
      <c r="G172" s="107" t="s">
        <v>433</v>
      </c>
      <c r="H172" s="107" t="s">
        <v>432</v>
      </c>
      <c r="I172" s="107"/>
      <c r="J172" s="109" t="s">
        <v>154</v>
      </c>
      <c r="K172" s="107"/>
      <c r="L172" s="109" t="s">
        <v>154</v>
      </c>
      <c r="M172" s="110" t="b">
        <v>1</v>
      </c>
      <c r="N172" s="111"/>
    </row>
    <row r="173" spans="1:14" x14ac:dyDescent="0.2">
      <c r="A173" s="106" t="s">
        <v>177</v>
      </c>
      <c r="B173" s="107"/>
      <c r="C173" s="108">
        <v>6</v>
      </c>
      <c r="D173" s="108">
        <v>4</v>
      </c>
      <c r="E173" s="108">
        <v>2</v>
      </c>
      <c r="F173" s="107" t="s">
        <v>155</v>
      </c>
      <c r="G173" s="107" t="s">
        <v>404</v>
      </c>
      <c r="H173" s="107"/>
      <c r="I173" s="107"/>
      <c r="J173" s="109" t="s">
        <v>154</v>
      </c>
      <c r="K173" s="107"/>
      <c r="L173" s="109" t="s">
        <v>154</v>
      </c>
      <c r="M173" s="110" t="b">
        <v>1</v>
      </c>
      <c r="N173" s="111"/>
    </row>
    <row r="174" spans="1:14" x14ac:dyDescent="0.2">
      <c r="A174" s="106" t="s">
        <v>171</v>
      </c>
      <c r="B174" s="107" t="s">
        <v>285</v>
      </c>
      <c r="C174" s="108">
        <v>1</v>
      </c>
      <c r="D174" s="108">
        <v>1</v>
      </c>
      <c r="E174" s="108">
        <v>1</v>
      </c>
      <c r="F174" s="107" t="s">
        <v>155</v>
      </c>
      <c r="G174" s="107" t="s">
        <v>183</v>
      </c>
      <c r="H174" s="107"/>
      <c r="I174" s="107" t="s">
        <v>405</v>
      </c>
      <c r="J174" s="109" t="s">
        <v>153</v>
      </c>
      <c r="K174" s="107"/>
      <c r="L174" s="109" t="s">
        <v>154</v>
      </c>
      <c r="M174" s="110" t="b">
        <v>1</v>
      </c>
      <c r="N174" s="111"/>
    </row>
    <row r="175" spans="1:14" ht="30" x14ac:dyDescent="0.2">
      <c r="A175" s="106" t="s">
        <v>171</v>
      </c>
      <c r="B175" s="107"/>
      <c r="C175" s="108">
        <v>1</v>
      </c>
      <c r="D175" s="108">
        <v>2</v>
      </c>
      <c r="E175" s="108">
        <v>2</v>
      </c>
      <c r="F175" s="107" t="s">
        <v>178</v>
      </c>
      <c r="G175" s="107" t="s">
        <v>351</v>
      </c>
      <c r="H175" s="107" t="s">
        <v>470</v>
      </c>
      <c r="I175" s="107"/>
      <c r="J175" s="109" t="s">
        <v>154</v>
      </c>
      <c r="K175" s="107"/>
      <c r="L175" s="109" t="s">
        <v>154</v>
      </c>
      <c r="M175" s="110" t="b">
        <v>1</v>
      </c>
      <c r="N175" s="111"/>
    </row>
    <row r="176" spans="1:14" x14ac:dyDescent="0.2">
      <c r="A176" s="106" t="s">
        <v>171</v>
      </c>
      <c r="B176" s="107"/>
      <c r="C176" s="108">
        <v>1</v>
      </c>
      <c r="D176" s="108">
        <v>3</v>
      </c>
      <c r="E176" s="108">
        <v>2</v>
      </c>
      <c r="F176" s="107" t="s">
        <v>178</v>
      </c>
      <c r="G176" s="107" t="s">
        <v>208</v>
      </c>
      <c r="H176" s="107" t="s">
        <v>490</v>
      </c>
      <c r="I176" s="107"/>
      <c r="J176" s="109" t="s">
        <v>154</v>
      </c>
      <c r="K176" s="107"/>
      <c r="L176" s="109" t="s">
        <v>154</v>
      </c>
      <c r="M176" s="110" t="b">
        <v>1</v>
      </c>
      <c r="N176" s="111"/>
    </row>
    <row r="177" spans="1:14" x14ac:dyDescent="0.2">
      <c r="A177" s="106" t="s">
        <v>171</v>
      </c>
      <c r="B177" s="107"/>
      <c r="C177" s="108">
        <v>1</v>
      </c>
      <c r="D177" s="108">
        <v>4</v>
      </c>
      <c r="E177" s="108">
        <v>2</v>
      </c>
      <c r="F177" s="107" t="s">
        <v>178</v>
      </c>
      <c r="G177" s="107" t="s">
        <v>433</v>
      </c>
      <c r="H177" s="107" t="s">
        <v>432</v>
      </c>
      <c r="I177" s="107"/>
      <c r="J177" s="109" t="s">
        <v>154</v>
      </c>
      <c r="K177" s="107"/>
      <c r="L177" s="109" t="s">
        <v>154</v>
      </c>
      <c r="M177" s="110" t="b">
        <v>1</v>
      </c>
      <c r="N177" s="111"/>
    </row>
    <row r="178" spans="1:14" ht="30" x14ac:dyDescent="0.2">
      <c r="A178" s="106" t="s">
        <v>171</v>
      </c>
      <c r="B178" s="107"/>
      <c r="C178" s="108">
        <v>1</v>
      </c>
      <c r="D178" s="108">
        <v>5</v>
      </c>
      <c r="E178" s="108">
        <v>2</v>
      </c>
      <c r="F178" s="107" t="s">
        <v>155</v>
      </c>
      <c r="G178" s="107" t="s">
        <v>483</v>
      </c>
      <c r="H178" s="107"/>
      <c r="I178" s="107"/>
      <c r="J178" s="109" t="s">
        <v>154</v>
      </c>
      <c r="K178" s="107"/>
      <c r="L178" s="109" t="s">
        <v>154</v>
      </c>
      <c r="M178" s="110" t="b">
        <v>1</v>
      </c>
      <c r="N178" s="111"/>
    </row>
    <row r="179" spans="1:14" x14ac:dyDescent="0.2">
      <c r="A179" s="106" t="s">
        <v>171</v>
      </c>
      <c r="B179" s="107"/>
      <c r="C179" s="108">
        <v>2</v>
      </c>
      <c r="D179" s="108">
        <v>1</v>
      </c>
      <c r="E179" s="108">
        <v>1</v>
      </c>
      <c r="F179" s="107" t="s">
        <v>155</v>
      </c>
      <c r="G179" s="107" t="s">
        <v>78</v>
      </c>
      <c r="H179" s="107"/>
      <c r="I179" s="107" t="s">
        <v>174</v>
      </c>
      <c r="J179" s="109" t="s">
        <v>153</v>
      </c>
      <c r="K179" s="107" t="s">
        <v>235</v>
      </c>
      <c r="L179" s="109" t="s">
        <v>144</v>
      </c>
      <c r="M179" s="110" t="b">
        <v>1</v>
      </c>
      <c r="N179" s="111"/>
    </row>
    <row r="180" spans="1:14" x14ac:dyDescent="0.2">
      <c r="A180" s="106" t="s">
        <v>171</v>
      </c>
      <c r="B180" s="107"/>
      <c r="C180" s="108">
        <v>2</v>
      </c>
      <c r="D180" s="108">
        <v>2</v>
      </c>
      <c r="E180" s="108">
        <v>2</v>
      </c>
      <c r="F180" s="107" t="s">
        <v>178</v>
      </c>
      <c r="G180" s="107" t="s">
        <v>351</v>
      </c>
      <c r="H180" s="107" t="s">
        <v>441</v>
      </c>
      <c r="I180" s="107"/>
      <c r="J180" s="109" t="s">
        <v>154</v>
      </c>
      <c r="K180" s="107"/>
      <c r="L180" s="109" t="s">
        <v>154</v>
      </c>
      <c r="M180" s="110" t="b">
        <v>1</v>
      </c>
      <c r="N180" s="111"/>
    </row>
    <row r="181" spans="1:14" x14ac:dyDescent="0.2">
      <c r="A181" s="106" t="s">
        <v>171</v>
      </c>
      <c r="B181" s="107"/>
      <c r="C181" s="108">
        <v>2</v>
      </c>
      <c r="D181" s="108">
        <v>3</v>
      </c>
      <c r="E181" s="108">
        <v>2</v>
      </c>
      <c r="F181" s="107" t="s">
        <v>178</v>
      </c>
      <c r="G181" s="107" t="s">
        <v>433</v>
      </c>
      <c r="H181" s="107" t="s">
        <v>432</v>
      </c>
      <c r="I181" s="107"/>
      <c r="J181" s="109" t="s">
        <v>154</v>
      </c>
      <c r="K181" s="107"/>
      <c r="L181" s="109" t="s">
        <v>154</v>
      </c>
      <c r="M181" s="110" t="b">
        <v>1</v>
      </c>
      <c r="N181" s="111"/>
    </row>
    <row r="182" spans="1:14" x14ac:dyDescent="0.2">
      <c r="A182" s="106" t="s">
        <v>171</v>
      </c>
      <c r="B182" s="107"/>
      <c r="C182" s="108">
        <v>2</v>
      </c>
      <c r="D182" s="108">
        <v>4</v>
      </c>
      <c r="E182" s="108">
        <v>2</v>
      </c>
      <c r="F182" s="107" t="s">
        <v>155</v>
      </c>
      <c r="G182" s="107" t="s">
        <v>406</v>
      </c>
      <c r="H182" s="107"/>
      <c r="I182" s="107"/>
      <c r="J182" s="109" t="s">
        <v>154</v>
      </c>
      <c r="K182" s="107"/>
      <c r="L182" s="109" t="s">
        <v>154</v>
      </c>
      <c r="M182" s="110" t="b">
        <v>1</v>
      </c>
      <c r="N182" s="111"/>
    </row>
    <row r="183" spans="1:14" x14ac:dyDescent="0.2">
      <c r="A183" s="106" t="s">
        <v>171</v>
      </c>
      <c r="B183" s="107"/>
      <c r="C183" s="108">
        <v>3</v>
      </c>
      <c r="D183" s="108">
        <v>1</v>
      </c>
      <c r="E183" s="108">
        <v>1</v>
      </c>
      <c r="F183" s="107" t="s">
        <v>155</v>
      </c>
      <c r="G183" s="107" t="s">
        <v>79</v>
      </c>
      <c r="H183" s="107"/>
      <c r="I183" s="107" t="s">
        <v>174</v>
      </c>
      <c r="J183" s="109" t="s">
        <v>153</v>
      </c>
      <c r="K183" s="107" t="s">
        <v>407</v>
      </c>
      <c r="L183" s="109" t="s">
        <v>144</v>
      </c>
      <c r="M183" s="110" t="b">
        <v>1</v>
      </c>
      <c r="N183" s="111"/>
    </row>
    <row r="184" spans="1:14" x14ac:dyDescent="0.2">
      <c r="A184" s="106" t="s">
        <v>171</v>
      </c>
      <c r="B184" s="107"/>
      <c r="C184" s="108">
        <v>3</v>
      </c>
      <c r="D184" s="108">
        <v>2</v>
      </c>
      <c r="E184" s="108">
        <v>2</v>
      </c>
      <c r="F184" s="107" t="s">
        <v>178</v>
      </c>
      <c r="G184" s="107" t="s">
        <v>351</v>
      </c>
      <c r="H184" s="107" t="s">
        <v>441</v>
      </c>
      <c r="I184" s="107"/>
      <c r="J184" s="109" t="s">
        <v>154</v>
      </c>
      <c r="K184" s="107"/>
      <c r="L184" s="109" t="s">
        <v>154</v>
      </c>
      <c r="M184" s="110" t="b">
        <v>1</v>
      </c>
      <c r="N184" s="111"/>
    </row>
    <row r="185" spans="1:14" x14ac:dyDescent="0.2">
      <c r="A185" s="106" t="s">
        <v>171</v>
      </c>
      <c r="B185" s="107"/>
      <c r="C185" s="108">
        <v>3</v>
      </c>
      <c r="D185" s="108">
        <v>3</v>
      </c>
      <c r="E185" s="108">
        <v>2</v>
      </c>
      <c r="F185" s="107" t="s">
        <v>178</v>
      </c>
      <c r="G185" s="107" t="s">
        <v>433</v>
      </c>
      <c r="H185" s="107" t="s">
        <v>432</v>
      </c>
      <c r="I185" s="107"/>
      <c r="J185" s="109" t="s">
        <v>154</v>
      </c>
      <c r="K185" s="107"/>
      <c r="L185" s="109" t="s">
        <v>154</v>
      </c>
      <c r="M185" s="110" t="b">
        <v>1</v>
      </c>
      <c r="N185" s="111"/>
    </row>
    <row r="186" spans="1:14" x14ac:dyDescent="0.2">
      <c r="A186" s="106" t="s">
        <v>171</v>
      </c>
      <c r="B186" s="107"/>
      <c r="C186" s="108">
        <v>3</v>
      </c>
      <c r="D186" s="108">
        <v>4</v>
      </c>
      <c r="E186" s="108">
        <v>2</v>
      </c>
      <c r="F186" s="107" t="s">
        <v>155</v>
      </c>
      <c r="G186" s="107" t="s">
        <v>406</v>
      </c>
      <c r="H186" s="107"/>
      <c r="I186" s="107"/>
      <c r="J186" s="109" t="s">
        <v>154</v>
      </c>
      <c r="K186" s="107"/>
      <c r="L186" s="109" t="s">
        <v>154</v>
      </c>
      <c r="M186" s="110" t="b">
        <v>1</v>
      </c>
      <c r="N186" s="111"/>
    </row>
    <row r="187" spans="1:14" x14ac:dyDescent="0.2">
      <c r="A187" s="106" t="s">
        <v>171</v>
      </c>
      <c r="B187" s="107"/>
      <c r="C187" s="108">
        <v>4</v>
      </c>
      <c r="D187" s="108">
        <v>1</v>
      </c>
      <c r="E187" s="108">
        <v>1</v>
      </c>
      <c r="F187" s="107" t="s">
        <v>155</v>
      </c>
      <c r="G187" s="107" t="s">
        <v>84</v>
      </c>
      <c r="H187" s="107"/>
      <c r="I187" s="107" t="s">
        <v>174</v>
      </c>
      <c r="J187" s="109" t="s">
        <v>153</v>
      </c>
      <c r="K187" s="107" t="s">
        <v>408</v>
      </c>
      <c r="L187" s="109" t="s">
        <v>144</v>
      </c>
      <c r="M187" s="110" t="b">
        <v>1</v>
      </c>
      <c r="N187" s="111"/>
    </row>
    <row r="188" spans="1:14" x14ac:dyDescent="0.2">
      <c r="A188" s="106" t="s">
        <v>171</v>
      </c>
      <c r="B188" s="107"/>
      <c r="C188" s="108">
        <v>4</v>
      </c>
      <c r="D188" s="108">
        <v>2</v>
      </c>
      <c r="E188" s="108">
        <v>2</v>
      </c>
      <c r="F188" s="107" t="s">
        <v>178</v>
      </c>
      <c r="G188" s="107" t="s">
        <v>351</v>
      </c>
      <c r="H188" s="107" t="s">
        <v>441</v>
      </c>
      <c r="I188" s="107"/>
      <c r="J188" s="109" t="s">
        <v>154</v>
      </c>
      <c r="K188" s="107"/>
      <c r="L188" s="109" t="s">
        <v>154</v>
      </c>
      <c r="M188" s="110" t="b">
        <v>1</v>
      </c>
      <c r="N188" s="111"/>
    </row>
    <row r="189" spans="1:14" x14ac:dyDescent="0.2">
      <c r="A189" s="106" t="s">
        <v>171</v>
      </c>
      <c r="B189" s="107"/>
      <c r="C189" s="108">
        <v>4</v>
      </c>
      <c r="D189" s="108">
        <v>3</v>
      </c>
      <c r="E189" s="108">
        <v>2</v>
      </c>
      <c r="F189" s="107" t="s">
        <v>178</v>
      </c>
      <c r="G189" s="107" t="s">
        <v>433</v>
      </c>
      <c r="H189" s="107" t="s">
        <v>432</v>
      </c>
      <c r="I189" s="107"/>
      <c r="J189" s="109" t="s">
        <v>154</v>
      </c>
      <c r="K189" s="107"/>
      <c r="L189" s="109" t="s">
        <v>154</v>
      </c>
      <c r="M189" s="110" t="b">
        <v>1</v>
      </c>
      <c r="N189" s="111"/>
    </row>
    <row r="190" spans="1:14" x14ac:dyDescent="0.2">
      <c r="A190" s="106" t="s">
        <v>171</v>
      </c>
      <c r="B190" s="107"/>
      <c r="C190" s="108">
        <v>4</v>
      </c>
      <c r="D190" s="108">
        <v>4</v>
      </c>
      <c r="E190" s="108">
        <v>2</v>
      </c>
      <c r="F190" s="107" t="s">
        <v>155</v>
      </c>
      <c r="G190" s="107" t="s">
        <v>406</v>
      </c>
      <c r="H190" s="107"/>
      <c r="I190" s="107"/>
      <c r="J190" s="109" t="s">
        <v>154</v>
      </c>
      <c r="K190" s="107"/>
      <c r="L190" s="109" t="s">
        <v>154</v>
      </c>
      <c r="M190" s="110" t="b">
        <v>1</v>
      </c>
      <c r="N190" s="111"/>
    </row>
    <row r="191" spans="1:14" x14ac:dyDescent="0.2">
      <c r="A191" s="106" t="s">
        <v>171</v>
      </c>
      <c r="B191" s="107"/>
      <c r="C191" s="108">
        <v>5</v>
      </c>
      <c r="D191" s="108">
        <v>1</v>
      </c>
      <c r="E191" s="108">
        <v>1</v>
      </c>
      <c r="F191" s="107" t="s">
        <v>155</v>
      </c>
      <c r="G191" s="107" t="s">
        <v>89</v>
      </c>
      <c r="H191" s="107"/>
      <c r="I191" s="107" t="s">
        <v>174</v>
      </c>
      <c r="J191" s="109" t="s">
        <v>153</v>
      </c>
      <c r="K191" s="107" t="s">
        <v>409</v>
      </c>
      <c r="L191" s="109" t="s">
        <v>144</v>
      </c>
      <c r="M191" s="110" t="b">
        <v>1</v>
      </c>
      <c r="N191" s="111"/>
    </row>
    <row r="192" spans="1:14" x14ac:dyDescent="0.2">
      <c r="A192" s="106" t="s">
        <v>171</v>
      </c>
      <c r="B192" s="107"/>
      <c r="C192" s="108">
        <v>5</v>
      </c>
      <c r="D192" s="108">
        <v>2</v>
      </c>
      <c r="E192" s="108">
        <v>2</v>
      </c>
      <c r="F192" s="107" t="s">
        <v>178</v>
      </c>
      <c r="G192" s="107" t="s">
        <v>351</v>
      </c>
      <c r="H192" s="107" t="s">
        <v>441</v>
      </c>
      <c r="I192" s="107"/>
      <c r="J192" s="109" t="s">
        <v>154</v>
      </c>
      <c r="K192" s="107"/>
      <c r="L192" s="109" t="s">
        <v>154</v>
      </c>
      <c r="M192" s="110" t="b">
        <v>1</v>
      </c>
      <c r="N192" s="111"/>
    </row>
    <row r="193" spans="1:14" x14ac:dyDescent="0.2">
      <c r="A193" s="106" t="s">
        <v>171</v>
      </c>
      <c r="B193" s="107"/>
      <c r="C193" s="108">
        <v>5</v>
      </c>
      <c r="D193" s="108">
        <v>3</v>
      </c>
      <c r="E193" s="108">
        <v>2</v>
      </c>
      <c r="F193" s="107" t="s">
        <v>178</v>
      </c>
      <c r="G193" s="107" t="s">
        <v>433</v>
      </c>
      <c r="H193" s="107" t="s">
        <v>432</v>
      </c>
      <c r="I193" s="107"/>
      <c r="J193" s="109" t="s">
        <v>154</v>
      </c>
      <c r="K193" s="107"/>
      <c r="L193" s="109" t="s">
        <v>154</v>
      </c>
      <c r="M193" s="110" t="b">
        <v>1</v>
      </c>
      <c r="N193" s="111"/>
    </row>
    <row r="194" spans="1:14" ht="30" x14ac:dyDescent="0.2">
      <c r="A194" s="112" t="s">
        <v>171</v>
      </c>
      <c r="B194" s="113"/>
      <c r="C194" s="114">
        <v>5</v>
      </c>
      <c r="D194" s="114">
        <v>4</v>
      </c>
      <c r="E194" s="114">
        <v>2</v>
      </c>
      <c r="F194" s="113" t="s">
        <v>155</v>
      </c>
      <c r="G194" s="113" t="s">
        <v>484</v>
      </c>
      <c r="H194" s="113"/>
      <c r="I194" s="113"/>
      <c r="J194" s="115" t="s">
        <v>154</v>
      </c>
      <c r="K194" s="113"/>
      <c r="L194" s="115" t="s">
        <v>154</v>
      </c>
      <c r="M194" s="116" t="b">
        <v>1</v>
      </c>
      <c r="N194" s="117"/>
    </row>
  </sheetData>
  <phoneticPr fontId="24" type="noConversion"/>
  <conditionalFormatting sqref="J2:J85">
    <cfRule type="containsText" dxfId="5" priority="1" operator="containsText" text="plan"/>
    <cfRule type="containsText" dxfId="4" priority="2" operator="containsText" text="available"/>
    <cfRule type="containsText" dxfId="3" priority="3" operator="containsText" text="shortage"/>
  </conditionalFormatting>
  <dataValidations count="6">
    <dataValidation type="whole" sqref="E2:E194" xr:uid="{8B816CBE-1163-BF43-9CD2-B0BAD7AAFA9B}">
      <formula1>1</formula1>
      <formula2>2</formula2>
    </dataValidation>
    <dataValidation type="list" sqref="M2:M194" xr:uid="{566A8967-E8B0-614C-A1DE-0E0E8222DB5B}">
      <formula1>"TRUE,FALSE"</formula1>
    </dataValidation>
    <dataValidation type="list" sqref="L2:L194" xr:uid="{C14E220C-E4EF-6341-B5F4-F621FC444A92}">
      <formula1>"none,label,data,highlight,all"</formula1>
    </dataValidation>
    <dataValidation type="list" sqref="J2:J194" xr:uid="{2D79B2FD-4905-7144-98C6-7F64A69AD11D}">
      <formula1>"none,plan,available,avai,shortage"</formula1>
    </dataValidation>
    <dataValidation type="list" sqref="F2:F194" xr:uid="{7809C96B-EC76-034B-BF27-B6E5DB975334}">
      <formula1>"text,text-inline,label-data,grid-item"</formula1>
    </dataValidation>
    <dataValidation type="list" sqref="A2:A194" xr:uid="{0DDB31BF-3C3C-004F-80CD-737EA3BCAE24}">
      <formula1>"index,delivery,cps,pse,sd,aic,tde"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BAA29-C098-4D49-8582-3C5BD6EB9408}">
  <sheetPr>
    <tabColor theme="3"/>
  </sheetPr>
  <dimension ref="A1:N155"/>
  <sheetViews>
    <sheetView workbookViewId="0">
      <pane ySplit="1" topLeftCell="A67" activePane="bottomLeft" state="frozen"/>
      <selection pane="bottomLeft" activeCell="A69" sqref="A69:XFD69"/>
    </sheetView>
  </sheetViews>
  <sheetFormatPr baseColWidth="10" defaultRowHeight="16" x14ac:dyDescent="0.2"/>
  <cols>
    <col min="1" max="1" width="12" customWidth="1"/>
    <col min="2" max="2" width="26.33203125" customWidth="1"/>
    <col min="3" max="4" width="12" customWidth="1"/>
    <col min="5" max="5" width="8" customWidth="1"/>
    <col min="6" max="6" width="14" customWidth="1"/>
    <col min="7" max="7" width="52" customWidth="1"/>
    <col min="8" max="8" width="32" customWidth="1"/>
    <col min="9" max="9" width="42" customWidth="1"/>
    <col min="10" max="10" width="17" customWidth="1"/>
    <col min="11" max="11" width="34" customWidth="1"/>
    <col min="12" max="12" width="14" customWidth="1"/>
    <col min="13" max="13" width="10" customWidth="1"/>
    <col min="14" max="14" width="48" customWidth="1"/>
  </cols>
  <sheetData>
    <row r="1" spans="1:14" ht="34.75" customHeight="1" x14ac:dyDescent="0.2">
      <c r="A1" s="82" t="s">
        <v>138</v>
      </c>
      <c r="B1" s="83" t="s">
        <v>139</v>
      </c>
      <c r="C1" s="83" t="s">
        <v>140</v>
      </c>
      <c r="D1" s="83" t="s">
        <v>141</v>
      </c>
      <c r="E1" s="83" t="s">
        <v>142</v>
      </c>
      <c r="F1" s="83" t="s">
        <v>143</v>
      </c>
      <c r="G1" s="83" t="s">
        <v>144</v>
      </c>
      <c r="H1" s="83" t="s">
        <v>145</v>
      </c>
      <c r="I1" s="83" t="s">
        <v>146</v>
      </c>
      <c r="J1" s="83" t="s">
        <v>147</v>
      </c>
      <c r="K1" s="83" t="s">
        <v>148</v>
      </c>
      <c r="L1" s="83" t="s">
        <v>149</v>
      </c>
      <c r="M1" s="83" t="s">
        <v>150</v>
      </c>
      <c r="N1" s="84" t="s">
        <v>151</v>
      </c>
    </row>
    <row r="2" spans="1:14" ht="40" customHeight="1" x14ac:dyDescent="0.2">
      <c r="A2" s="91" t="s">
        <v>163</v>
      </c>
      <c r="B2" s="86" t="s">
        <v>269</v>
      </c>
      <c r="C2" s="92">
        <v>1</v>
      </c>
      <c r="D2" s="87">
        <v>1</v>
      </c>
      <c r="E2" s="87">
        <v>1</v>
      </c>
      <c r="F2" s="86" t="s">
        <v>155</v>
      </c>
      <c r="G2" s="86" t="s">
        <v>183</v>
      </c>
      <c r="H2" s="86"/>
      <c r="I2" s="86" t="s">
        <v>296</v>
      </c>
      <c r="J2" s="88" t="s">
        <v>153</v>
      </c>
      <c r="K2" s="86"/>
      <c r="L2" s="88" t="s">
        <v>154</v>
      </c>
      <c r="M2" s="89" t="b">
        <v>1</v>
      </c>
      <c r="N2" s="90"/>
    </row>
    <row r="3" spans="1:14" ht="40" customHeight="1" x14ac:dyDescent="0.2">
      <c r="A3" s="91" t="s">
        <v>163</v>
      </c>
      <c r="B3" s="86"/>
      <c r="C3" s="92">
        <v>1</v>
      </c>
      <c r="D3" s="87">
        <v>2</v>
      </c>
      <c r="E3" s="87">
        <v>2</v>
      </c>
      <c r="F3" s="86" t="s">
        <v>155</v>
      </c>
      <c r="G3" s="86" t="s">
        <v>294</v>
      </c>
      <c r="H3" s="86"/>
      <c r="I3" s="86"/>
      <c r="J3" s="88" t="s">
        <v>154</v>
      </c>
      <c r="K3" s="86"/>
      <c r="L3" s="88" t="s">
        <v>154</v>
      </c>
      <c r="M3" s="89" t="b">
        <v>1</v>
      </c>
      <c r="N3" s="90"/>
    </row>
    <row r="4" spans="1:14" ht="40" customHeight="1" x14ac:dyDescent="0.2">
      <c r="A4" s="91" t="s">
        <v>163</v>
      </c>
      <c r="B4" s="86"/>
      <c r="C4" s="92">
        <v>1</v>
      </c>
      <c r="D4" s="87">
        <v>3</v>
      </c>
      <c r="E4" s="87">
        <v>2</v>
      </c>
      <c r="F4" s="86" t="s">
        <v>155</v>
      </c>
      <c r="G4" s="86" t="s">
        <v>295</v>
      </c>
      <c r="H4" s="86"/>
      <c r="I4" s="86"/>
      <c r="J4" s="88" t="s">
        <v>154</v>
      </c>
      <c r="K4" s="86"/>
      <c r="L4" s="88" t="s">
        <v>154</v>
      </c>
      <c r="M4" s="89" t="b">
        <v>1</v>
      </c>
      <c r="N4" s="90"/>
    </row>
    <row r="5" spans="1:14" ht="40" customHeight="1" x14ac:dyDescent="0.2">
      <c r="A5" s="91" t="s">
        <v>163</v>
      </c>
      <c r="B5" s="86"/>
      <c r="C5" s="92">
        <v>1</v>
      </c>
      <c r="D5" s="87">
        <v>5</v>
      </c>
      <c r="E5" s="87">
        <v>2</v>
      </c>
      <c r="F5" s="86" t="s">
        <v>178</v>
      </c>
      <c r="G5" s="86" t="s">
        <v>208</v>
      </c>
      <c r="H5" s="86" t="s">
        <v>297</v>
      </c>
      <c r="I5" s="86"/>
      <c r="J5" s="88" t="s">
        <v>154</v>
      </c>
      <c r="K5" s="86"/>
      <c r="L5" s="88" t="s">
        <v>154</v>
      </c>
      <c r="M5" s="89" t="b">
        <v>1</v>
      </c>
      <c r="N5" s="90"/>
    </row>
    <row r="6" spans="1:14" ht="40" customHeight="1" x14ac:dyDescent="0.2">
      <c r="A6" s="91" t="s">
        <v>163</v>
      </c>
      <c r="B6" s="86"/>
      <c r="C6" s="93">
        <v>2</v>
      </c>
      <c r="D6" s="87">
        <v>1</v>
      </c>
      <c r="E6" s="87">
        <v>1</v>
      </c>
      <c r="F6" s="86" t="s">
        <v>155</v>
      </c>
      <c r="G6" s="86" t="s">
        <v>184</v>
      </c>
      <c r="H6" s="86"/>
      <c r="I6" s="86" t="s">
        <v>194</v>
      </c>
      <c r="J6" s="88" t="s">
        <v>153</v>
      </c>
      <c r="K6" s="86"/>
      <c r="L6" s="88" t="s">
        <v>154</v>
      </c>
      <c r="M6" s="89" t="b">
        <v>1</v>
      </c>
      <c r="N6" s="90"/>
    </row>
    <row r="7" spans="1:14" ht="40" customHeight="1" x14ac:dyDescent="0.2">
      <c r="A7" s="91" t="s">
        <v>163</v>
      </c>
      <c r="B7" s="86"/>
      <c r="C7" s="93">
        <v>2</v>
      </c>
      <c r="D7" s="87">
        <v>2</v>
      </c>
      <c r="E7" s="87">
        <v>2</v>
      </c>
      <c r="F7" s="86" t="s">
        <v>178</v>
      </c>
      <c r="G7" s="86" t="s">
        <v>364</v>
      </c>
      <c r="H7" s="86" t="s">
        <v>300</v>
      </c>
      <c r="I7" s="86"/>
      <c r="J7" s="88" t="s">
        <v>154</v>
      </c>
      <c r="K7" s="86"/>
      <c r="L7" s="88" t="s">
        <v>154</v>
      </c>
      <c r="M7" s="89" t="b">
        <v>1</v>
      </c>
      <c r="N7" s="90"/>
    </row>
    <row r="8" spans="1:14" ht="40" customHeight="1" x14ac:dyDescent="0.2">
      <c r="A8" s="91" t="s">
        <v>163</v>
      </c>
      <c r="B8" s="86"/>
      <c r="C8" s="93">
        <v>2</v>
      </c>
      <c r="D8" s="87">
        <v>3</v>
      </c>
      <c r="E8" s="87">
        <v>2</v>
      </c>
      <c r="F8" s="86" t="s">
        <v>178</v>
      </c>
      <c r="G8" s="86" t="s">
        <v>298</v>
      </c>
      <c r="H8" s="86" t="s">
        <v>299</v>
      </c>
      <c r="I8" s="86"/>
      <c r="J8" s="88" t="s">
        <v>154</v>
      </c>
      <c r="K8" s="86"/>
      <c r="L8" s="88" t="s">
        <v>154</v>
      </c>
      <c r="M8" s="89" t="b">
        <v>1</v>
      </c>
      <c r="N8" s="90"/>
    </row>
    <row r="9" spans="1:14" ht="40" customHeight="1" x14ac:dyDescent="0.2">
      <c r="A9" s="91" t="s">
        <v>163</v>
      </c>
      <c r="B9" s="86"/>
      <c r="C9" s="93">
        <v>2</v>
      </c>
      <c r="D9" s="87">
        <v>4</v>
      </c>
      <c r="E9" s="87">
        <v>2</v>
      </c>
      <c r="F9" s="86" t="s">
        <v>178</v>
      </c>
      <c r="G9" s="86" t="s">
        <v>302</v>
      </c>
      <c r="H9" s="86" t="s">
        <v>301</v>
      </c>
      <c r="I9" s="86"/>
      <c r="J9" s="88" t="s">
        <v>154</v>
      </c>
      <c r="K9" s="86"/>
      <c r="L9" s="88" t="s">
        <v>154</v>
      </c>
      <c r="M9" s="89" t="b">
        <v>1</v>
      </c>
      <c r="N9" s="90"/>
    </row>
    <row r="10" spans="1:14" ht="40" customHeight="1" x14ac:dyDescent="0.2">
      <c r="A10" s="91" t="s">
        <v>163</v>
      </c>
      <c r="B10" s="86"/>
      <c r="C10" s="93">
        <v>2</v>
      </c>
      <c r="D10" s="87">
        <v>5</v>
      </c>
      <c r="E10" s="87">
        <v>2</v>
      </c>
      <c r="F10" s="86" t="s">
        <v>155</v>
      </c>
      <c r="G10" s="86" t="s">
        <v>209</v>
      </c>
      <c r="H10" s="86"/>
      <c r="I10" s="86"/>
      <c r="J10" s="88" t="s">
        <v>154</v>
      </c>
      <c r="K10" s="86"/>
      <c r="L10" s="88" t="s">
        <v>154</v>
      </c>
      <c r="M10" s="89" t="b">
        <v>1</v>
      </c>
      <c r="N10" s="90"/>
    </row>
    <row r="11" spans="1:14" ht="40" customHeight="1" x14ac:dyDescent="0.2">
      <c r="A11" s="91" t="s">
        <v>163</v>
      </c>
      <c r="B11" s="86"/>
      <c r="C11" s="93">
        <v>2</v>
      </c>
      <c r="D11" s="87">
        <v>6</v>
      </c>
      <c r="E11" s="87">
        <v>2</v>
      </c>
      <c r="F11" s="86" t="s">
        <v>152</v>
      </c>
      <c r="G11" s="86" t="s">
        <v>110</v>
      </c>
      <c r="H11" s="86" t="s">
        <v>210</v>
      </c>
      <c r="I11" s="86"/>
      <c r="J11" s="88" t="s">
        <v>154</v>
      </c>
      <c r="K11" s="86" t="s">
        <v>168</v>
      </c>
      <c r="L11" s="88" t="s">
        <v>144</v>
      </c>
      <c r="M11" s="89" t="b">
        <v>1</v>
      </c>
      <c r="N11" s="90"/>
    </row>
    <row r="12" spans="1:14" ht="40" customHeight="1" x14ac:dyDescent="0.2">
      <c r="A12" s="91" t="s">
        <v>163</v>
      </c>
      <c r="B12" s="86"/>
      <c r="C12" s="93">
        <v>2</v>
      </c>
      <c r="D12" s="87">
        <v>7</v>
      </c>
      <c r="E12" s="87">
        <v>2</v>
      </c>
      <c r="F12" s="86" t="s">
        <v>152</v>
      </c>
      <c r="G12" s="86" t="s">
        <v>104</v>
      </c>
      <c r="H12" s="86" t="s">
        <v>211</v>
      </c>
      <c r="I12" s="86"/>
      <c r="J12" s="88" t="s">
        <v>154</v>
      </c>
      <c r="K12" s="86" t="s">
        <v>160</v>
      </c>
      <c r="L12" s="88" t="s">
        <v>144</v>
      </c>
      <c r="M12" s="89" t="b">
        <v>1</v>
      </c>
      <c r="N12" s="90"/>
    </row>
    <row r="13" spans="1:14" ht="40" customHeight="1" x14ac:dyDescent="0.2">
      <c r="A13" s="91" t="s">
        <v>163</v>
      </c>
      <c r="B13" s="86"/>
      <c r="C13" s="93">
        <v>2</v>
      </c>
      <c r="D13" s="87">
        <v>8</v>
      </c>
      <c r="E13" s="87">
        <v>2</v>
      </c>
      <c r="F13" s="86" t="s">
        <v>152</v>
      </c>
      <c r="G13" s="86" t="s">
        <v>111</v>
      </c>
      <c r="H13" s="86" t="s">
        <v>212</v>
      </c>
      <c r="I13" s="86"/>
      <c r="J13" s="88" t="s">
        <v>154</v>
      </c>
      <c r="K13" s="86" t="s">
        <v>201</v>
      </c>
      <c r="L13" s="88" t="s">
        <v>144</v>
      </c>
      <c r="M13" s="89" t="b">
        <v>1</v>
      </c>
      <c r="N13" s="90"/>
    </row>
    <row r="14" spans="1:14" ht="40" customHeight="1" x14ac:dyDescent="0.2">
      <c r="A14" s="91" t="s">
        <v>163</v>
      </c>
      <c r="B14" s="86"/>
      <c r="C14" s="93">
        <v>2</v>
      </c>
      <c r="D14" s="87">
        <v>9</v>
      </c>
      <c r="E14" s="87">
        <v>2</v>
      </c>
      <c r="F14" s="86" t="s">
        <v>155</v>
      </c>
      <c r="G14" s="86" t="s">
        <v>206</v>
      </c>
      <c r="H14" s="86"/>
      <c r="I14" s="86"/>
      <c r="J14" s="88" t="s">
        <v>154</v>
      </c>
      <c r="K14" s="86"/>
      <c r="L14" s="88" t="s">
        <v>154</v>
      </c>
      <c r="M14" s="89" t="b">
        <v>1</v>
      </c>
      <c r="N14" s="90"/>
    </row>
    <row r="15" spans="1:14" ht="40" customHeight="1" x14ac:dyDescent="0.2">
      <c r="A15" s="91" t="s">
        <v>163</v>
      </c>
      <c r="B15" s="86"/>
      <c r="C15" s="93">
        <v>2</v>
      </c>
      <c r="D15" s="87">
        <v>10</v>
      </c>
      <c r="E15" s="87">
        <v>2</v>
      </c>
      <c r="F15" s="86" t="s">
        <v>152</v>
      </c>
      <c r="G15" s="86" t="s">
        <v>196</v>
      </c>
      <c r="H15" s="86" t="s">
        <v>213</v>
      </c>
      <c r="I15" s="86" t="s">
        <v>270</v>
      </c>
      <c r="J15" s="88" t="s">
        <v>153</v>
      </c>
      <c r="K15" s="86" t="s">
        <v>197</v>
      </c>
      <c r="L15" s="88" t="s">
        <v>144</v>
      </c>
      <c r="M15" s="89" t="b">
        <v>1</v>
      </c>
      <c r="N15" s="90"/>
    </row>
    <row r="16" spans="1:14" ht="40" customHeight="1" x14ac:dyDescent="0.2">
      <c r="A16" s="91" t="s">
        <v>163</v>
      </c>
      <c r="B16" s="86"/>
      <c r="C16" s="93">
        <v>2</v>
      </c>
      <c r="D16" s="87">
        <v>11</v>
      </c>
      <c r="E16" s="87">
        <v>2</v>
      </c>
      <c r="F16" s="86" t="s">
        <v>152</v>
      </c>
      <c r="G16" s="86" t="s">
        <v>114</v>
      </c>
      <c r="H16" s="86" t="s">
        <v>214</v>
      </c>
      <c r="I16" s="86" t="s">
        <v>271</v>
      </c>
      <c r="J16" s="88" t="s">
        <v>153</v>
      </c>
      <c r="K16" s="86" t="s">
        <v>165</v>
      </c>
      <c r="L16" s="88" t="s">
        <v>144</v>
      </c>
      <c r="M16" s="89" t="b">
        <v>1</v>
      </c>
      <c r="N16" s="90"/>
    </row>
    <row r="17" spans="1:14" ht="40" customHeight="1" x14ac:dyDescent="0.2">
      <c r="A17" s="91" t="s">
        <v>163</v>
      </c>
      <c r="B17" s="86"/>
      <c r="C17" s="93">
        <v>2</v>
      </c>
      <c r="D17" s="87">
        <v>12</v>
      </c>
      <c r="E17" s="87">
        <v>2</v>
      </c>
      <c r="F17" s="86" t="s">
        <v>152</v>
      </c>
      <c r="G17" s="86" t="s">
        <v>198</v>
      </c>
      <c r="H17" s="86" t="s">
        <v>215</v>
      </c>
      <c r="I17" s="86" t="s">
        <v>272</v>
      </c>
      <c r="J17" s="88" t="s">
        <v>153</v>
      </c>
      <c r="K17" s="86" t="s">
        <v>199</v>
      </c>
      <c r="L17" s="88" t="s">
        <v>144</v>
      </c>
      <c r="M17" s="89" t="b">
        <v>1</v>
      </c>
      <c r="N17" s="90"/>
    </row>
    <row r="18" spans="1:14" ht="40" customHeight="1" x14ac:dyDescent="0.2">
      <c r="A18" s="91" t="s">
        <v>163</v>
      </c>
      <c r="B18" s="86"/>
      <c r="C18" s="93">
        <v>2</v>
      </c>
      <c r="D18" s="87">
        <v>13</v>
      </c>
      <c r="E18" s="87">
        <v>2</v>
      </c>
      <c r="F18" s="86" t="s">
        <v>155</v>
      </c>
      <c r="G18" s="86" t="s">
        <v>195</v>
      </c>
      <c r="H18" s="86"/>
      <c r="I18" s="86"/>
      <c r="J18" s="88" t="s">
        <v>154</v>
      </c>
      <c r="K18" s="86"/>
      <c r="L18" s="88" t="s">
        <v>154</v>
      </c>
      <c r="M18" s="89" t="b">
        <v>1</v>
      </c>
      <c r="N18" s="90"/>
    </row>
    <row r="19" spans="1:14" ht="40" customHeight="1" x14ac:dyDescent="0.2">
      <c r="A19" s="91" t="s">
        <v>163</v>
      </c>
      <c r="B19" s="86"/>
      <c r="C19" s="93">
        <v>2</v>
      </c>
      <c r="D19" s="87">
        <v>14</v>
      </c>
      <c r="E19" s="87">
        <v>2</v>
      </c>
      <c r="F19" s="86" t="s">
        <v>152</v>
      </c>
      <c r="G19" s="86" t="s">
        <v>103</v>
      </c>
      <c r="H19" s="86"/>
      <c r="I19" s="86" t="s">
        <v>216</v>
      </c>
      <c r="J19" s="88" t="s">
        <v>158</v>
      </c>
      <c r="K19" s="86" t="s">
        <v>166</v>
      </c>
      <c r="L19" s="88" t="s">
        <v>144</v>
      </c>
      <c r="M19" s="89" t="b">
        <v>1</v>
      </c>
      <c r="N19" s="90"/>
    </row>
    <row r="20" spans="1:14" ht="40" customHeight="1" x14ac:dyDescent="0.2">
      <c r="A20" s="91" t="s">
        <v>163</v>
      </c>
      <c r="B20" s="86"/>
      <c r="C20" s="93">
        <v>2</v>
      </c>
      <c r="D20" s="87">
        <v>15</v>
      </c>
      <c r="E20" s="87">
        <v>2</v>
      </c>
      <c r="F20" s="86" t="s">
        <v>152</v>
      </c>
      <c r="G20" s="86" t="s">
        <v>167</v>
      </c>
      <c r="H20" s="86"/>
      <c r="I20" s="86" t="s">
        <v>217</v>
      </c>
      <c r="J20" s="88" t="s">
        <v>158</v>
      </c>
      <c r="K20" s="86" t="s">
        <v>156</v>
      </c>
      <c r="L20" s="88" t="s">
        <v>144</v>
      </c>
      <c r="M20" s="89" t="b">
        <v>1</v>
      </c>
      <c r="N20" s="90"/>
    </row>
    <row r="21" spans="1:14" ht="40" customHeight="1" x14ac:dyDescent="0.2">
      <c r="A21" s="91" t="s">
        <v>163</v>
      </c>
      <c r="B21" s="86"/>
      <c r="C21" s="93">
        <v>2</v>
      </c>
      <c r="D21" s="87">
        <v>16</v>
      </c>
      <c r="E21" s="87">
        <v>2</v>
      </c>
      <c r="F21" s="86" t="s">
        <v>152</v>
      </c>
      <c r="G21" s="86" t="s">
        <v>114</v>
      </c>
      <c r="H21" s="86"/>
      <c r="I21" s="86" t="s">
        <v>218</v>
      </c>
      <c r="J21" s="88" t="s">
        <v>158</v>
      </c>
      <c r="K21" s="86" t="s">
        <v>165</v>
      </c>
      <c r="L21" s="88" t="s">
        <v>144</v>
      </c>
      <c r="M21" s="89" t="b">
        <v>1</v>
      </c>
      <c r="N21" s="90"/>
    </row>
    <row r="22" spans="1:14" ht="40" customHeight="1" x14ac:dyDescent="0.2">
      <c r="A22" s="91" t="s">
        <v>163</v>
      </c>
      <c r="B22" s="86"/>
      <c r="C22" s="93">
        <v>2</v>
      </c>
      <c r="D22" s="87">
        <v>17</v>
      </c>
      <c r="E22" s="87">
        <v>2</v>
      </c>
      <c r="F22" s="86" t="s">
        <v>155</v>
      </c>
      <c r="G22" s="86" t="s">
        <v>200</v>
      </c>
      <c r="H22" s="86"/>
      <c r="I22" s="86"/>
      <c r="J22" s="88" t="s">
        <v>154</v>
      </c>
      <c r="K22" s="86"/>
      <c r="L22" s="88" t="s">
        <v>154</v>
      </c>
      <c r="M22" s="89" t="b">
        <v>1</v>
      </c>
      <c r="N22" s="90"/>
    </row>
    <row r="23" spans="1:14" ht="40" customHeight="1" x14ac:dyDescent="0.2">
      <c r="A23" s="91" t="s">
        <v>163</v>
      </c>
      <c r="B23" s="86"/>
      <c r="C23" s="93">
        <v>2</v>
      </c>
      <c r="D23" s="87">
        <v>18</v>
      </c>
      <c r="E23" s="87">
        <v>2</v>
      </c>
      <c r="F23" s="86" t="s">
        <v>152</v>
      </c>
      <c r="G23" s="86" t="s">
        <v>111</v>
      </c>
      <c r="H23" s="86"/>
      <c r="I23" s="86" t="s">
        <v>219</v>
      </c>
      <c r="J23" s="88" t="s">
        <v>159</v>
      </c>
      <c r="K23" s="86" t="s">
        <v>201</v>
      </c>
      <c r="L23" s="88" t="s">
        <v>144</v>
      </c>
      <c r="M23" s="89" t="b">
        <v>1</v>
      </c>
      <c r="N23" s="90"/>
    </row>
    <row r="24" spans="1:14" ht="40" customHeight="1" x14ac:dyDescent="0.2">
      <c r="A24" s="91" t="s">
        <v>163</v>
      </c>
      <c r="B24" s="86"/>
      <c r="C24" s="93">
        <v>2</v>
      </c>
      <c r="D24" s="87">
        <v>19</v>
      </c>
      <c r="E24" s="87">
        <v>2</v>
      </c>
      <c r="F24" s="86" t="s">
        <v>152</v>
      </c>
      <c r="G24" s="86" t="s">
        <v>110</v>
      </c>
      <c r="H24" s="86"/>
      <c r="I24" s="86" t="s">
        <v>220</v>
      </c>
      <c r="J24" s="88" t="s">
        <v>159</v>
      </c>
      <c r="K24" s="86" t="s">
        <v>168</v>
      </c>
      <c r="L24" s="88" t="s">
        <v>144</v>
      </c>
      <c r="M24" s="89" t="b">
        <v>1</v>
      </c>
      <c r="N24" s="90"/>
    </row>
    <row r="25" spans="1:14" ht="40" customHeight="1" x14ac:dyDescent="0.2">
      <c r="A25" s="91" t="s">
        <v>163</v>
      </c>
      <c r="B25" s="86"/>
      <c r="C25" s="93">
        <v>2</v>
      </c>
      <c r="D25" s="87">
        <v>20</v>
      </c>
      <c r="E25" s="87">
        <v>2</v>
      </c>
      <c r="F25" s="86" t="s">
        <v>152</v>
      </c>
      <c r="G25" s="86" t="s">
        <v>104</v>
      </c>
      <c r="H25" s="86"/>
      <c r="I25" s="86" t="s">
        <v>221</v>
      </c>
      <c r="J25" s="88" t="s">
        <v>159</v>
      </c>
      <c r="K25" s="86" t="s">
        <v>160</v>
      </c>
      <c r="L25" s="88" t="s">
        <v>144</v>
      </c>
      <c r="M25" s="89" t="b">
        <v>1</v>
      </c>
      <c r="N25" s="90"/>
    </row>
    <row r="26" spans="1:14" ht="40" customHeight="1" x14ac:dyDescent="0.2">
      <c r="A26" s="91" t="s">
        <v>163</v>
      </c>
      <c r="B26" s="86"/>
      <c r="C26" s="93">
        <v>2</v>
      </c>
      <c r="D26" s="87">
        <v>21</v>
      </c>
      <c r="E26" s="87">
        <v>2</v>
      </c>
      <c r="F26" s="86" t="s">
        <v>178</v>
      </c>
      <c r="G26" s="86" t="s">
        <v>208</v>
      </c>
      <c r="H26" s="86" t="s">
        <v>286</v>
      </c>
      <c r="I26" s="86"/>
      <c r="J26" s="88" t="s">
        <v>154</v>
      </c>
      <c r="K26" s="86"/>
      <c r="L26" s="88" t="s">
        <v>154</v>
      </c>
      <c r="M26" s="89" t="b">
        <v>1</v>
      </c>
      <c r="N26" s="90"/>
    </row>
    <row r="27" spans="1:14" ht="40" customHeight="1" x14ac:dyDescent="0.2">
      <c r="A27" s="91" t="s">
        <v>163</v>
      </c>
      <c r="B27" s="86"/>
      <c r="C27" s="92">
        <v>3</v>
      </c>
      <c r="D27" s="87">
        <v>1</v>
      </c>
      <c r="E27" s="87">
        <v>1</v>
      </c>
      <c r="F27" s="86" t="s">
        <v>155</v>
      </c>
      <c r="G27" s="86" t="s">
        <v>185</v>
      </c>
      <c r="H27" s="86"/>
      <c r="I27" s="86" t="s">
        <v>202</v>
      </c>
      <c r="J27" s="88" t="s">
        <v>153</v>
      </c>
      <c r="K27" s="86"/>
      <c r="L27" s="88" t="s">
        <v>154</v>
      </c>
      <c r="M27" s="89" t="b">
        <v>1</v>
      </c>
      <c r="N27" s="90"/>
    </row>
    <row r="28" spans="1:14" ht="40" customHeight="1" x14ac:dyDescent="0.2">
      <c r="A28" s="91" t="s">
        <v>163</v>
      </c>
      <c r="B28" s="86"/>
      <c r="C28" s="92">
        <v>3</v>
      </c>
      <c r="D28" s="87">
        <v>2</v>
      </c>
      <c r="E28" s="87">
        <v>2</v>
      </c>
      <c r="F28" s="86" t="s">
        <v>178</v>
      </c>
      <c r="G28" s="86" t="s">
        <v>361</v>
      </c>
      <c r="H28" s="86" t="s">
        <v>363</v>
      </c>
      <c r="I28" s="86"/>
      <c r="J28" s="88" t="s">
        <v>154</v>
      </c>
      <c r="K28" s="86"/>
      <c r="L28" s="88" t="s">
        <v>154</v>
      </c>
      <c r="M28" s="89" t="b">
        <v>1</v>
      </c>
      <c r="N28" s="90"/>
    </row>
    <row r="29" spans="1:14" ht="40" customHeight="1" x14ac:dyDescent="0.2">
      <c r="A29" s="91" t="s">
        <v>163</v>
      </c>
      <c r="B29" s="86"/>
      <c r="C29" s="92">
        <v>3</v>
      </c>
      <c r="D29" s="87">
        <v>3</v>
      </c>
      <c r="E29" s="87">
        <v>2</v>
      </c>
      <c r="F29" s="86" t="s">
        <v>178</v>
      </c>
      <c r="G29" s="86" t="s">
        <v>104</v>
      </c>
      <c r="H29" s="86" t="s">
        <v>362</v>
      </c>
      <c r="I29" s="86"/>
      <c r="J29" s="88" t="s">
        <v>154</v>
      </c>
      <c r="K29" s="86"/>
      <c r="L29" s="88" t="s">
        <v>154</v>
      </c>
      <c r="M29" s="89" t="b">
        <v>1</v>
      </c>
      <c r="N29" s="90"/>
    </row>
    <row r="30" spans="1:14" ht="40" customHeight="1" x14ac:dyDescent="0.2">
      <c r="A30" s="91" t="s">
        <v>163</v>
      </c>
      <c r="B30" s="86"/>
      <c r="C30" s="92">
        <v>3</v>
      </c>
      <c r="D30" s="87">
        <v>4</v>
      </c>
      <c r="E30" s="87">
        <v>2</v>
      </c>
      <c r="F30" s="86" t="s">
        <v>178</v>
      </c>
      <c r="G30" s="86" t="s">
        <v>167</v>
      </c>
      <c r="H30" s="86" t="s">
        <v>354</v>
      </c>
      <c r="I30" s="86"/>
      <c r="J30" s="88" t="s">
        <v>154</v>
      </c>
      <c r="K30" s="86"/>
      <c r="L30" s="88" t="s">
        <v>154</v>
      </c>
      <c r="M30" s="89" t="b">
        <v>1</v>
      </c>
      <c r="N30" s="90"/>
    </row>
    <row r="31" spans="1:14" ht="40" customHeight="1" x14ac:dyDescent="0.2">
      <c r="A31" s="91" t="s">
        <v>163</v>
      </c>
      <c r="B31" s="86"/>
      <c r="C31" s="92">
        <v>3</v>
      </c>
      <c r="D31" s="87">
        <v>5</v>
      </c>
      <c r="E31" s="87">
        <v>2</v>
      </c>
      <c r="F31" s="86" t="s">
        <v>155</v>
      </c>
      <c r="G31" s="86" t="s">
        <v>209</v>
      </c>
      <c r="H31" s="86"/>
      <c r="I31" s="86"/>
      <c r="J31" s="88" t="s">
        <v>154</v>
      </c>
      <c r="K31" s="86"/>
      <c r="L31" s="88" t="s">
        <v>154</v>
      </c>
      <c r="M31" s="89" t="b">
        <v>1</v>
      </c>
      <c r="N31" s="90"/>
    </row>
    <row r="32" spans="1:14" ht="40" customHeight="1" x14ac:dyDescent="0.2">
      <c r="A32" s="91" t="s">
        <v>163</v>
      </c>
      <c r="B32" s="86"/>
      <c r="C32" s="92">
        <v>3</v>
      </c>
      <c r="D32" s="87">
        <v>6</v>
      </c>
      <c r="E32" s="87">
        <v>2</v>
      </c>
      <c r="F32" s="86" t="s">
        <v>152</v>
      </c>
      <c r="G32" s="86" t="s">
        <v>104</v>
      </c>
      <c r="H32" s="86" t="s">
        <v>222</v>
      </c>
      <c r="I32" s="86"/>
      <c r="J32" s="88" t="s">
        <v>154</v>
      </c>
      <c r="K32" s="86" t="s">
        <v>160</v>
      </c>
      <c r="L32" s="88" t="s">
        <v>144</v>
      </c>
      <c r="M32" s="89" t="b">
        <v>1</v>
      </c>
      <c r="N32" s="90"/>
    </row>
    <row r="33" spans="1:14" ht="40" customHeight="1" x14ac:dyDescent="0.2">
      <c r="A33" s="91" t="s">
        <v>163</v>
      </c>
      <c r="B33" s="86"/>
      <c r="C33" s="92">
        <v>3</v>
      </c>
      <c r="D33" s="87">
        <v>7</v>
      </c>
      <c r="E33" s="87">
        <v>2</v>
      </c>
      <c r="F33" s="86" t="s">
        <v>152</v>
      </c>
      <c r="G33" s="86" t="s">
        <v>109</v>
      </c>
      <c r="H33" s="86" t="s">
        <v>223</v>
      </c>
      <c r="I33" s="86"/>
      <c r="J33" s="88" t="s">
        <v>154</v>
      </c>
      <c r="K33" s="86" t="s">
        <v>170</v>
      </c>
      <c r="L33" s="88" t="s">
        <v>144</v>
      </c>
      <c r="M33" s="89" t="b">
        <v>1</v>
      </c>
      <c r="N33" s="90"/>
    </row>
    <row r="34" spans="1:14" ht="40" customHeight="1" x14ac:dyDescent="0.2">
      <c r="A34" s="91" t="s">
        <v>163</v>
      </c>
      <c r="B34" s="86"/>
      <c r="C34" s="92">
        <v>3</v>
      </c>
      <c r="D34" s="87">
        <v>8</v>
      </c>
      <c r="E34" s="87">
        <v>2</v>
      </c>
      <c r="F34" s="86" t="s">
        <v>152</v>
      </c>
      <c r="G34" s="86" t="s">
        <v>111</v>
      </c>
      <c r="H34" s="86" t="s">
        <v>224</v>
      </c>
      <c r="I34" s="86"/>
      <c r="J34" s="88" t="s">
        <v>154</v>
      </c>
      <c r="K34" s="86" t="s">
        <v>201</v>
      </c>
      <c r="L34" s="88" t="s">
        <v>144</v>
      </c>
      <c r="M34" s="89" t="b">
        <v>1</v>
      </c>
      <c r="N34" s="90"/>
    </row>
    <row r="35" spans="1:14" ht="40" customHeight="1" x14ac:dyDescent="0.2">
      <c r="A35" s="91" t="s">
        <v>163</v>
      </c>
      <c r="B35" s="86"/>
      <c r="C35" s="92">
        <v>3</v>
      </c>
      <c r="D35" s="87">
        <v>9</v>
      </c>
      <c r="E35" s="87">
        <v>2</v>
      </c>
      <c r="F35" s="86" t="s">
        <v>155</v>
      </c>
      <c r="G35" s="86" t="s">
        <v>206</v>
      </c>
      <c r="H35" s="86"/>
      <c r="I35" s="86"/>
      <c r="J35" s="88" t="s">
        <v>154</v>
      </c>
      <c r="K35" s="86"/>
      <c r="L35" s="88" t="s">
        <v>154</v>
      </c>
      <c r="M35" s="89" t="b">
        <v>1</v>
      </c>
      <c r="N35" s="90"/>
    </row>
    <row r="36" spans="1:14" ht="40" customHeight="1" x14ac:dyDescent="0.2">
      <c r="A36" s="91" t="s">
        <v>163</v>
      </c>
      <c r="B36" s="86"/>
      <c r="C36" s="92">
        <v>3</v>
      </c>
      <c r="D36" s="87">
        <v>10</v>
      </c>
      <c r="E36" s="87">
        <v>2</v>
      </c>
      <c r="F36" s="86" t="s">
        <v>152</v>
      </c>
      <c r="G36" s="86" t="s">
        <v>196</v>
      </c>
      <c r="H36" s="86" t="s">
        <v>225</v>
      </c>
      <c r="I36" s="86" t="s">
        <v>207</v>
      </c>
      <c r="J36" s="88" t="s">
        <v>153</v>
      </c>
      <c r="K36" s="86" t="s">
        <v>197</v>
      </c>
      <c r="L36" s="88" t="s">
        <v>144</v>
      </c>
      <c r="M36" s="89" t="b">
        <v>1</v>
      </c>
      <c r="N36" s="90"/>
    </row>
    <row r="37" spans="1:14" ht="40" customHeight="1" x14ac:dyDescent="0.2">
      <c r="A37" s="91" t="s">
        <v>163</v>
      </c>
      <c r="B37" s="86"/>
      <c r="C37" s="92">
        <v>3</v>
      </c>
      <c r="D37" s="87">
        <v>11</v>
      </c>
      <c r="E37" s="87">
        <v>2</v>
      </c>
      <c r="F37" s="86" t="s">
        <v>152</v>
      </c>
      <c r="G37" s="86" t="s">
        <v>167</v>
      </c>
      <c r="H37" s="86" t="s">
        <v>226</v>
      </c>
      <c r="I37" s="86" t="s">
        <v>273</v>
      </c>
      <c r="J37" s="88" t="s">
        <v>153</v>
      </c>
      <c r="K37" s="86" t="s">
        <v>156</v>
      </c>
      <c r="L37" s="88" t="s">
        <v>144</v>
      </c>
      <c r="M37" s="89" t="b">
        <v>1</v>
      </c>
      <c r="N37" s="90"/>
    </row>
    <row r="38" spans="1:14" ht="40" customHeight="1" x14ac:dyDescent="0.2">
      <c r="A38" s="91" t="s">
        <v>163</v>
      </c>
      <c r="B38" s="86"/>
      <c r="C38" s="92">
        <v>3</v>
      </c>
      <c r="D38" s="87">
        <v>12</v>
      </c>
      <c r="E38" s="87">
        <v>2</v>
      </c>
      <c r="F38" s="86" t="s">
        <v>152</v>
      </c>
      <c r="G38" s="86" t="s">
        <v>105</v>
      </c>
      <c r="H38" s="86" t="s">
        <v>213</v>
      </c>
      <c r="I38" s="86" t="s">
        <v>270</v>
      </c>
      <c r="J38" s="88" t="s">
        <v>153</v>
      </c>
      <c r="K38" s="86" t="s">
        <v>161</v>
      </c>
      <c r="L38" s="88" t="s">
        <v>144</v>
      </c>
      <c r="M38" s="89" t="b">
        <v>1</v>
      </c>
      <c r="N38" s="90"/>
    </row>
    <row r="39" spans="1:14" ht="40" customHeight="1" x14ac:dyDescent="0.2">
      <c r="A39" s="91" t="s">
        <v>163</v>
      </c>
      <c r="B39" s="86"/>
      <c r="C39" s="92">
        <v>3</v>
      </c>
      <c r="D39" s="87">
        <v>13</v>
      </c>
      <c r="E39" s="87">
        <v>2</v>
      </c>
      <c r="F39" s="86" t="s">
        <v>155</v>
      </c>
      <c r="G39" s="86" t="s">
        <v>195</v>
      </c>
      <c r="H39" s="86"/>
      <c r="I39" s="86"/>
      <c r="J39" s="88" t="s">
        <v>154</v>
      </c>
      <c r="K39" s="86"/>
      <c r="L39" s="88" t="s">
        <v>154</v>
      </c>
      <c r="M39" s="89" t="b">
        <v>1</v>
      </c>
      <c r="N39" s="90"/>
    </row>
    <row r="40" spans="1:14" ht="40" customHeight="1" x14ac:dyDescent="0.2">
      <c r="A40" s="91" t="s">
        <v>163</v>
      </c>
      <c r="B40" s="86"/>
      <c r="C40" s="92">
        <v>3</v>
      </c>
      <c r="D40" s="87">
        <v>14</v>
      </c>
      <c r="E40" s="87">
        <v>2</v>
      </c>
      <c r="F40" s="86" t="s">
        <v>152</v>
      </c>
      <c r="G40" s="86" t="s">
        <v>103</v>
      </c>
      <c r="H40" s="86"/>
      <c r="I40" s="86" t="s">
        <v>227</v>
      </c>
      <c r="J40" s="88" t="s">
        <v>158</v>
      </c>
      <c r="K40" s="86" t="s">
        <v>166</v>
      </c>
      <c r="L40" s="88" t="s">
        <v>144</v>
      </c>
      <c r="M40" s="89" t="b">
        <v>1</v>
      </c>
      <c r="N40" s="90"/>
    </row>
    <row r="41" spans="1:14" ht="40" customHeight="1" x14ac:dyDescent="0.2">
      <c r="A41" s="91" t="s">
        <v>163</v>
      </c>
      <c r="B41" s="86"/>
      <c r="C41" s="92">
        <v>3</v>
      </c>
      <c r="D41" s="87">
        <v>15</v>
      </c>
      <c r="E41" s="87">
        <v>2</v>
      </c>
      <c r="F41" s="86" t="s">
        <v>152</v>
      </c>
      <c r="G41" s="86" t="s">
        <v>167</v>
      </c>
      <c r="H41" s="86"/>
      <c r="I41" s="86" t="s">
        <v>228</v>
      </c>
      <c r="J41" s="88" t="s">
        <v>158</v>
      </c>
      <c r="K41" s="86" t="s">
        <v>156</v>
      </c>
      <c r="L41" s="88" t="s">
        <v>144</v>
      </c>
      <c r="M41" s="89" t="b">
        <v>1</v>
      </c>
      <c r="N41" s="90"/>
    </row>
    <row r="42" spans="1:14" ht="40" customHeight="1" x14ac:dyDescent="0.2">
      <c r="A42" s="91" t="s">
        <v>163</v>
      </c>
      <c r="B42" s="86"/>
      <c r="C42" s="92">
        <v>3</v>
      </c>
      <c r="D42" s="87">
        <v>16</v>
      </c>
      <c r="E42" s="87">
        <v>2</v>
      </c>
      <c r="F42" s="86" t="s">
        <v>152</v>
      </c>
      <c r="G42" s="86" t="s">
        <v>105</v>
      </c>
      <c r="H42" s="86"/>
      <c r="I42" s="86" t="s">
        <v>229</v>
      </c>
      <c r="J42" s="88" t="s">
        <v>158</v>
      </c>
      <c r="K42" s="86" t="s">
        <v>161</v>
      </c>
      <c r="L42" s="88" t="s">
        <v>144</v>
      </c>
      <c r="M42" s="89" t="b">
        <v>1</v>
      </c>
      <c r="N42" s="90"/>
    </row>
    <row r="43" spans="1:14" ht="40" customHeight="1" x14ac:dyDescent="0.2">
      <c r="A43" s="91" t="s">
        <v>163</v>
      </c>
      <c r="B43" s="86"/>
      <c r="C43" s="92">
        <v>3</v>
      </c>
      <c r="D43" s="87">
        <v>17</v>
      </c>
      <c r="E43" s="87">
        <v>2</v>
      </c>
      <c r="F43" s="86" t="s">
        <v>155</v>
      </c>
      <c r="G43" s="86" t="s">
        <v>200</v>
      </c>
      <c r="H43" s="86"/>
      <c r="I43" s="86"/>
      <c r="J43" s="88" t="s">
        <v>154</v>
      </c>
      <c r="K43" s="86"/>
      <c r="L43" s="88" t="s">
        <v>154</v>
      </c>
      <c r="M43" s="89" t="b">
        <v>1</v>
      </c>
      <c r="N43" s="90"/>
    </row>
    <row r="44" spans="1:14" ht="40" customHeight="1" x14ac:dyDescent="0.2">
      <c r="A44" s="91" t="s">
        <v>163</v>
      </c>
      <c r="B44" s="86"/>
      <c r="C44" s="92">
        <v>3</v>
      </c>
      <c r="D44" s="87">
        <v>18</v>
      </c>
      <c r="E44" s="87">
        <v>2</v>
      </c>
      <c r="F44" s="86" t="s">
        <v>152</v>
      </c>
      <c r="G44" s="86" t="s">
        <v>104</v>
      </c>
      <c r="H44" s="86"/>
      <c r="I44" s="86" t="s">
        <v>230</v>
      </c>
      <c r="J44" s="88" t="s">
        <v>159</v>
      </c>
      <c r="K44" s="86" t="s">
        <v>160</v>
      </c>
      <c r="L44" s="88" t="s">
        <v>144</v>
      </c>
      <c r="M44" s="89" t="b">
        <v>1</v>
      </c>
      <c r="N44" s="90"/>
    </row>
    <row r="45" spans="1:14" ht="40" customHeight="1" x14ac:dyDescent="0.2">
      <c r="A45" s="91" t="s">
        <v>163</v>
      </c>
      <c r="B45" s="86"/>
      <c r="C45" s="92">
        <v>3</v>
      </c>
      <c r="D45" s="87">
        <v>19</v>
      </c>
      <c r="E45" s="87">
        <v>2</v>
      </c>
      <c r="F45" s="86" t="s">
        <v>152</v>
      </c>
      <c r="G45" s="86" t="s">
        <v>111</v>
      </c>
      <c r="H45" s="86"/>
      <c r="I45" s="86" t="s">
        <v>231</v>
      </c>
      <c r="J45" s="88" t="s">
        <v>159</v>
      </c>
      <c r="K45" s="86" t="s">
        <v>201</v>
      </c>
      <c r="L45" s="88" t="s">
        <v>144</v>
      </c>
      <c r="M45" s="89" t="b">
        <v>1</v>
      </c>
      <c r="N45" s="90"/>
    </row>
    <row r="46" spans="1:14" ht="40" customHeight="1" x14ac:dyDescent="0.2">
      <c r="A46" s="91" t="s">
        <v>163</v>
      </c>
      <c r="B46" s="86"/>
      <c r="C46" s="92">
        <v>3</v>
      </c>
      <c r="D46" s="87">
        <v>20</v>
      </c>
      <c r="E46" s="87">
        <v>2</v>
      </c>
      <c r="F46" s="86" t="s">
        <v>152</v>
      </c>
      <c r="G46" s="86" t="s">
        <v>109</v>
      </c>
      <c r="H46" s="86"/>
      <c r="I46" s="86" t="s">
        <v>232</v>
      </c>
      <c r="J46" s="88" t="s">
        <v>159</v>
      </c>
      <c r="K46" s="86" t="s">
        <v>170</v>
      </c>
      <c r="L46" s="88" t="s">
        <v>144</v>
      </c>
      <c r="M46" s="89" t="b">
        <v>1</v>
      </c>
      <c r="N46" s="90"/>
    </row>
    <row r="47" spans="1:14" ht="40" customHeight="1" x14ac:dyDescent="0.2">
      <c r="A47" s="91" t="s">
        <v>163</v>
      </c>
      <c r="B47" s="86"/>
      <c r="C47" s="92">
        <v>3</v>
      </c>
      <c r="D47" s="87">
        <v>21</v>
      </c>
      <c r="E47" s="87">
        <v>2</v>
      </c>
      <c r="F47" s="86" t="s">
        <v>178</v>
      </c>
      <c r="G47" s="86" t="s">
        <v>208</v>
      </c>
      <c r="H47" s="86" t="s">
        <v>287</v>
      </c>
      <c r="I47" s="86"/>
      <c r="J47" s="88" t="s">
        <v>154</v>
      </c>
      <c r="K47" s="86"/>
      <c r="L47" s="88" t="s">
        <v>154</v>
      </c>
      <c r="M47" s="89" t="b">
        <v>1</v>
      </c>
      <c r="N47" s="90"/>
    </row>
    <row r="48" spans="1:14" ht="40" customHeight="1" x14ac:dyDescent="0.2">
      <c r="A48" s="91" t="s">
        <v>163</v>
      </c>
      <c r="B48" s="86"/>
      <c r="C48" s="93">
        <v>4</v>
      </c>
      <c r="D48" s="87">
        <v>1</v>
      </c>
      <c r="E48" s="87">
        <v>1</v>
      </c>
      <c r="F48" s="86" t="s">
        <v>155</v>
      </c>
      <c r="G48" s="86" t="s">
        <v>169</v>
      </c>
      <c r="H48" s="86"/>
      <c r="I48" s="86" t="s">
        <v>203</v>
      </c>
      <c r="J48" s="88" t="s">
        <v>153</v>
      </c>
      <c r="K48" s="86"/>
      <c r="L48" s="88" t="s">
        <v>154</v>
      </c>
      <c r="M48" s="89" t="b">
        <v>1</v>
      </c>
      <c r="N48" s="90"/>
    </row>
    <row r="49" spans="1:14" ht="40" customHeight="1" x14ac:dyDescent="0.2">
      <c r="A49" s="91" t="s">
        <v>163</v>
      </c>
      <c r="B49" s="86"/>
      <c r="C49" s="93">
        <v>4</v>
      </c>
      <c r="D49" s="87">
        <v>2</v>
      </c>
      <c r="E49" s="87">
        <v>2</v>
      </c>
      <c r="F49" s="86" t="s">
        <v>178</v>
      </c>
      <c r="G49" s="86" t="s">
        <v>303</v>
      </c>
      <c r="H49" s="86" t="s">
        <v>304</v>
      </c>
      <c r="I49" s="86"/>
      <c r="J49" s="88" t="s">
        <v>154</v>
      </c>
      <c r="K49" s="86"/>
      <c r="L49" s="88" t="s">
        <v>154</v>
      </c>
      <c r="M49" s="89" t="b">
        <v>1</v>
      </c>
      <c r="N49" s="90"/>
    </row>
    <row r="50" spans="1:14" ht="40" customHeight="1" x14ac:dyDescent="0.2">
      <c r="A50" s="91" t="s">
        <v>163</v>
      </c>
      <c r="B50" s="86"/>
      <c r="C50" s="93">
        <v>4</v>
      </c>
      <c r="D50" s="87">
        <v>3</v>
      </c>
      <c r="E50" s="87">
        <v>2</v>
      </c>
      <c r="F50" s="86" t="s">
        <v>178</v>
      </c>
      <c r="G50" s="86" t="s">
        <v>32</v>
      </c>
      <c r="H50" s="86" t="s">
        <v>357</v>
      </c>
      <c r="I50" s="86"/>
      <c r="J50" s="88" t="s">
        <v>154</v>
      </c>
      <c r="K50" s="86" t="s">
        <v>172</v>
      </c>
      <c r="L50" s="88" t="s">
        <v>144</v>
      </c>
      <c r="M50" s="89" t="b">
        <v>1</v>
      </c>
      <c r="N50" s="90"/>
    </row>
    <row r="51" spans="1:14" ht="40" customHeight="1" x14ac:dyDescent="0.2">
      <c r="A51" s="91" t="s">
        <v>163</v>
      </c>
      <c r="B51" s="86"/>
      <c r="C51" s="93">
        <v>4</v>
      </c>
      <c r="D51" s="87">
        <v>4</v>
      </c>
      <c r="E51" s="87">
        <v>2</v>
      </c>
      <c r="F51" s="86" t="s">
        <v>178</v>
      </c>
      <c r="G51" s="86" t="s">
        <v>355</v>
      </c>
      <c r="H51" s="86" t="s">
        <v>356</v>
      </c>
      <c r="I51" s="86"/>
      <c r="J51" s="88" t="s">
        <v>154</v>
      </c>
      <c r="K51" s="86" t="s">
        <v>166</v>
      </c>
      <c r="L51" s="88" t="s">
        <v>144</v>
      </c>
      <c r="M51" s="89" t="b">
        <v>1</v>
      </c>
      <c r="N51" s="90"/>
    </row>
    <row r="52" spans="1:14" ht="40" customHeight="1" x14ac:dyDescent="0.2">
      <c r="A52" s="91" t="s">
        <v>163</v>
      </c>
      <c r="B52" s="86"/>
      <c r="C52" s="93">
        <v>4</v>
      </c>
      <c r="D52" s="87">
        <v>5</v>
      </c>
      <c r="E52" s="87">
        <v>2</v>
      </c>
      <c r="F52" s="86" t="s">
        <v>155</v>
      </c>
      <c r="G52" s="86" t="s">
        <v>209</v>
      </c>
      <c r="H52" s="86"/>
      <c r="I52" s="86"/>
      <c r="J52" s="88" t="s">
        <v>154</v>
      </c>
      <c r="K52" s="86"/>
      <c r="L52" s="88" t="s">
        <v>154</v>
      </c>
      <c r="M52" s="89" t="b">
        <v>1</v>
      </c>
      <c r="N52" s="90"/>
    </row>
    <row r="53" spans="1:14" ht="40" customHeight="1" x14ac:dyDescent="0.2">
      <c r="A53" s="91" t="s">
        <v>163</v>
      </c>
      <c r="B53" s="86"/>
      <c r="C53" s="93">
        <v>4</v>
      </c>
      <c r="D53" s="87">
        <v>6</v>
      </c>
      <c r="E53" s="87">
        <v>2</v>
      </c>
      <c r="F53" s="86" t="s">
        <v>152</v>
      </c>
      <c r="G53" s="86" t="s">
        <v>189</v>
      </c>
      <c r="H53" s="86" t="s">
        <v>233</v>
      </c>
      <c r="I53" s="86"/>
      <c r="J53" s="88" t="s">
        <v>154</v>
      </c>
      <c r="K53" s="86" t="s">
        <v>157</v>
      </c>
      <c r="L53" s="88" t="s">
        <v>144</v>
      </c>
      <c r="M53" s="89" t="b">
        <v>1</v>
      </c>
      <c r="N53" s="90"/>
    </row>
    <row r="54" spans="1:14" ht="40" customHeight="1" x14ac:dyDescent="0.2">
      <c r="A54" s="91" t="s">
        <v>163</v>
      </c>
      <c r="B54" s="86"/>
      <c r="C54" s="93">
        <v>4</v>
      </c>
      <c r="D54" s="87">
        <v>7</v>
      </c>
      <c r="E54" s="87">
        <v>2</v>
      </c>
      <c r="F54" s="86" t="s">
        <v>152</v>
      </c>
      <c r="G54" s="86" t="s">
        <v>102</v>
      </c>
      <c r="H54" s="86" t="s">
        <v>233</v>
      </c>
      <c r="I54" s="86"/>
      <c r="J54" s="88" t="s">
        <v>154</v>
      </c>
      <c r="K54" s="86" t="s">
        <v>175</v>
      </c>
      <c r="L54" s="88" t="s">
        <v>144</v>
      </c>
      <c r="M54" s="89" t="b">
        <v>1</v>
      </c>
      <c r="N54" s="90"/>
    </row>
    <row r="55" spans="1:14" ht="40" customHeight="1" x14ac:dyDescent="0.2">
      <c r="A55" s="91" t="s">
        <v>163</v>
      </c>
      <c r="B55" s="86"/>
      <c r="C55" s="93">
        <v>4</v>
      </c>
      <c r="D55" s="87">
        <v>8</v>
      </c>
      <c r="E55" s="87">
        <v>2</v>
      </c>
      <c r="F55" s="86" t="s">
        <v>152</v>
      </c>
      <c r="G55" s="86" t="s">
        <v>234</v>
      </c>
      <c r="H55" s="86" t="s">
        <v>233</v>
      </c>
      <c r="I55" s="86"/>
      <c r="J55" s="88" t="s">
        <v>154</v>
      </c>
      <c r="K55" s="86" t="s">
        <v>235</v>
      </c>
      <c r="L55" s="88" t="s">
        <v>144</v>
      </c>
      <c r="M55" s="89" t="b">
        <v>1</v>
      </c>
      <c r="N55" s="90"/>
    </row>
    <row r="56" spans="1:14" ht="40" customHeight="1" x14ac:dyDescent="0.2">
      <c r="A56" s="91" t="s">
        <v>163</v>
      </c>
      <c r="B56" s="86"/>
      <c r="C56" s="93">
        <v>4</v>
      </c>
      <c r="D56" s="87">
        <v>9</v>
      </c>
      <c r="E56" s="87">
        <v>2</v>
      </c>
      <c r="F56" s="86" t="s">
        <v>155</v>
      </c>
      <c r="G56" s="86" t="s">
        <v>206</v>
      </c>
      <c r="H56" s="86"/>
      <c r="I56" s="86"/>
      <c r="J56" s="88" t="s">
        <v>154</v>
      </c>
      <c r="K56" s="86"/>
      <c r="L56" s="88" t="s">
        <v>154</v>
      </c>
      <c r="M56" s="89" t="b">
        <v>1</v>
      </c>
      <c r="N56" s="90"/>
    </row>
    <row r="57" spans="1:14" ht="40" customHeight="1" x14ac:dyDescent="0.2">
      <c r="A57" s="91" t="s">
        <v>163</v>
      </c>
      <c r="B57" s="86"/>
      <c r="C57" s="93">
        <v>4</v>
      </c>
      <c r="D57" s="87">
        <v>10</v>
      </c>
      <c r="E57" s="87">
        <v>2</v>
      </c>
      <c r="F57" s="86" t="s">
        <v>152</v>
      </c>
      <c r="G57" s="86" t="s">
        <v>107</v>
      </c>
      <c r="H57" s="86" t="s">
        <v>236</v>
      </c>
      <c r="I57" s="86" t="s">
        <v>274</v>
      </c>
      <c r="J57" s="88" t="s">
        <v>153</v>
      </c>
      <c r="K57" s="86" t="s">
        <v>204</v>
      </c>
      <c r="L57" s="88" t="s">
        <v>144</v>
      </c>
      <c r="M57" s="89" t="b">
        <v>1</v>
      </c>
      <c r="N57" s="90"/>
    </row>
    <row r="58" spans="1:14" ht="40" customHeight="1" x14ac:dyDescent="0.2">
      <c r="A58" s="91" t="s">
        <v>163</v>
      </c>
      <c r="B58" s="86"/>
      <c r="C58" s="93">
        <v>4</v>
      </c>
      <c r="D58" s="87">
        <v>11</v>
      </c>
      <c r="E58" s="87">
        <v>2</v>
      </c>
      <c r="F58" s="86" t="s">
        <v>152</v>
      </c>
      <c r="G58" s="86" t="s">
        <v>196</v>
      </c>
      <c r="H58" s="86" t="s">
        <v>237</v>
      </c>
      <c r="I58" s="86" t="s">
        <v>275</v>
      </c>
      <c r="J58" s="88" t="s">
        <v>153</v>
      </c>
      <c r="K58" s="86" t="s">
        <v>197</v>
      </c>
      <c r="L58" s="88" t="s">
        <v>144</v>
      </c>
      <c r="M58" s="89" t="b">
        <v>1</v>
      </c>
      <c r="N58" s="90"/>
    </row>
    <row r="59" spans="1:14" ht="40" customHeight="1" x14ac:dyDescent="0.2">
      <c r="A59" s="91" t="s">
        <v>163</v>
      </c>
      <c r="B59" s="86"/>
      <c r="C59" s="93">
        <v>4</v>
      </c>
      <c r="D59" s="87">
        <v>12</v>
      </c>
      <c r="E59" s="87">
        <v>2</v>
      </c>
      <c r="F59" s="86" t="s">
        <v>152</v>
      </c>
      <c r="G59" s="86" t="s">
        <v>103</v>
      </c>
      <c r="H59" s="86" t="s">
        <v>238</v>
      </c>
      <c r="I59" s="86" t="s">
        <v>276</v>
      </c>
      <c r="J59" s="88" t="s">
        <v>153</v>
      </c>
      <c r="K59" s="86" t="s">
        <v>166</v>
      </c>
      <c r="L59" s="88" t="s">
        <v>144</v>
      </c>
      <c r="M59" s="89" t="b">
        <v>1</v>
      </c>
      <c r="N59" s="90"/>
    </row>
    <row r="60" spans="1:14" ht="40" customHeight="1" x14ac:dyDescent="0.2">
      <c r="A60" s="91" t="s">
        <v>163</v>
      </c>
      <c r="B60" s="86"/>
      <c r="C60" s="93">
        <v>4</v>
      </c>
      <c r="D60" s="87">
        <v>13</v>
      </c>
      <c r="E60" s="87">
        <v>2</v>
      </c>
      <c r="F60" s="86" t="s">
        <v>155</v>
      </c>
      <c r="G60" s="86" t="s">
        <v>195</v>
      </c>
      <c r="H60" s="86"/>
      <c r="I60" s="86"/>
      <c r="J60" s="88" t="s">
        <v>154</v>
      </c>
      <c r="K60" s="86"/>
      <c r="L60" s="88" t="s">
        <v>154</v>
      </c>
      <c r="M60" s="89" t="b">
        <v>1</v>
      </c>
      <c r="N60" s="90"/>
    </row>
    <row r="61" spans="1:14" ht="40" customHeight="1" x14ac:dyDescent="0.2">
      <c r="A61" s="91" t="s">
        <v>163</v>
      </c>
      <c r="B61" s="86"/>
      <c r="C61" s="93">
        <v>4</v>
      </c>
      <c r="D61" s="87">
        <v>14</v>
      </c>
      <c r="E61" s="87">
        <v>2</v>
      </c>
      <c r="F61" s="86" t="s">
        <v>152</v>
      </c>
      <c r="G61" s="86" t="s">
        <v>103</v>
      </c>
      <c r="H61" s="86"/>
      <c r="I61" s="86" t="s">
        <v>239</v>
      </c>
      <c r="J61" s="88" t="s">
        <v>158</v>
      </c>
      <c r="K61" s="86" t="s">
        <v>166</v>
      </c>
      <c r="L61" s="88" t="s">
        <v>144</v>
      </c>
      <c r="M61" s="89" t="b">
        <v>1</v>
      </c>
      <c r="N61" s="90"/>
    </row>
    <row r="62" spans="1:14" ht="40" customHeight="1" x14ac:dyDescent="0.2">
      <c r="A62" s="91" t="s">
        <v>163</v>
      </c>
      <c r="B62" s="86"/>
      <c r="C62" s="93">
        <v>4</v>
      </c>
      <c r="D62" s="87">
        <v>15</v>
      </c>
      <c r="E62" s="87">
        <v>2</v>
      </c>
      <c r="F62" s="86" t="s">
        <v>152</v>
      </c>
      <c r="G62" s="86" t="s">
        <v>111</v>
      </c>
      <c r="H62" s="86"/>
      <c r="I62" s="86" t="s">
        <v>240</v>
      </c>
      <c r="J62" s="88" t="s">
        <v>158</v>
      </c>
      <c r="K62" s="86" t="s">
        <v>201</v>
      </c>
      <c r="L62" s="88" t="s">
        <v>144</v>
      </c>
      <c r="M62" s="89" t="b">
        <v>1</v>
      </c>
      <c r="N62" s="90"/>
    </row>
    <row r="63" spans="1:14" ht="40" customHeight="1" x14ac:dyDescent="0.2">
      <c r="A63" s="91" t="s">
        <v>163</v>
      </c>
      <c r="B63" s="86"/>
      <c r="C63" s="93">
        <v>4</v>
      </c>
      <c r="D63" s="87">
        <v>16</v>
      </c>
      <c r="E63" s="87">
        <v>2</v>
      </c>
      <c r="F63" s="86" t="s">
        <v>152</v>
      </c>
      <c r="G63" s="86" t="s">
        <v>167</v>
      </c>
      <c r="H63" s="86"/>
      <c r="I63" s="86" t="s">
        <v>241</v>
      </c>
      <c r="J63" s="88" t="s">
        <v>158</v>
      </c>
      <c r="K63" s="86" t="s">
        <v>156</v>
      </c>
      <c r="L63" s="88" t="s">
        <v>144</v>
      </c>
      <c r="M63" s="89" t="b">
        <v>1</v>
      </c>
      <c r="N63" s="90"/>
    </row>
    <row r="64" spans="1:14" ht="40" customHeight="1" x14ac:dyDescent="0.2">
      <c r="A64" s="91" t="s">
        <v>163</v>
      </c>
      <c r="B64" s="86"/>
      <c r="C64" s="93">
        <v>4</v>
      </c>
      <c r="D64" s="87">
        <v>17</v>
      </c>
      <c r="E64" s="87">
        <v>2</v>
      </c>
      <c r="F64" s="86" t="s">
        <v>178</v>
      </c>
      <c r="G64" s="86" t="s">
        <v>208</v>
      </c>
      <c r="H64" s="86" t="s">
        <v>288</v>
      </c>
      <c r="I64" s="86"/>
      <c r="J64" s="88" t="s">
        <v>154</v>
      </c>
      <c r="K64" s="86"/>
      <c r="L64" s="88" t="s">
        <v>154</v>
      </c>
      <c r="M64" s="89" t="b">
        <v>1</v>
      </c>
      <c r="N64" s="90"/>
    </row>
    <row r="65" spans="1:14" ht="40" customHeight="1" x14ac:dyDescent="0.2">
      <c r="A65" s="91" t="s">
        <v>163</v>
      </c>
      <c r="B65" s="86"/>
      <c r="C65" s="92">
        <v>5</v>
      </c>
      <c r="D65" s="87">
        <v>1</v>
      </c>
      <c r="E65" s="87">
        <v>1</v>
      </c>
      <c r="F65" s="86" t="s">
        <v>155</v>
      </c>
      <c r="G65" s="86" t="s">
        <v>186</v>
      </c>
      <c r="H65" s="86"/>
      <c r="I65" s="86" t="s">
        <v>205</v>
      </c>
      <c r="J65" s="88" t="s">
        <v>153</v>
      </c>
      <c r="K65" s="86"/>
      <c r="L65" s="88" t="s">
        <v>154</v>
      </c>
      <c r="M65" s="89" t="b">
        <v>1</v>
      </c>
      <c r="N65" s="90"/>
    </row>
    <row r="66" spans="1:14" ht="40" customHeight="1" x14ac:dyDescent="0.2">
      <c r="A66" s="91" t="s">
        <v>163</v>
      </c>
      <c r="B66" s="86"/>
      <c r="C66" s="92">
        <v>5</v>
      </c>
      <c r="D66" s="87">
        <v>2</v>
      </c>
      <c r="E66" s="87">
        <v>2</v>
      </c>
      <c r="F66" s="86" t="s">
        <v>155</v>
      </c>
      <c r="G66" s="86" t="s">
        <v>305</v>
      </c>
      <c r="H66" s="86"/>
      <c r="I66" s="86"/>
      <c r="J66" s="88" t="s">
        <v>154</v>
      </c>
      <c r="K66" s="86"/>
      <c r="L66" s="88" t="s">
        <v>154</v>
      </c>
      <c r="M66" s="89" t="b">
        <v>1</v>
      </c>
      <c r="N66" s="90"/>
    </row>
    <row r="67" spans="1:14" ht="40" customHeight="1" x14ac:dyDescent="0.2">
      <c r="A67" s="91" t="s">
        <v>163</v>
      </c>
      <c r="B67" s="86"/>
      <c r="C67" s="92">
        <v>5</v>
      </c>
      <c r="D67" s="87">
        <v>3</v>
      </c>
      <c r="E67" s="87">
        <v>2</v>
      </c>
      <c r="F67" s="86" t="s">
        <v>178</v>
      </c>
      <c r="G67" s="86" t="s">
        <v>112</v>
      </c>
      <c r="H67" s="86" t="s">
        <v>358</v>
      </c>
      <c r="I67" s="86"/>
      <c r="J67" s="88" t="s">
        <v>154</v>
      </c>
      <c r="K67" s="86" t="s">
        <v>162</v>
      </c>
      <c r="L67" s="88" t="s">
        <v>144</v>
      </c>
      <c r="M67" s="89" t="b">
        <v>1</v>
      </c>
      <c r="N67" s="90"/>
    </row>
    <row r="68" spans="1:14" ht="40" customHeight="1" x14ac:dyDescent="0.2">
      <c r="A68" s="91" t="s">
        <v>163</v>
      </c>
      <c r="B68" s="86"/>
      <c r="C68" s="92">
        <v>5</v>
      </c>
      <c r="D68" s="87">
        <v>4</v>
      </c>
      <c r="E68" s="87">
        <v>2</v>
      </c>
      <c r="F68" s="86" t="s">
        <v>178</v>
      </c>
      <c r="G68" s="86" t="s">
        <v>359</v>
      </c>
      <c r="H68" s="86" t="s">
        <v>360</v>
      </c>
      <c r="I68" s="86"/>
      <c r="J68" s="88" t="s">
        <v>154</v>
      </c>
      <c r="K68" s="86"/>
      <c r="L68" s="88" t="s">
        <v>154</v>
      </c>
      <c r="M68" s="89" t="b">
        <v>1</v>
      </c>
      <c r="N68" s="90"/>
    </row>
    <row r="69" spans="1:14" ht="40" customHeight="1" x14ac:dyDescent="0.2">
      <c r="A69" s="91" t="s">
        <v>163</v>
      </c>
      <c r="B69" s="86"/>
      <c r="C69" s="92">
        <v>5</v>
      </c>
      <c r="D69" s="87">
        <v>6</v>
      </c>
      <c r="E69" s="87">
        <v>2</v>
      </c>
      <c r="F69" s="86" t="s">
        <v>155</v>
      </c>
      <c r="G69" s="86" t="s">
        <v>209</v>
      </c>
      <c r="H69" s="86"/>
      <c r="I69" s="86"/>
      <c r="J69" s="88" t="s">
        <v>154</v>
      </c>
      <c r="K69" s="86"/>
      <c r="L69" s="88" t="s">
        <v>154</v>
      </c>
      <c r="M69" s="89" t="b">
        <v>1</v>
      </c>
      <c r="N69" s="90"/>
    </row>
    <row r="70" spans="1:14" ht="40" customHeight="1" x14ac:dyDescent="0.2">
      <c r="A70" s="91" t="s">
        <v>163</v>
      </c>
      <c r="B70" s="86"/>
      <c r="C70" s="92">
        <v>5</v>
      </c>
      <c r="D70" s="87">
        <v>7</v>
      </c>
      <c r="E70" s="87">
        <v>2</v>
      </c>
      <c r="F70" s="86" t="s">
        <v>152</v>
      </c>
      <c r="G70" s="86" t="s">
        <v>112</v>
      </c>
      <c r="H70" s="86" t="s">
        <v>242</v>
      </c>
      <c r="I70" s="86"/>
      <c r="J70" s="88" t="s">
        <v>154</v>
      </c>
      <c r="K70" s="86" t="s">
        <v>162</v>
      </c>
      <c r="L70" s="88" t="s">
        <v>144</v>
      </c>
      <c r="M70" s="89" t="b">
        <v>1</v>
      </c>
      <c r="N70" s="90"/>
    </row>
    <row r="71" spans="1:14" ht="40" customHeight="1" x14ac:dyDescent="0.2">
      <c r="A71" s="91" t="s">
        <v>163</v>
      </c>
      <c r="B71" s="86"/>
      <c r="C71" s="92">
        <v>5</v>
      </c>
      <c r="D71" s="87">
        <v>8</v>
      </c>
      <c r="E71" s="87">
        <v>2</v>
      </c>
      <c r="F71" s="86" t="s">
        <v>152</v>
      </c>
      <c r="G71" s="86" t="s">
        <v>189</v>
      </c>
      <c r="H71" s="86" t="s">
        <v>233</v>
      </c>
      <c r="I71" s="86"/>
      <c r="J71" s="88" t="s">
        <v>154</v>
      </c>
      <c r="K71" s="86" t="s">
        <v>157</v>
      </c>
      <c r="L71" s="88" t="s">
        <v>144</v>
      </c>
      <c r="M71" s="89" t="b">
        <v>1</v>
      </c>
      <c r="N71" s="90"/>
    </row>
    <row r="72" spans="1:14" ht="40" customHeight="1" x14ac:dyDescent="0.2">
      <c r="A72" s="91" t="s">
        <v>163</v>
      </c>
      <c r="B72" s="86"/>
      <c r="C72" s="92">
        <v>5</v>
      </c>
      <c r="D72" s="87">
        <v>9</v>
      </c>
      <c r="E72" s="87">
        <v>2</v>
      </c>
      <c r="F72" s="86" t="s">
        <v>152</v>
      </c>
      <c r="G72" s="86" t="s">
        <v>102</v>
      </c>
      <c r="H72" s="86" t="s">
        <v>233</v>
      </c>
      <c r="I72" s="86"/>
      <c r="J72" s="88" t="s">
        <v>154</v>
      </c>
      <c r="K72" s="86" t="s">
        <v>175</v>
      </c>
      <c r="L72" s="88" t="s">
        <v>144</v>
      </c>
      <c r="M72" s="89" t="b">
        <v>1</v>
      </c>
      <c r="N72" s="90"/>
    </row>
    <row r="73" spans="1:14" ht="40" customHeight="1" x14ac:dyDescent="0.2">
      <c r="A73" s="91" t="s">
        <v>163</v>
      </c>
      <c r="B73" s="86"/>
      <c r="C73" s="92">
        <v>5</v>
      </c>
      <c r="D73" s="87">
        <v>10</v>
      </c>
      <c r="E73" s="87">
        <v>2</v>
      </c>
      <c r="F73" s="86" t="s">
        <v>155</v>
      </c>
      <c r="G73" s="86" t="s">
        <v>206</v>
      </c>
      <c r="H73" s="86"/>
      <c r="I73" s="86"/>
      <c r="J73" s="88" t="s">
        <v>154</v>
      </c>
      <c r="K73" s="86"/>
      <c r="L73" s="88" t="s">
        <v>154</v>
      </c>
      <c r="M73" s="89" t="b">
        <v>1</v>
      </c>
      <c r="N73" s="90"/>
    </row>
    <row r="74" spans="1:14" ht="40" customHeight="1" x14ac:dyDescent="0.2">
      <c r="A74" s="91" t="s">
        <v>163</v>
      </c>
      <c r="B74" s="86"/>
      <c r="C74" s="92">
        <v>5</v>
      </c>
      <c r="D74" s="87">
        <v>11</v>
      </c>
      <c r="E74" s="87">
        <v>2</v>
      </c>
      <c r="F74" s="86" t="s">
        <v>152</v>
      </c>
      <c r="G74" s="86" t="s">
        <v>106</v>
      </c>
      <c r="H74" s="86" t="s">
        <v>243</v>
      </c>
      <c r="I74" s="86" t="s">
        <v>277</v>
      </c>
      <c r="J74" s="88" t="s">
        <v>153</v>
      </c>
      <c r="K74" s="86" t="s">
        <v>192</v>
      </c>
      <c r="L74" s="88" t="s">
        <v>144</v>
      </c>
      <c r="M74" s="89" t="b">
        <v>1</v>
      </c>
      <c r="N74" s="90"/>
    </row>
    <row r="75" spans="1:14" ht="40" customHeight="1" x14ac:dyDescent="0.2">
      <c r="A75" s="91" t="s">
        <v>163</v>
      </c>
      <c r="B75" s="86"/>
      <c r="C75" s="92">
        <v>5</v>
      </c>
      <c r="D75" s="87">
        <v>12</v>
      </c>
      <c r="E75" s="87">
        <v>2</v>
      </c>
      <c r="F75" s="86" t="s">
        <v>152</v>
      </c>
      <c r="G75" s="86" t="s">
        <v>111</v>
      </c>
      <c r="H75" s="86" t="s">
        <v>244</v>
      </c>
      <c r="I75" s="86" t="s">
        <v>278</v>
      </c>
      <c r="J75" s="88" t="s">
        <v>153</v>
      </c>
      <c r="K75" s="86" t="s">
        <v>201</v>
      </c>
      <c r="L75" s="88" t="s">
        <v>144</v>
      </c>
      <c r="M75" s="89" t="b">
        <v>1</v>
      </c>
      <c r="N75" s="90"/>
    </row>
    <row r="76" spans="1:14" ht="40" customHeight="1" x14ac:dyDescent="0.2">
      <c r="A76" s="91" t="s">
        <v>163</v>
      </c>
      <c r="B76" s="86"/>
      <c r="C76" s="92">
        <v>5</v>
      </c>
      <c r="D76" s="87">
        <v>13</v>
      </c>
      <c r="E76" s="87">
        <v>2</v>
      </c>
      <c r="F76" s="86" t="s">
        <v>152</v>
      </c>
      <c r="G76" s="86" t="s">
        <v>196</v>
      </c>
      <c r="H76" s="86" t="s">
        <v>245</v>
      </c>
      <c r="I76" s="86" t="s">
        <v>279</v>
      </c>
      <c r="J76" s="88" t="s">
        <v>153</v>
      </c>
      <c r="K76" s="86" t="s">
        <v>197</v>
      </c>
      <c r="L76" s="88" t="s">
        <v>144</v>
      </c>
      <c r="M76" s="89" t="b">
        <v>1</v>
      </c>
      <c r="N76" s="90"/>
    </row>
    <row r="77" spans="1:14" ht="40" customHeight="1" x14ac:dyDescent="0.2">
      <c r="A77" s="91" t="s">
        <v>163</v>
      </c>
      <c r="B77" s="86"/>
      <c r="C77" s="92">
        <v>5</v>
      </c>
      <c r="D77" s="87">
        <v>14</v>
      </c>
      <c r="E77" s="87">
        <v>2</v>
      </c>
      <c r="F77" s="86" t="s">
        <v>155</v>
      </c>
      <c r="G77" s="86" t="s">
        <v>195</v>
      </c>
      <c r="H77" s="86"/>
      <c r="I77" s="86"/>
      <c r="J77" s="88" t="s">
        <v>154</v>
      </c>
      <c r="K77" s="86"/>
      <c r="L77" s="88" t="s">
        <v>154</v>
      </c>
      <c r="M77" s="89" t="b">
        <v>1</v>
      </c>
      <c r="N77" s="90"/>
    </row>
    <row r="78" spans="1:14" ht="40" customHeight="1" x14ac:dyDescent="0.2">
      <c r="A78" s="91" t="s">
        <v>163</v>
      </c>
      <c r="B78" s="86"/>
      <c r="C78" s="92">
        <v>5</v>
      </c>
      <c r="D78" s="87">
        <v>15</v>
      </c>
      <c r="E78" s="87">
        <v>2</v>
      </c>
      <c r="F78" s="86" t="s">
        <v>152</v>
      </c>
      <c r="G78" s="86" t="s">
        <v>103</v>
      </c>
      <c r="H78" s="86"/>
      <c r="I78" s="86" t="s">
        <v>246</v>
      </c>
      <c r="J78" s="88" t="s">
        <v>158</v>
      </c>
      <c r="K78" s="86" t="s">
        <v>166</v>
      </c>
      <c r="L78" s="88" t="s">
        <v>144</v>
      </c>
      <c r="M78" s="89" t="b">
        <v>1</v>
      </c>
      <c r="N78" s="90"/>
    </row>
    <row r="79" spans="1:14" ht="40" customHeight="1" x14ac:dyDescent="0.2">
      <c r="A79" s="91" t="s">
        <v>163</v>
      </c>
      <c r="B79" s="86"/>
      <c r="C79" s="92">
        <v>5</v>
      </c>
      <c r="D79" s="87">
        <v>16</v>
      </c>
      <c r="E79" s="87">
        <v>2</v>
      </c>
      <c r="F79" s="86" t="s">
        <v>152</v>
      </c>
      <c r="G79" s="86" t="s">
        <v>111</v>
      </c>
      <c r="H79" s="86"/>
      <c r="I79" s="86" t="s">
        <v>247</v>
      </c>
      <c r="J79" s="88" t="s">
        <v>158</v>
      </c>
      <c r="K79" s="86" t="s">
        <v>201</v>
      </c>
      <c r="L79" s="88" t="s">
        <v>144</v>
      </c>
      <c r="M79" s="89" t="b">
        <v>1</v>
      </c>
      <c r="N79" s="90"/>
    </row>
    <row r="80" spans="1:14" ht="40" customHeight="1" x14ac:dyDescent="0.2">
      <c r="A80" s="91" t="s">
        <v>163</v>
      </c>
      <c r="B80" s="86"/>
      <c r="C80" s="92">
        <v>5</v>
      </c>
      <c r="D80" s="87">
        <v>17</v>
      </c>
      <c r="E80" s="87">
        <v>2</v>
      </c>
      <c r="F80" s="86" t="s">
        <v>152</v>
      </c>
      <c r="G80" s="86" t="s">
        <v>167</v>
      </c>
      <c r="H80" s="86"/>
      <c r="I80" s="86" t="s">
        <v>248</v>
      </c>
      <c r="J80" s="88" t="s">
        <v>158</v>
      </c>
      <c r="K80" s="86" t="s">
        <v>156</v>
      </c>
      <c r="L80" s="88" t="s">
        <v>144</v>
      </c>
      <c r="M80" s="89" t="b">
        <v>1</v>
      </c>
      <c r="N80" s="90"/>
    </row>
    <row r="81" spans="1:14" ht="40" customHeight="1" x14ac:dyDescent="0.2">
      <c r="A81" s="91" t="s">
        <v>163</v>
      </c>
      <c r="B81" s="86"/>
      <c r="C81" s="92">
        <v>5</v>
      </c>
      <c r="D81" s="87">
        <v>18</v>
      </c>
      <c r="E81" s="87">
        <v>2</v>
      </c>
      <c r="F81" s="86" t="s">
        <v>155</v>
      </c>
      <c r="G81" s="86" t="s">
        <v>200</v>
      </c>
      <c r="H81" s="86"/>
      <c r="I81" s="86"/>
      <c r="J81" s="88" t="s">
        <v>154</v>
      </c>
      <c r="K81" s="86"/>
      <c r="L81" s="88" t="s">
        <v>154</v>
      </c>
      <c r="M81" s="89" t="b">
        <v>1</v>
      </c>
      <c r="N81" s="90"/>
    </row>
    <row r="82" spans="1:14" ht="40" customHeight="1" x14ac:dyDescent="0.2">
      <c r="A82" s="91" t="s">
        <v>163</v>
      </c>
      <c r="B82" s="86"/>
      <c r="C82" s="92">
        <v>5</v>
      </c>
      <c r="D82" s="87">
        <v>19</v>
      </c>
      <c r="E82" s="87">
        <v>2</v>
      </c>
      <c r="F82" s="86" t="s">
        <v>152</v>
      </c>
      <c r="G82" s="86" t="s">
        <v>112</v>
      </c>
      <c r="H82" s="86"/>
      <c r="I82" s="86" t="s">
        <v>249</v>
      </c>
      <c r="J82" s="88" t="s">
        <v>159</v>
      </c>
      <c r="K82" s="86" t="s">
        <v>162</v>
      </c>
      <c r="L82" s="88" t="s">
        <v>144</v>
      </c>
      <c r="M82" s="89" t="b">
        <v>1</v>
      </c>
      <c r="N82" s="90"/>
    </row>
    <row r="83" spans="1:14" ht="40" customHeight="1" x14ac:dyDescent="0.2">
      <c r="A83" s="91" t="s">
        <v>163</v>
      </c>
      <c r="B83" s="86"/>
      <c r="C83" s="92">
        <v>5</v>
      </c>
      <c r="D83" s="87">
        <v>5</v>
      </c>
      <c r="E83" s="87">
        <v>2</v>
      </c>
      <c r="F83" s="86" t="s">
        <v>178</v>
      </c>
      <c r="G83" s="86" t="s">
        <v>208</v>
      </c>
      <c r="H83" s="86" t="s">
        <v>289</v>
      </c>
      <c r="I83" s="86"/>
      <c r="J83" s="88" t="s">
        <v>154</v>
      </c>
      <c r="K83" s="86"/>
      <c r="L83" s="88" t="s">
        <v>154</v>
      </c>
      <c r="M83" s="89" t="b">
        <v>1</v>
      </c>
      <c r="N83" s="90"/>
    </row>
    <row r="84" spans="1:14" ht="40" customHeight="1" x14ac:dyDescent="0.2">
      <c r="A84" s="85" t="s">
        <v>176</v>
      </c>
      <c r="B84" s="86" t="s">
        <v>280</v>
      </c>
      <c r="C84" s="87">
        <v>1</v>
      </c>
      <c r="D84" s="87">
        <v>1</v>
      </c>
      <c r="E84" s="87">
        <v>1</v>
      </c>
      <c r="F84" s="86" t="s">
        <v>155</v>
      </c>
      <c r="G84" s="86" t="s">
        <v>183</v>
      </c>
      <c r="H84" s="86"/>
      <c r="I84" s="86" t="s">
        <v>187</v>
      </c>
      <c r="J84" s="88" t="s">
        <v>153</v>
      </c>
      <c r="K84" s="86"/>
      <c r="L84" s="88" t="s">
        <v>154</v>
      </c>
      <c r="M84" s="89" t="b">
        <v>1</v>
      </c>
      <c r="N84" s="90"/>
    </row>
    <row r="85" spans="1:14" ht="40" customHeight="1" x14ac:dyDescent="0.2">
      <c r="A85" s="85" t="s">
        <v>176</v>
      </c>
      <c r="B85" s="86"/>
      <c r="C85" s="87">
        <v>1</v>
      </c>
      <c r="D85" s="87">
        <v>2</v>
      </c>
      <c r="E85" s="87">
        <v>2</v>
      </c>
      <c r="F85" s="86" t="s">
        <v>155</v>
      </c>
      <c r="G85" s="86" t="s">
        <v>250</v>
      </c>
      <c r="H85" s="86"/>
      <c r="I85" s="86"/>
      <c r="J85" s="88" t="s">
        <v>154</v>
      </c>
      <c r="K85" s="86"/>
      <c r="L85" s="88" t="s">
        <v>154</v>
      </c>
      <c r="M85" s="89" t="b">
        <v>1</v>
      </c>
      <c r="N85" s="90"/>
    </row>
    <row r="86" spans="1:14" ht="40" customHeight="1" x14ac:dyDescent="0.2">
      <c r="A86" s="85" t="s">
        <v>176</v>
      </c>
      <c r="B86" s="86"/>
      <c r="C86" s="87">
        <v>1</v>
      </c>
      <c r="D86" s="87">
        <v>3</v>
      </c>
      <c r="E86" s="87">
        <v>2</v>
      </c>
      <c r="F86" s="86" t="s">
        <v>155</v>
      </c>
      <c r="G86" s="86" t="s">
        <v>251</v>
      </c>
      <c r="H86" s="86"/>
      <c r="I86" s="86"/>
      <c r="J86" s="88" t="s">
        <v>154</v>
      </c>
      <c r="K86" s="86"/>
      <c r="L86" s="88" t="s">
        <v>154</v>
      </c>
      <c r="M86" s="89" t="b">
        <v>1</v>
      </c>
      <c r="N86" s="90"/>
    </row>
    <row r="87" spans="1:14" ht="40" customHeight="1" x14ac:dyDescent="0.2">
      <c r="A87" s="85" t="s">
        <v>176</v>
      </c>
      <c r="B87" s="86"/>
      <c r="C87" s="87">
        <v>1</v>
      </c>
      <c r="D87" s="87">
        <v>4</v>
      </c>
      <c r="E87" s="87">
        <v>2</v>
      </c>
      <c r="F87" s="86" t="s">
        <v>155</v>
      </c>
      <c r="G87" s="86" t="s">
        <v>252</v>
      </c>
      <c r="H87" s="86"/>
      <c r="I87" s="86"/>
      <c r="J87" s="88" t="s">
        <v>154</v>
      </c>
      <c r="K87" s="86"/>
      <c r="L87" s="88" t="s">
        <v>154</v>
      </c>
      <c r="M87" s="89" t="b">
        <v>1</v>
      </c>
      <c r="N87" s="90"/>
    </row>
    <row r="88" spans="1:14" ht="40" customHeight="1" x14ac:dyDescent="0.2">
      <c r="A88" s="85" t="s">
        <v>176</v>
      </c>
      <c r="B88" s="86"/>
      <c r="C88" s="87">
        <v>1</v>
      </c>
      <c r="D88" s="87">
        <v>5</v>
      </c>
      <c r="E88" s="87">
        <v>2</v>
      </c>
      <c r="F88" s="86" t="s">
        <v>178</v>
      </c>
      <c r="G88" s="86" t="s">
        <v>208</v>
      </c>
      <c r="H88" s="86" t="s">
        <v>290</v>
      </c>
      <c r="I88" s="86"/>
      <c r="J88" s="88" t="s">
        <v>154</v>
      </c>
      <c r="K88" s="86"/>
      <c r="L88" s="88" t="s">
        <v>154</v>
      </c>
      <c r="M88" s="89" t="b">
        <v>1</v>
      </c>
      <c r="N88" s="90"/>
    </row>
    <row r="89" spans="1:14" ht="40" customHeight="1" x14ac:dyDescent="0.2">
      <c r="A89" s="85" t="s">
        <v>176</v>
      </c>
      <c r="B89" s="86"/>
      <c r="C89" s="87">
        <v>2</v>
      </c>
      <c r="D89" s="87">
        <v>1</v>
      </c>
      <c r="E89" s="87">
        <v>1</v>
      </c>
      <c r="F89" s="86" t="s">
        <v>155</v>
      </c>
      <c r="G89" s="86" t="s">
        <v>35</v>
      </c>
      <c r="H89" s="86"/>
      <c r="I89" s="86" t="s">
        <v>188</v>
      </c>
      <c r="J89" s="88" t="s">
        <v>153</v>
      </c>
      <c r="K89" s="86" t="s">
        <v>164</v>
      </c>
      <c r="L89" s="88" t="s">
        <v>144</v>
      </c>
      <c r="M89" s="89" t="b">
        <v>1</v>
      </c>
      <c r="N89" s="90"/>
    </row>
    <row r="90" spans="1:14" ht="40" customHeight="1" x14ac:dyDescent="0.2">
      <c r="A90" s="85" t="s">
        <v>176</v>
      </c>
      <c r="B90" s="86"/>
      <c r="C90" s="87">
        <v>2</v>
      </c>
      <c r="D90" s="87">
        <v>2</v>
      </c>
      <c r="E90" s="87">
        <v>2</v>
      </c>
      <c r="F90" s="86" t="s">
        <v>155</v>
      </c>
      <c r="G90" s="86" t="s">
        <v>253</v>
      </c>
      <c r="H90" s="86"/>
      <c r="I90" s="86"/>
      <c r="J90" s="88" t="s">
        <v>154</v>
      </c>
      <c r="K90" s="86"/>
      <c r="L90" s="88" t="s">
        <v>154</v>
      </c>
      <c r="M90" s="89" t="b">
        <v>1</v>
      </c>
      <c r="N90" s="90"/>
    </row>
    <row r="91" spans="1:14" ht="40" customHeight="1" x14ac:dyDescent="0.2">
      <c r="A91" s="85" t="s">
        <v>176</v>
      </c>
      <c r="B91" s="86"/>
      <c r="C91" s="87">
        <v>2</v>
      </c>
      <c r="D91" s="87">
        <v>3</v>
      </c>
      <c r="E91" s="87">
        <v>2</v>
      </c>
      <c r="F91" s="86" t="s">
        <v>155</v>
      </c>
      <c r="G91" s="86" t="s">
        <v>254</v>
      </c>
      <c r="H91" s="86"/>
      <c r="I91" s="86"/>
      <c r="J91" s="88" t="s">
        <v>154</v>
      </c>
      <c r="K91" s="86"/>
      <c r="L91" s="88" t="s">
        <v>154</v>
      </c>
      <c r="M91" s="89" t="b">
        <v>1</v>
      </c>
      <c r="N91" s="90"/>
    </row>
    <row r="92" spans="1:14" ht="40" customHeight="1" x14ac:dyDescent="0.2">
      <c r="A92" s="85" t="s">
        <v>176</v>
      </c>
      <c r="B92" s="86"/>
      <c r="C92" s="87">
        <v>3</v>
      </c>
      <c r="D92" s="87">
        <v>1</v>
      </c>
      <c r="E92" s="87">
        <v>1</v>
      </c>
      <c r="F92" s="86" t="s">
        <v>155</v>
      </c>
      <c r="G92" s="86" t="s">
        <v>38</v>
      </c>
      <c r="H92" s="86"/>
      <c r="I92" s="86" t="s">
        <v>190</v>
      </c>
      <c r="J92" s="88" t="s">
        <v>153</v>
      </c>
      <c r="K92" s="86" t="s">
        <v>173</v>
      </c>
      <c r="L92" s="88" t="s">
        <v>144</v>
      </c>
      <c r="M92" s="89" t="b">
        <v>1</v>
      </c>
      <c r="N92" s="90"/>
    </row>
    <row r="93" spans="1:14" ht="40" customHeight="1" x14ac:dyDescent="0.2">
      <c r="A93" s="85" t="s">
        <v>176</v>
      </c>
      <c r="B93" s="86"/>
      <c r="C93" s="87">
        <v>3</v>
      </c>
      <c r="D93" s="87">
        <v>2</v>
      </c>
      <c r="E93" s="87">
        <v>2</v>
      </c>
      <c r="F93" s="86" t="s">
        <v>155</v>
      </c>
      <c r="G93" s="86" t="s">
        <v>255</v>
      </c>
      <c r="H93" s="86"/>
      <c r="I93" s="86"/>
      <c r="J93" s="88" t="s">
        <v>154</v>
      </c>
      <c r="K93" s="86"/>
      <c r="L93" s="88" t="s">
        <v>154</v>
      </c>
      <c r="M93" s="89" t="b">
        <v>1</v>
      </c>
      <c r="N93" s="90"/>
    </row>
    <row r="94" spans="1:14" ht="40" customHeight="1" x14ac:dyDescent="0.2">
      <c r="A94" s="85" t="s">
        <v>176</v>
      </c>
      <c r="B94" s="86"/>
      <c r="C94" s="87">
        <v>3</v>
      </c>
      <c r="D94" s="87">
        <v>3</v>
      </c>
      <c r="E94" s="87">
        <v>2</v>
      </c>
      <c r="F94" s="86" t="s">
        <v>155</v>
      </c>
      <c r="G94" s="86" t="s">
        <v>256</v>
      </c>
      <c r="H94" s="86"/>
      <c r="I94" s="86"/>
      <c r="J94" s="88" t="s">
        <v>154</v>
      </c>
      <c r="K94" s="86"/>
      <c r="L94" s="88" t="s">
        <v>154</v>
      </c>
      <c r="M94" s="89" t="b">
        <v>1</v>
      </c>
      <c r="N94" s="90"/>
    </row>
    <row r="95" spans="1:14" ht="40" customHeight="1" x14ac:dyDescent="0.2">
      <c r="A95" s="85" t="s">
        <v>176</v>
      </c>
      <c r="B95" s="86"/>
      <c r="C95" s="87">
        <v>4</v>
      </c>
      <c r="D95" s="87">
        <v>1</v>
      </c>
      <c r="E95" s="87">
        <v>1</v>
      </c>
      <c r="F95" s="86" t="s">
        <v>155</v>
      </c>
      <c r="G95" s="86" t="s">
        <v>51</v>
      </c>
      <c r="H95" s="86"/>
      <c r="I95" s="86" t="s">
        <v>191</v>
      </c>
      <c r="J95" s="88" t="s">
        <v>153</v>
      </c>
      <c r="K95" s="86" t="s">
        <v>172</v>
      </c>
      <c r="L95" s="88" t="s">
        <v>144</v>
      </c>
      <c r="M95" s="89" t="b">
        <v>1</v>
      </c>
      <c r="N95" s="90"/>
    </row>
    <row r="96" spans="1:14" ht="40" customHeight="1" x14ac:dyDescent="0.2">
      <c r="A96" s="85" t="s">
        <v>176</v>
      </c>
      <c r="B96" s="86"/>
      <c r="C96" s="87">
        <v>4</v>
      </c>
      <c r="D96" s="87">
        <v>2</v>
      </c>
      <c r="E96" s="87">
        <v>2</v>
      </c>
      <c r="F96" s="86" t="s">
        <v>155</v>
      </c>
      <c r="G96" s="86" t="s">
        <v>257</v>
      </c>
      <c r="H96" s="86"/>
      <c r="I96" s="86"/>
      <c r="J96" s="88" t="s">
        <v>154</v>
      </c>
      <c r="K96" s="86"/>
      <c r="L96" s="88" t="s">
        <v>154</v>
      </c>
      <c r="M96" s="89" t="b">
        <v>1</v>
      </c>
      <c r="N96" s="90"/>
    </row>
    <row r="97" spans="1:14" ht="40" customHeight="1" x14ac:dyDescent="0.2">
      <c r="A97" s="85" t="s">
        <v>176</v>
      </c>
      <c r="B97" s="86"/>
      <c r="C97" s="87">
        <v>4</v>
      </c>
      <c r="D97" s="87">
        <v>3</v>
      </c>
      <c r="E97" s="87">
        <v>2</v>
      </c>
      <c r="F97" s="86" t="s">
        <v>155</v>
      </c>
      <c r="G97" s="86" t="s">
        <v>258</v>
      </c>
      <c r="H97" s="86"/>
      <c r="I97" s="86"/>
      <c r="J97" s="88" t="s">
        <v>154</v>
      </c>
      <c r="K97" s="86"/>
      <c r="L97" s="88" t="s">
        <v>154</v>
      </c>
      <c r="M97" s="89" t="b">
        <v>1</v>
      </c>
      <c r="N97" s="90"/>
    </row>
    <row r="98" spans="1:14" ht="40" customHeight="1" x14ac:dyDescent="0.2">
      <c r="A98" s="94" t="s">
        <v>164</v>
      </c>
      <c r="B98" s="86" t="s">
        <v>281</v>
      </c>
      <c r="C98" s="87">
        <v>1</v>
      </c>
      <c r="D98" s="87">
        <v>1</v>
      </c>
      <c r="E98" s="87">
        <v>1</v>
      </c>
      <c r="F98" s="86" t="s">
        <v>155</v>
      </c>
      <c r="G98" s="86" t="s">
        <v>183</v>
      </c>
      <c r="H98" s="86"/>
      <c r="I98" s="86" t="s">
        <v>306</v>
      </c>
      <c r="J98" s="88" t="s">
        <v>153</v>
      </c>
      <c r="K98" s="86"/>
      <c r="L98" s="88" t="s">
        <v>154</v>
      </c>
      <c r="M98" s="89" t="b">
        <v>1</v>
      </c>
      <c r="N98" s="90"/>
    </row>
    <row r="99" spans="1:14" ht="40" customHeight="1" x14ac:dyDescent="0.2">
      <c r="A99" s="94" t="s">
        <v>164</v>
      </c>
      <c r="B99" s="86"/>
      <c r="C99" s="87">
        <v>1</v>
      </c>
      <c r="D99" s="87">
        <v>2</v>
      </c>
      <c r="E99" s="87">
        <v>2</v>
      </c>
      <c r="F99" s="86" t="s">
        <v>155</v>
      </c>
      <c r="G99" s="86" t="s">
        <v>259</v>
      </c>
      <c r="H99" s="86"/>
      <c r="I99" s="86"/>
      <c r="J99" s="88" t="s">
        <v>154</v>
      </c>
      <c r="K99" s="86"/>
      <c r="L99" s="88" t="s">
        <v>154</v>
      </c>
      <c r="M99" s="89" t="b">
        <v>1</v>
      </c>
      <c r="N99" s="90"/>
    </row>
    <row r="100" spans="1:14" ht="40" customHeight="1" x14ac:dyDescent="0.2">
      <c r="A100" s="94" t="s">
        <v>164</v>
      </c>
      <c r="B100" s="86"/>
      <c r="C100" s="87">
        <v>1</v>
      </c>
      <c r="D100" s="87">
        <v>3</v>
      </c>
      <c r="E100" s="87">
        <v>2</v>
      </c>
      <c r="F100" s="86" t="s">
        <v>155</v>
      </c>
      <c r="G100" s="86" t="s">
        <v>307</v>
      </c>
      <c r="H100" s="86"/>
      <c r="I100" s="86"/>
      <c r="J100" s="88" t="s">
        <v>154</v>
      </c>
      <c r="K100" s="86"/>
      <c r="L100" s="88" t="s">
        <v>154</v>
      </c>
      <c r="M100" s="89" t="b">
        <v>1</v>
      </c>
      <c r="N100" s="90"/>
    </row>
    <row r="101" spans="1:14" ht="40" customHeight="1" x14ac:dyDescent="0.2">
      <c r="A101" s="94" t="s">
        <v>164</v>
      </c>
      <c r="B101" s="86"/>
      <c r="C101" s="87">
        <v>1</v>
      </c>
      <c r="D101" s="87">
        <v>4</v>
      </c>
      <c r="E101" s="87">
        <v>2</v>
      </c>
      <c r="F101" s="86" t="s">
        <v>178</v>
      </c>
      <c r="G101" s="86" t="s">
        <v>208</v>
      </c>
      <c r="H101" s="86" t="s">
        <v>308</v>
      </c>
      <c r="I101" s="86"/>
      <c r="J101" s="88" t="s">
        <v>154</v>
      </c>
      <c r="K101" s="86"/>
      <c r="L101" s="88" t="s">
        <v>154</v>
      </c>
      <c r="M101" s="89" t="b">
        <v>1</v>
      </c>
      <c r="N101" s="90"/>
    </row>
    <row r="102" spans="1:14" ht="40" customHeight="1" x14ac:dyDescent="0.2">
      <c r="A102" s="94" t="s">
        <v>164</v>
      </c>
      <c r="B102" s="86"/>
      <c r="C102" s="87">
        <v>2</v>
      </c>
      <c r="D102" s="87">
        <v>1</v>
      </c>
      <c r="E102" s="87">
        <v>1</v>
      </c>
      <c r="F102" s="86" t="s">
        <v>155</v>
      </c>
      <c r="G102" s="86" t="s">
        <v>36</v>
      </c>
      <c r="H102" s="86"/>
      <c r="I102" s="86" t="s">
        <v>260</v>
      </c>
      <c r="J102" s="88" t="s">
        <v>153</v>
      </c>
      <c r="K102" s="86" t="s">
        <v>156</v>
      </c>
      <c r="L102" s="88" t="s">
        <v>144</v>
      </c>
      <c r="M102" s="89" t="b">
        <v>1</v>
      </c>
      <c r="N102" s="90"/>
    </row>
    <row r="103" spans="1:14" ht="40" customHeight="1" x14ac:dyDescent="0.2">
      <c r="A103" s="94" t="s">
        <v>164</v>
      </c>
      <c r="B103" s="86"/>
      <c r="C103" s="87">
        <v>2</v>
      </c>
      <c r="D103" s="87">
        <v>2</v>
      </c>
      <c r="E103" s="87">
        <v>2</v>
      </c>
      <c r="F103" s="86" t="s">
        <v>155</v>
      </c>
      <c r="G103" s="86" t="s">
        <v>309</v>
      </c>
      <c r="H103" s="86"/>
      <c r="I103" s="86"/>
      <c r="J103" s="88" t="s">
        <v>154</v>
      </c>
      <c r="K103" s="86"/>
      <c r="L103" s="88" t="s">
        <v>154</v>
      </c>
      <c r="M103" s="89" t="b">
        <v>1</v>
      </c>
      <c r="N103" s="90"/>
    </row>
    <row r="104" spans="1:14" ht="40" customHeight="1" x14ac:dyDescent="0.2">
      <c r="A104" s="94" t="s">
        <v>164</v>
      </c>
      <c r="B104" s="86"/>
      <c r="C104" s="87">
        <v>2</v>
      </c>
      <c r="D104" s="87">
        <v>3</v>
      </c>
      <c r="E104" s="87">
        <v>2</v>
      </c>
      <c r="F104" s="86" t="s">
        <v>155</v>
      </c>
      <c r="G104" s="86" t="s">
        <v>310</v>
      </c>
      <c r="H104" s="86"/>
      <c r="I104" s="86"/>
      <c r="J104" s="88" t="s">
        <v>154</v>
      </c>
      <c r="K104" s="86"/>
      <c r="L104" s="88" t="s">
        <v>154</v>
      </c>
      <c r="M104" s="89" t="b">
        <v>1</v>
      </c>
      <c r="N104" s="90"/>
    </row>
    <row r="105" spans="1:14" ht="40" customHeight="1" x14ac:dyDescent="0.2">
      <c r="A105" s="94" t="s">
        <v>164</v>
      </c>
      <c r="B105" s="86"/>
      <c r="C105" s="87">
        <v>3</v>
      </c>
      <c r="D105" s="87">
        <v>1</v>
      </c>
      <c r="E105" s="87">
        <v>1</v>
      </c>
      <c r="F105" s="86" t="s">
        <v>155</v>
      </c>
      <c r="G105" s="86" t="s">
        <v>37</v>
      </c>
      <c r="H105" s="86"/>
      <c r="I105" s="86" t="s">
        <v>174</v>
      </c>
      <c r="J105" s="88" t="s">
        <v>153</v>
      </c>
      <c r="K105" s="86" t="s">
        <v>157</v>
      </c>
      <c r="L105" s="88" t="s">
        <v>144</v>
      </c>
      <c r="M105" s="89" t="b">
        <v>1</v>
      </c>
      <c r="N105" s="90"/>
    </row>
    <row r="106" spans="1:14" ht="40" customHeight="1" x14ac:dyDescent="0.2">
      <c r="A106" s="94" t="s">
        <v>164</v>
      </c>
      <c r="B106" s="86"/>
      <c r="C106" s="87">
        <v>3</v>
      </c>
      <c r="D106" s="87">
        <v>2</v>
      </c>
      <c r="E106" s="87">
        <v>2</v>
      </c>
      <c r="F106" s="86" t="s">
        <v>155</v>
      </c>
      <c r="G106" s="86" t="s">
        <v>312</v>
      </c>
      <c r="H106" s="86"/>
      <c r="I106" s="86"/>
      <c r="J106" s="88" t="s">
        <v>154</v>
      </c>
      <c r="K106" s="86"/>
      <c r="L106" s="88" t="s">
        <v>154</v>
      </c>
      <c r="M106" s="89" t="b">
        <v>1</v>
      </c>
      <c r="N106" s="90"/>
    </row>
    <row r="107" spans="1:14" ht="40" customHeight="1" x14ac:dyDescent="0.2">
      <c r="A107" s="94" t="s">
        <v>164</v>
      </c>
      <c r="B107" s="86"/>
      <c r="C107" s="87">
        <v>3</v>
      </c>
      <c r="D107" s="87">
        <v>3</v>
      </c>
      <c r="E107" s="87">
        <v>2</v>
      </c>
      <c r="F107" s="86" t="s">
        <v>155</v>
      </c>
      <c r="G107" s="86" t="s">
        <v>311</v>
      </c>
      <c r="H107" s="86"/>
      <c r="I107" s="86"/>
      <c r="J107" s="88" t="s">
        <v>154</v>
      </c>
      <c r="K107" s="86"/>
      <c r="L107" s="88" t="s">
        <v>154</v>
      </c>
      <c r="M107" s="89" t="b">
        <v>1</v>
      </c>
      <c r="N107" s="90"/>
    </row>
    <row r="108" spans="1:14" ht="40" customHeight="1" x14ac:dyDescent="0.2">
      <c r="A108" s="95" t="s">
        <v>173</v>
      </c>
      <c r="B108" s="86" t="s">
        <v>282</v>
      </c>
      <c r="C108" s="87">
        <v>1</v>
      </c>
      <c r="D108" s="87">
        <v>1</v>
      </c>
      <c r="E108" s="87">
        <v>1</v>
      </c>
      <c r="F108" s="86" t="s">
        <v>155</v>
      </c>
      <c r="G108" s="86" t="s">
        <v>183</v>
      </c>
      <c r="H108" s="86"/>
      <c r="I108" s="86" t="s">
        <v>313</v>
      </c>
      <c r="J108" s="88" t="s">
        <v>153</v>
      </c>
      <c r="K108" s="86"/>
      <c r="L108" s="88" t="s">
        <v>154</v>
      </c>
      <c r="M108" s="89" t="b">
        <v>1</v>
      </c>
      <c r="N108" s="90"/>
    </row>
    <row r="109" spans="1:14" ht="40" customHeight="1" x14ac:dyDescent="0.2">
      <c r="A109" s="95" t="s">
        <v>173</v>
      </c>
      <c r="B109" s="86"/>
      <c r="C109" s="87">
        <v>1</v>
      </c>
      <c r="D109" s="87">
        <v>2</v>
      </c>
      <c r="E109" s="87">
        <v>2</v>
      </c>
      <c r="F109" s="86" t="s">
        <v>155</v>
      </c>
      <c r="G109" s="86" t="s">
        <v>261</v>
      </c>
      <c r="H109" s="86"/>
      <c r="I109" s="86"/>
      <c r="J109" s="88" t="s">
        <v>154</v>
      </c>
      <c r="K109" s="86"/>
      <c r="L109" s="88" t="s">
        <v>154</v>
      </c>
      <c r="M109" s="89" t="b">
        <v>1</v>
      </c>
      <c r="N109" s="90"/>
    </row>
    <row r="110" spans="1:14" ht="40" customHeight="1" x14ac:dyDescent="0.2">
      <c r="A110" s="95" t="s">
        <v>173</v>
      </c>
      <c r="B110" s="86"/>
      <c r="C110" s="87">
        <v>1</v>
      </c>
      <c r="D110" s="87">
        <v>3</v>
      </c>
      <c r="E110" s="87">
        <v>2</v>
      </c>
      <c r="F110" s="86" t="s">
        <v>155</v>
      </c>
      <c r="G110" s="86" t="s">
        <v>314</v>
      </c>
      <c r="H110" s="86"/>
      <c r="I110" s="86"/>
      <c r="J110" s="88" t="s">
        <v>154</v>
      </c>
      <c r="K110" s="86"/>
      <c r="L110" s="88" t="s">
        <v>154</v>
      </c>
      <c r="M110" s="89" t="b">
        <v>1</v>
      </c>
      <c r="N110" s="90"/>
    </row>
    <row r="111" spans="1:14" ht="40" customHeight="1" x14ac:dyDescent="0.2">
      <c r="A111" s="95" t="s">
        <v>173</v>
      </c>
      <c r="B111" s="86"/>
      <c r="C111" s="87">
        <v>1</v>
      </c>
      <c r="D111" s="87">
        <v>4</v>
      </c>
      <c r="E111" s="87">
        <v>2</v>
      </c>
      <c r="F111" s="86" t="s">
        <v>178</v>
      </c>
      <c r="G111" s="86" t="s">
        <v>208</v>
      </c>
      <c r="H111" s="86" t="s">
        <v>315</v>
      </c>
      <c r="I111" s="86"/>
      <c r="J111" s="88" t="s">
        <v>154</v>
      </c>
      <c r="K111" s="86"/>
      <c r="L111" s="88" t="s">
        <v>154</v>
      </c>
      <c r="M111" s="89" t="b">
        <v>1</v>
      </c>
      <c r="N111" s="90"/>
    </row>
    <row r="112" spans="1:14" ht="40" customHeight="1" x14ac:dyDescent="0.2">
      <c r="A112" s="95" t="s">
        <v>173</v>
      </c>
      <c r="B112" s="86"/>
      <c r="C112" s="87">
        <v>2</v>
      </c>
      <c r="D112" s="87">
        <v>1</v>
      </c>
      <c r="E112" s="87">
        <v>1</v>
      </c>
      <c r="F112" s="86" t="s">
        <v>155</v>
      </c>
      <c r="G112" s="86" t="s">
        <v>44</v>
      </c>
      <c r="H112" s="86"/>
      <c r="I112" s="86" t="s">
        <v>262</v>
      </c>
      <c r="J112" s="88" t="s">
        <v>153</v>
      </c>
      <c r="K112" s="86" t="s">
        <v>166</v>
      </c>
      <c r="L112" s="88" t="s">
        <v>144</v>
      </c>
      <c r="M112" s="89" t="b">
        <v>1</v>
      </c>
      <c r="N112" s="90"/>
    </row>
    <row r="113" spans="1:14" ht="40" customHeight="1" x14ac:dyDescent="0.2">
      <c r="A113" s="95" t="s">
        <v>173</v>
      </c>
      <c r="B113" s="86"/>
      <c r="C113" s="87">
        <v>2</v>
      </c>
      <c r="D113" s="87">
        <v>2</v>
      </c>
      <c r="E113" s="87">
        <v>2</v>
      </c>
      <c r="F113" s="86" t="s">
        <v>155</v>
      </c>
      <c r="G113" s="86" t="s">
        <v>316</v>
      </c>
      <c r="H113" s="86"/>
      <c r="I113" s="86"/>
      <c r="J113" s="88" t="s">
        <v>154</v>
      </c>
      <c r="K113" s="86"/>
      <c r="L113" s="88" t="s">
        <v>154</v>
      </c>
      <c r="M113" s="89" t="b">
        <v>1</v>
      </c>
      <c r="N113" s="90"/>
    </row>
    <row r="114" spans="1:14" ht="40" customHeight="1" x14ac:dyDescent="0.2">
      <c r="A114" s="95" t="s">
        <v>173</v>
      </c>
      <c r="B114" s="86"/>
      <c r="C114" s="87">
        <v>2</v>
      </c>
      <c r="D114" s="87">
        <v>3</v>
      </c>
      <c r="E114" s="87">
        <v>2</v>
      </c>
      <c r="F114" s="86" t="s">
        <v>155</v>
      </c>
      <c r="G114" s="86" t="s">
        <v>317</v>
      </c>
      <c r="H114" s="86"/>
      <c r="I114" s="86"/>
      <c r="J114" s="88" t="s">
        <v>154</v>
      </c>
      <c r="K114" s="86"/>
      <c r="L114" s="88" t="s">
        <v>154</v>
      </c>
      <c r="M114" s="89" t="b">
        <v>1</v>
      </c>
      <c r="N114" s="90"/>
    </row>
    <row r="115" spans="1:14" ht="40" customHeight="1" x14ac:dyDescent="0.2">
      <c r="A115" s="95" t="s">
        <v>173</v>
      </c>
      <c r="B115" s="86"/>
      <c r="C115" s="87">
        <v>3</v>
      </c>
      <c r="D115" s="87">
        <v>1</v>
      </c>
      <c r="E115" s="87">
        <v>1</v>
      </c>
      <c r="F115" s="86" t="s">
        <v>155</v>
      </c>
      <c r="G115" s="86" t="s">
        <v>39</v>
      </c>
      <c r="H115" s="86"/>
      <c r="I115" s="86" t="s">
        <v>263</v>
      </c>
      <c r="J115" s="88" t="s">
        <v>153</v>
      </c>
      <c r="K115" s="86" t="s">
        <v>175</v>
      </c>
      <c r="L115" s="88" t="s">
        <v>144</v>
      </c>
      <c r="M115" s="89" t="b">
        <v>1</v>
      </c>
      <c r="N115" s="90"/>
    </row>
    <row r="116" spans="1:14" ht="40" customHeight="1" x14ac:dyDescent="0.2">
      <c r="A116" s="95" t="s">
        <v>173</v>
      </c>
      <c r="B116" s="86"/>
      <c r="C116" s="87">
        <v>3</v>
      </c>
      <c r="D116" s="87">
        <v>2</v>
      </c>
      <c r="E116" s="87">
        <v>2</v>
      </c>
      <c r="F116" s="86" t="s">
        <v>155</v>
      </c>
      <c r="G116" s="86" t="s">
        <v>318</v>
      </c>
      <c r="H116" s="86"/>
      <c r="I116" s="86"/>
      <c r="J116" s="88" t="s">
        <v>154</v>
      </c>
      <c r="K116" s="86"/>
      <c r="L116" s="88" t="s">
        <v>154</v>
      </c>
      <c r="M116" s="89" t="b">
        <v>1</v>
      </c>
      <c r="N116" s="90"/>
    </row>
    <row r="117" spans="1:14" ht="40" customHeight="1" x14ac:dyDescent="0.2">
      <c r="A117" s="96" t="s">
        <v>172</v>
      </c>
      <c r="B117" s="86" t="s">
        <v>283</v>
      </c>
      <c r="C117" s="87">
        <v>1</v>
      </c>
      <c r="D117" s="87">
        <v>1</v>
      </c>
      <c r="E117" s="87">
        <v>1</v>
      </c>
      <c r="F117" s="86" t="s">
        <v>155</v>
      </c>
      <c r="G117" s="86" t="s">
        <v>183</v>
      </c>
      <c r="H117" s="86"/>
      <c r="I117" s="86" t="s">
        <v>319</v>
      </c>
      <c r="J117" s="88" t="s">
        <v>153</v>
      </c>
      <c r="K117" s="86"/>
      <c r="L117" s="88" t="s">
        <v>154</v>
      </c>
      <c r="M117" s="89" t="b">
        <v>1</v>
      </c>
      <c r="N117" s="90"/>
    </row>
    <row r="118" spans="1:14" ht="40" customHeight="1" x14ac:dyDescent="0.2">
      <c r="A118" s="96" t="s">
        <v>172</v>
      </c>
      <c r="B118" s="86"/>
      <c r="C118" s="87">
        <v>1</v>
      </c>
      <c r="D118" s="87">
        <v>2</v>
      </c>
      <c r="E118" s="87">
        <v>2</v>
      </c>
      <c r="F118" s="86" t="s">
        <v>155</v>
      </c>
      <c r="G118" s="86" t="s">
        <v>320</v>
      </c>
      <c r="H118" s="86"/>
      <c r="I118" s="86"/>
      <c r="J118" s="88" t="s">
        <v>154</v>
      </c>
      <c r="K118" s="86"/>
      <c r="L118" s="88" t="s">
        <v>154</v>
      </c>
      <c r="M118" s="89" t="b">
        <v>1</v>
      </c>
      <c r="N118" s="90"/>
    </row>
    <row r="119" spans="1:14" ht="40" customHeight="1" x14ac:dyDescent="0.2">
      <c r="A119" s="96" t="s">
        <v>172</v>
      </c>
      <c r="B119" s="86"/>
      <c r="C119" s="87">
        <v>1</v>
      </c>
      <c r="D119" s="87">
        <v>3</v>
      </c>
      <c r="E119" s="87">
        <v>2</v>
      </c>
      <c r="F119" s="86" t="s">
        <v>155</v>
      </c>
      <c r="G119" s="86" t="s">
        <v>321</v>
      </c>
      <c r="H119" s="86"/>
      <c r="I119" s="86"/>
      <c r="J119" s="88" t="s">
        <v>154</v>
      </c>
      <c r="K119" s="86"/>
      <c r="L119" s="88" t="s">
        <v>154</v>
      </c>
      <c r="M119" s="89" t="b">
        <v>1</v>
      </c>
      <c r="N119" s="90"/>
    </row>
    <row r="120" spans="1:14" ht="40" customHeight="1" x14ac:dyDescent="0.2">
      <c r="A120" s="96" t="s">
        <v>172</v>
      </c>
      <c r="B120" s="86"/>
      <c r="C120" s="87">
        <v>1</v>
      </c>
      <c r="D120" s="87">
        <v>4</v>
      </c>
      <c r="E120" s="87">
        <v>2</v>
      </c>
      <c r="F120" s="86" t="s">
        <v>155</v>
      </c>
      <c r="G120" s="86" t="s">
        <v>322</v>
      </c>
      <c r="H120" s="86"/>
      <c r="I120" s="86"/>
      <c r="J120" s="88" t="s">
        <v>154</v>
      </c>
      <c r="K120" s="86"/>
      <c r="L120" s="88" t="s">
        <v>154</v>
      </c>
      <c r="M120" s="89" t="b">
        <v>1</v>
      </c>
      <c r="N120" s="90"/>
    </row>
    <row r="121" spans="1:14" ht="40" customHeight="1" x14ac:dyDescent="0.2">
      <c r="A121" s="96" t="s">
        <v>172</v>
      </c>
      <c r="B121" s="86"/>
      <c r="C121" s="87">
        <v>1</v>
      </c>
      <c r="D121" s="87">
        <v>5</v>
      </c>
      <c r="E121" s="87">
        <v>2</v>
      </c>
      <c r="F121" s="86" t="s">
        <v>178</v>
      </c>
      <c r="G121" s="86" t="s">
        <v>208</v>
      </c>
      <c r="H121" s="86" t="s">
        <v>323</v>
      </c>
      <c r="I121" s="86"/>
      <c r="J121" s="88" t="s">
        <v>154</v>
      </c>
      <c r="K121" s="86"/>
      <c r="L121" s="88" t="s">
        <v>154</v>
      </c>
      <c r="M121" s="89" t="b">
        <v>1</v>
      </c>
      <c r="N121" s="90"/>
    </row>
    <row r="122" spans="1:14" ht="40" customHeight="1" x14ac:dyDescent="0.2">
      <c r="A122" s="97" t="s">
        <v>172</v>
      </c>
      <c r="B122" s="86"/>
      <c r="C122" s="87">
        <v>2</v>
      </c>
      <c r="D122" s="87">
        <v>1</v>
      </c>
      <c r="E122" s="87">
        <v>1</v>
      </c>
      <c r="F122" s="86" t="s">
        <v>155</v>
      </c>
      <c r="G122" s="86" t="s">
        <v>52</v>
      </c>
      <c r="H122" s="86"/>
      <c r="I122" s="86" t="s">
        <v>324</v>
      </c>
      <c r="J122" s="88" t="s">
        <v>153</v>
      </c>
      <c r="K122" s="86" t="s">
        <v>160</v>
      </c>
      <c r="L122" s="88" t="s">
        <v>144</v>
      </c>
      <c r="M122" s="89" t="b">
        <v>1</v>
      </c>
      <c r="N122" s="90"/>
    </row>
    <row r="123" spans="1:14" ht="40" customHeight="1" x14ac:dyDescent="0.2">
      <c r="A123" s="97" t="s">
        <v>172</v>
      </c>
      <c r="B123" s="86"/>
      <c r="C123" s="87">
        <v>2</v>
      </c>
      <c r="D123" s="87">
        <v>2</v>
      </c>
      <c r="E123" s="87">
        <v>2</v>
      </c>
      <c r="F123" s="86" t="s">
        <v>155</v>
      </c>
      <c r="G123" s="86" t="s">
        <v>325</v>
      </c>
      <c r="H123" s="86"/>
      <c r="I123" s="86"/>
      <c r="J123" s="88" t="s">
        <v>154</v>
      </c>
      <c r="K123" s="86"/>
      <c r="L123" s="88" t="s">
        <v>154</v>
      </c>
      <c r="M123" s="89" t="b">
        <v>1</v>
      </c>
      <c r="N123" s="90"/>
    </row>
    <row r="124" spans="1:14" ht="40" customHeight="1" x14ac:dyDescent="0.2">
      <c r="A124" s="97" t="s">
        <v>172</v>
      </c>
      <c r="B124" s="86"/>
      <c r="C124" s="87">
        <v>2</v>
      </c>
      <c r="D124" s="87">
        <v>3</v>
      </c>
      <c r="E124" s="87">
        <v>2</v>
      </c>
      <c r="F124" s="86" t="s">
        <v>155</v>
      </c>
      <c r="G124" s="86" t="s">
        <v>326</v>
      </c>
      <c r="H124" s="86"/>
      <c r="I124" s="86"/>
      <c r="J124" s="88" t="s">
        <v>154</v>
      </c>
      <c r="K124" s="86"/>
      <c r="L124" s="88" t="s">
        <v>154</v>
      </c>
      <c r="M124" s="89" t="b">
        <v>1</v>
      </c>
      <c r="N124" s="90"/>
    </row>
    <row r="125" spans="1:14" ht="40" customHeight="1" x14ac:dyDescent="0.2">
      <c r="A125" s="98" t="s">
        <v>172</v>
      </c>
      <c r="B125" s="86"/>
      <c r="C125" s="87">
        <v>3</v>
      </c>
      <c r="D125" s="87">
        <v>1</v>
      </c>
      <c r="E125" s="87">
        <v>1</v>
      </c>
      <c r="F125" s="86" t="s">
        <v>155</v>
      </c>
      <c r="G125" s="86" t="s">
        <v>53</v>
      </c>
      <c r="H125" s="86"/>
      <c r="I125" s="86" t="s">
        <v>327</v>
      </c>
      <c r="J125" s="88" t="s">
        <v>153</v>
      </c>
      <c r="K125" s="86" t="s">
        <v>161</v>
      </c>
      <c r="L125" s="88" t="s">
        <v>144</v>
      </c>
      <c r="M125" s="89" t="b">
        <v>1</v>
      </c>
      <c r="N125" s="90"/>
    </row>
    <row r="126" spans="1:14" ht="40" customHeight="1" x14ac:dyDescent="0.2">
      <c r="A126" s="98" t="s">
        <v>172</v>
      </c>
      <c r="B126" s="86"/>
      <c r="C126" s="87">
        <v>3</v>
      </c>
      <c r="D126" s="87">
        <v>2</v>
      </c>
      <c r="E126" s="87">
        <v>2</v>
      </c>
      <c r="F126" s="86" t="s">
        <v>155</v>
      </c>
      <c r="G126" s="86" t="s">
        <v>328</v>
      </c>
      <c r="H126" s="86"/>
      <c r="I126" s="86"/>
      <c r="J126" s="88" t="s">
        <v>154</v>
      </c>
      <c r="K126" s="86"/>
      <c r="L126" s="88" t="s">
        <v>154</v>
      </c>
      <c r="M126" s="89" t="b">
        <v>1</v>
      </c>
      <c r="N126" s="90"/>
    </row>
    <row r="127" spans="1:14" ht="40" customHeight="1" x14ac:dyDescent="0.2">
      <c r="A127" s="98" t="s">
        <v>172</v>
      </c>
      <c r="B127" s="86"/>
      <c r="C127" s="87">
        <v>3</v>
      </c>
      <c r="D127" s="87">
        <v>3</v>
      </c>
      <c r="E127" s="87">
        <v>2</v>
      </c>
      <c r="F127" s="86" t="s">
        <v>155</v>
      </c>
      <c r="G127" s="86" t="s">
        <v>329</v>
      </c>
      <c r="H127" s="86"/>
      <c r="I127" s="86"/>
      <c r="J127" s="88" t="s">
        <v>154</v>
      </c>
      <c r="K127" s="86"/>
      <c r="L127" s="88" t="s">
        <v>154</v>
      </c>
      <c r="M127" s="89" t="b">
        <v>1</v>
      </c>
      <c r="N127" s="90"/>
    </row>
    <row r="128" spans="1:14" ht="40" customHeight="1" x14ac:dyDescent="0.2">
      <c r="A128" s="96" t="s">
        <v>172</v>
      </c>
      <c r="B128" s="86"/>
      <c r="C128" s="87">
        <v>4</v>
      </c>
      <c r="D128" s="87">
        <v>1</v>
      </c>
      <c r="E128" s="87">
        <v>1</v>
      </c>
      <c r="F128" s="86" t="s">
        <v>155</v>
      </c>
      <c r="G128" s="86" t="s">
        <v>58</v>
      </c>
      <c r="H128" s="86"/>
      <c r="I128" s="86" t="s">
        <v>207</v>
      </c>
      <c r="J128" s="88" t="s">
        <v>153</v>
      </c>
      <c r="K128" s="86" t="s">
        <v>192</v>
      </c>
      <c r="L128" s="88" t="s">
        <v>144</v>
      </c>
      <c r="M128" s="89" t="b">
        <v>1</v>
      </c>
      <c r="N128" s="90"/>
    </row>
    <row r="129" spans="1:14" ht="40" customHeight="1" x14ac:dyDescent="0.2">
      <c r="A129" s="96" t="s">
        <v>172</v>
      </c>
      <c r="B129" s="86"/>
      <c r="C129" s="87">
        <v>4</v>
      </c>
      <c r="D129" s="87">
        <v>2</v>
      </c>
      <c r="E129" s="87">
        <v>2</v>
      </c>
      <c r="F129" s="86" t="s">
        <v>155</v>
      </c>
      <c r="G129" s="86" t="s">
        <v>330</v>
      </c>
      <c r="H129" s="86"/>
      <c r="I129" s="86"/>
      <c r="J129" s="88" t="s">
        <v>154</v>
      </c>
      <c r="K129" s="86"/>
      <c r="L129" s="88" t="s">
        <v>154</v>
      </c>
      <c r="M129" s="89" t="b">
        <v>1</v>
      </c>
      <c r="N129" s="90"/>
    </row>
    <row r="130" spans="1:14" ht="40" customHeight="1" x14ac:dyDescent="0.2">
      <c r="A130" s="96" t="s">
        <v>172</v>
      </c>
      <c r="B130" s="86"/>
      <c r="C130" s="87">
        <v>4</v>
      </c>
      <c r="D130" s="87">
        <v>3</v>
      </c>
      <c r="E130" s="87">
        <v>2</v>
      </c>
      <c r="F130" s="86" t="s">
        <v>155</v>
      </c>
      <c r="G130" s="86" t="s">
        <v>331</v>
      </c>
      <c r="H130" s="86"/>
      <c r="I130" s="86"/>
      <c r="J130" s="88" t="s">
        <v>154</v>
      </c>
      <c r="K130" s="86"/>
      <c r="L130" s="88" t="s">
        <v>154</v>
      </c>
      <c r="M130" s="89" t="b">
        <v>1</v>
      </c>
      <c r="N130" s="90"/>
    </row>
    <row r="131" spans="1:14" ht="40" customHeight="1" x14ac:dyDescent="0.2">
      <c r="A131" s="96" t="s">
        <v>172</v>
      </c>
      <c r="B131" s="86"/>
      <c r="C131" s="87">
        <v>5</v>
      </c>
      <c r="D131" s="87">
        <v>1</v>
      </c>
      <c r="E131" s="87">
        <v>1</v>
      </c>
      <c r="F131" s="86" t="s">
        <v>155</v>
      </c>
      <c r="G131" s="86" t="s">
        <v>59</v>
      </c>
      <c r="H131" s="86"/>
      <c r="I131" s="86" t="s">
        <v>264</v>
      </c>
      <c r="J131" s="88" t="s">
        <v>153</v>
      </c>
      <c r="K131" s="86" t="s">
        <v>204</v>
      </c>
      <c r="L131" s="88" t="s">
        <v>144</v>
      </c>
      <c r="M131" s="89" t="b">
        <v>1</v>
      </c>
      <c r="N131" s="90"/>
    </row>
    <row r="132" spans="1:14" ht="40" customHeight="1" x14ac:dyDescent="0.2">
      <c r="A132" s="96" t="s">
        <v>172</v>
      </c>
      <c r="B132" s="86"/>
      <c r="C132" s="87">
        <v>5</v>
      </c>
      <c r="D132" s="87">
        <v>2</v>
      </c>
      <c r="E132" s="87">
        <v>2</v>
      </c>
      <c r="F132" s="86" t="s">
        <v>155</v>
      </c>
      <c r="G132" s="86" t="s">
        <v>332</v>
      </c>
      <c r="H132" s="86"/>
      <c r="I132" s="86"/>
      <c r="J132" s="88" t="s">
        <v>154</v>
      </c>
      <c r="K132" s="86"/>
      <c r="L132" s="88" t="s">
        <v>154</v>
      </c>
      <c r="M132" s="89" t="b">
        <v>1</v>
      </c>
      <c r="N132" s="90"/>
    </row>
    <row r="133" spans="1:14" ht="40" customHeight="1" x14ac:dyDescent="0.2">
      <c r="A133" s="96" t="s">
        <v>172</v>
      </c>
      <c r="B133" s="86"/>
      <c r="C133" s="87">
        <v>5</v>
      </c>
      <c r="D133" s="87">
        <v>3</v>
      </c>
      <c r="E133" s="87">
        <v>2</v>
      </c>
      <c r="F133" s="86" t="s">
        <v>155</v>
      </c>
      <c r="G133" s="86" t="s">
        <v>333</v>
      </c>
      <c r="H133" s="86"/>
      <c r="I133" s="86"/>
      <c r="J133" s="88" t="s">
        <v>154</v>
      </c>
      <c r="K133" s="86"/>
      <c r="L133" s="88" t="s">
        <v>154</v>
      </c>
      <c r="M133" s="89" t="b">
        <v>1</v>
      </c>
      <c r="N133" s="90"/>
    </row>
    <row r="134" spans="1:14" ht="40" customHeight="1" x14ac:dyDescent="0.2">
      <c r="A134" s="96" t="s">
        <v>172</v>
      </c>
      <c r="B134" s="86"/>
      <c r="C134" s="87">
        <v>6</v>
      </c>
      <c r="D134" s="87">
        <v>1</v>
      </c>
      <c r="E134" s="87">
        <v>1</v>
      </c>
      <c r="F134" s="86" t="s">
        <v>155</v>
      </c>
      <c r="G134" s="86" t="s">
        <v>60</v>
      </c>
      <c r="H134" s="86"/>
      <c r="I134" s="86" t="s">
        <v>265</v>
      </c>
      <c r="J134" s="88" t="s">
        <v>153</v>
      </c>
      <c r="K134" s="86" t="s">
        <v>197</v>
      </c>
      <c r="L134" s="88" t="s">
        <v>144</v>
      </c>
      <c r="M134" s="89" t="b">
        <v>1</v>
      </c>
      <c r="N134" s="90"/>
    </row>
    <row r="135" spans="1:14" ht="40" customHeight="1" x14ac:dyDescent="0.2">
      <c r="A135" s="96" t="s">
        <v>172</v>
      </c>
      <c r="B135" s="86"/>
      <c r="C135" s="87">
        <v>6</v>
      </c>
      <c r="D135" s="87">
        <v>2</v>
      </c>
      <c r="E135" s="87">
        <v>2</v>
      </c>
      <c r="F135" s="86" t="s">
        <v>155</v>
      </c>
      <c r="G135" s="86" t="s">
        <v>334</v>
      </c>
      <c r="H135" s="86"/>
      <c r="I135" s="86"/>
      <c r="J135" s="88" t="s">
        <v>154</v>
      </c>
      <c r="K135" s="86"/>
      <c r="L135" s="88" t="s">
        <v>154</v>
      </c>
      <c r="M135" s="89" t="b">
        <v>1</v>
      </c>
      <c r="N135" s="90"/>
    </row>
    <row r="136" spans="1:14" ht="40" customHeight="1" x14ac:dyDescent="0.2">
      <c r="A136" s="96" t="s">
        <v>172</v>
      </c>
      <c r="B136" s="86"/>
      <c r="C136" s="87">
        <v>6</v>
      </c>
      <c r="D136" s="87">
        <v>3</v>
      </c>
      <c r="E136" s="87">
        <v>2</v>
      </c>
      <c r="F136" s="86" t="s">
        <v>155</v>
      </c>
      <c r="G136" s="86" t="s">
        <v>335</v>
      </c>
      <c r="H136" s="86"/>
      <c r="I136" s="86"/>
      <c r="J136" s="88" t="s">
        <v>154</v>
      </c>
      <c r="K136" s="86"/>
      <c r="L136" s="88" t="s">
        <v>154</v>
      </c>
      <c r="M136" s="89" t="b">
        <v>1</v>
      </c>
      <c r="N136" s="90"/>
    </row>
    <row r="137" spans="1:14" ht="40" customHeight="1" x14ac:dyDescent="0.2">
      <c r="A137" s="96" t="s">
        <v>172</v>
      </c>
      <c r="B137" s="86"/>
      <c r="C137" s="87">
        <v>7</v>
      </c>
      <c r="D137" s="87">
        <v>1</v>
      </c>
      <c r="E137" s="87">
        <v>1</v>
      </c>
      <c r="F137" s="86" t="s">
        <v>155</v>
      </c>
      <c r="G137" s="86" t="s">
        <v>61</v>
      </c>
      <c r="H137" s="86"/>
      <c r="I137" s="86" t="s">
        <v>266</v>
      </c>
      <c r="J137" s="88" t="s">
        <v>153</v>
      </c>
      <c r="K137" s="86" t="s">
        <v>170</v>
      </c>
      <c r="L137" s="88" t="s">
        <v>144</v>
      </c>
      <c r="M137" s="89" t="b">
        <v>1</v>
      </c>
      <c r="N137" s="90"/>
    </row>
    <row r="138" spans="1:14" ht="40" customHeight="1" x14ac:dyDescent="0.2">
      <c r="A138" s="96" t="s">
        <v>172</v>
      </c>
      <c r="B138" s="86"/>
      <c r="C138" s="87">
        <v>7</v>
      </c>
      <c r="D138" s="87">
        <v>2</v>
      </c>
      <c r="E138" s="87">
        <v>2</v>
      </c>
      <c r="F138" s="86" t="s">
        <v>155</v>
      </c>
      <c r="G138" s="86" t="s">
        <v>336</v>
      </c>
      <c r="H138" s="86"/>
      <c r="I138" s="86"/>
      <c r="J138" s="88" t="s">
        <v>154</v>
      </c>
      <c r="K138" s="86"/>
      <c r="L138" s="88" t="s">
        <v>154</v>
      </c>
      <c r="M138" s="89" t="b">
        <v>1</v>
      </c>
      <c r="N138" s="90"/>
    </row>
    <row r="139" spans="1:14" ht="40" customHeight="1" x14ac:dyDescent="0.2">
      <c r="A139" s="96" t="s">
        <v>172</v>
      </c>
      <c r="B139" s="86"/>
      <c r="C139" s="87">
        <v>7</v>
      </c>
      <c r="D139" s="87">
        <v>3</v>
      </c>
      <c r="E139" s="87">
        <v>2</v>
      </c>
      <c r="F139" s="86" t="s">
        <v>155</v>
      </c>
      <c r="G139" s="86" t="s">
        <v>337</v>
      </c>
      <c r="H139" s="86"/>
      <c r="I139" s="86"/>
      <c r="J139" s="88" t="s">
        <v>154</v>
      </c>
      <c r="K139" s="86"/>
      <c r="L139" s="88" t="s">
        <v>154</v>
      </c>
      <c r="M139" s="89" t="b">
        <v>1</v>
      </c>
      <c r="N139" s="90"/>
    </row>
    <row r="140" spans="1:14" ht="40" customHeight="1" x14ac:dyDescent="0.2">
      <c r="A140" s="96" t="s">
        <v>172</v>
      </c>
      <c r="B140" s="86"/>
      <c r="C140" s="87">
        <v>8</v>
      </c>
      <c r="D140" s="87">
        <v>1</v>
      </c>
      <c r="E140" s="87">
        <v>1</v>
      </c>
      <c r="F140" s="86" t="s">
        <v>155</v>
      </c>
      <c r="G140" s="86" t="s">
        <v>63</v>
      </c>
      <c r="H140" s="86"/>
      <c r="I140" s="86" t="s">
        <v>267</v>
      </c>
      <c r="J140" s="88" t="s">
        <v>153</v>
      </c>
      <c r="K140" s="86" t="s">
        <v>201</v>
      </c>
      <c r="L140" s="88" t="s">
        <v>144</v>
      </c>
      <c r="M140" s="89" t="b">
        <v>1</v>
      </c>
      <c r="N140" s="90"/>
    </row>
    <row r="141" spans="1:14" ht="40" customHeight="1" x14ac:dyDescent="0.2">
      <c r="A141" s="96" t="s">
        <v>172</v>
      </c>
      <c r="B141" s="86"/>
      <c r="C141" s="87">
        <v>8</v>
      </c>
      <c r="D141" s="87">
        <v>2</v>
      </c>
      <c r="E141" s="87">
        <v>2</v>
      </c>
      <c r="F141" s="86" t="s">
        <v>155</v>
      </c>
      <c r="G141" s="86" t="s">
        <v>338</v>
      </c>
      <c r="H141" s="86"/>
      <c r="I141" s="86"/>
      <c r="J141" s="88" t="s">
        <v>154</v>
      </c>
      <c r="K141" s="86"/>
      <c r="L141" s="88" t="s">
        <v>154</v>
      </c>
      <c r="M141" s="89" t="b">
        <v>1</v>
      </c>
      <c r="N141" s="90"/>
    </row>
    <row r="142" spans="1:14" ht="40" customHeight="1" x14ac:dyDescent="0.2">
      <c r="A142" s="96" t="s">
        <v>172</v>
      </c>
      <c r="B142" s="86"/>
      <c r="C142" s="87">
        <v>8</v>
      </c>
      <c r="D142" s="87">
        <v>3</v>
      </c>
      <c r="E142" s="87">
        <v>2</v>
      </c>
      <c r="F142" s="86" t="s">
        <v>155</v>
      </c>
      <c r="G142" s="86" t="s">
        <v>339</v>
      </c>
      <c r="H142" s="86"/>
      <c r="I142" s="86"/>
      <c r="J142" s="88" t="s">
        <v>154</v>
      </c>
      <c r="K142" s="86"/>
      <c r="L142" s="88" t="s">
        <v>154</v>
      </c>
      <c r="M142" s="89" t="b">
        <v>1</v>
      </c>
      <c r="N142" s="90"/>
    </row>
    <row r="143" spans="1:14" ht="40" customHeight="1" x14ac:dyDescent="0.2">
      <c r="A143" s="96" t="s">
        <v>172</v>
      </c>
      <c r="B143" s="86"/>
      <c r="C143" s="87">
        <v>9</v>
      </c>
      <c r="D143" s="87">
        <v>1</v>
      </c>
      <c r="E143" s="87">
        <v>1</v>
      </c>
      <c r="F143" s="86" t="s">
        <v>155</v>
      </c>
      <c r="G143" s="86" t="s">
        <v>70</v>
      </c>
      <c r="H143" s="86"/>
      <c r="I143" s="86" t="s">
        <v>268</v>
      </c>
      <c r="J143" s="88" t="s">
        <v>153</v>
      </c>
      <c r="K143" s="86" t="s">
        <v>162</v>
      </c>
      <c r="L143" s="88" t="s">
        <v>144</v>
      </c>
      <c r="M143" s="89" t="b">
        <v>1</v>
      </c>
      <c r="N143" s="90"/>
    </row>
    <row r="144" spans="1:14" ht="40" customHeight="1" x14ac:dyDescent="0.2">
      <c r="A144" s="96" t="s">
        <v>172</v>
      </c>
      <c r="B144" s="86"/>
      <c r="C144" s="87">
        <v>9</v>
      </c>
      <c r="D144" s="87">
        <v>2</v>
      </c>
      <c r="E144" s="87">
        <v>2</v>
      </c>
      <c r="F144" s="86" t="s">
        <v>155</v>
      </c>
      <c r="G144" s="86" t="s">
        <v>340</v>
      </c>
      <c r="H144" s="86"/>
      <c r="I144" s="86"/>
      <c r="J144" s="88" t="s">
        <v>154</v>
      </c>
      <c r="K144" s="86"/>
      <c r="L144" s="88" t="s">
        <v>154</v>
      </c>
      <c r="M144" s="89" t="b">
        <v>1</v>
      </c>
      <c r="N144" s="90"/>
    </row>
    <row r="145" spans="1:14" ht="40" customHeight="1" x14ac:dyDescent="0.2">
      <c r="A145" s="96" t="s">
        <v>172</v>
      </c>
      <c r="B145" s="86"/>
      <c r="C145" s="87">
        <v>9</v>
      </c>
      <c r="D145" s="87">
        <v>3</v>
      </c>
      <c r="E145" s="87">
        <v>2</v>
      </c>
      <c r="F145" s="86" t="s">
        <v>155</v>
      </c>
      <c r="G145" s="86" t="s">
        <v>341</v>
      </c>
      <c r="H145" s="86"/>
      <c r="I145" s="86"/>
      <c r="J145" s="88" t="s">
        <v>154</v>
      </c>
      <c r="K145" s="86"/>
      <c r="L145" s="88" t="s">
        <v>154</v>
      </c>
      <c r="M145" s="89" t="b">
        <v>1</v>
      </c>
      <c r="N145" s="90"/>
    </row>
    <row r="146" spans="1:14" x14ac:dyDescent="0.2">
      <c r="A146" s="99" t="s">
        <v>177</v>
      </c>
      <c r="B146" s="86" t="s">
        <v>284</v>
      </c>
      <c r="C146" s="87">
        <v>1</v>
      </c>
      <c r="D146" s="87">
        <v>1</v>
      </c>
      <c r="E146" s="87">
        <v>1</v>
      </c>
      <c r="F146" s="86" t="s">
        <v>155</v>
      </c>
      <c r="G146" s="86" t="s">
        <v>183</v>
      </c>
      <c r="H146" s="86"/>
      <c r="I146" s="86" t="s">
        <v>342</v>
      </c>
      <c r="J146" s="88" t="s">
        <v>153</v>
      </c>
      <c r="K146" s="86"/>
      <c r="L146" s="88" t="s">
        <v>154</v>
      </c>
      <c r="M146" s="89" t="b">
        <v>1</v>
      </c>
      <c r="N146" s="90"/>
    </row>
    <row r="147" spans="1:14" ht="30" x14ac:dyDescent="0.2">
      <c r="A147" s="99" t="s">
        <v>177</v>
      </c>
      <c r="B147" s="86"/>
      <c r="C147" s="87">
        <v>1</v>
      </c>
      <c r="D147" s="87">
        <v>2</v>
      </c>
      <c r="E147" s="87">
        <v>2</v>
      </c>
      <c r="F147" s="86" t="s">
        <v>155</v>
      </c>
      <c r="G147" s="86" t="s">
        <v>343</v>
      </c>
      <c r="H147" s="86"/>
      <c r="I147" s="86"/>
      <c r="J147" s="88" t="s">
        <v>154</v>
      </c>
      <c r="K147" s="86"/>
      <c r="L147" s="88" t="s">
        <v>154</v>
      </c>
      <c r="M147" s="89" t="b">
        <v>1</v>
      </c>
      <c r="N147" s="90"/>
    </row>
    <row r="148" spans="1:14" x14ac:dyDescent="0.2">
      <c r="A148" s="99" t="s">
        <v>177</v>
      </c>
      <c r="B148" s="86"/>
      <c r="C148" s="87">
        <v>1</v>
      </c>
      <c r="D148" s="87">
        <v>3</v>
      </c>
      <c r="E148" s="87">
        <v>2</v>
      </c>
      <c r="F148" s="86" t="s">
        <v>155</v>
      </c>
      <c r="G148" s="86" t="s">
        <v>344</v>
      </c>
      <c r="H148" s="86"/>
      <c r="I148" s="86"/>
      <c r="J148" s="88" t="s">
        <v>154</v>
      </c>
      <c r="K148" s="86"/>
      <c r="L148" s="88" t="s">
        <v>154</v>
      </c>
      <c r="M148" s="89" t="b">
        <v>1</v>
      </c>
      <c r="N148" s="90"/>
    </row>
    <row r="149" spans="1:14" x14ac:dyDescent="0.2">
      <c r="A149" s="99" t="s">
        <v>177</v>
      </c>
      <c r="B149" s="86"/>
      <c r="C149" s="87">
        <v>1</v>
      </c>
      <c r="D149" s="87">
        <v>4</v>
      </c>
      <c r="E149" s="87">
        <v>2</v>
      </c>
      <c r="F149" s="86" t="s">
        <v>155</v>
      </c>
      <c r="G149" s="86" t="s">
        <v>345</v>
      </c>
      <c r="H149" s="86"/>
      <c r="I149" s="86"/>
      <c r="J149" s="88" t="s">
        <v>154</v>
      </c>
      <c r="K149" s="86"/>
      <c r="L149" s="88" t="s">
        <v>154</v>
      </c>
      <c r="M149" s="89" t="b">
        <v>1</v>
      </c>
      <c r="N149" s="90"/>
    </row>
    <row r="150" spans="1:14" ht="30" x14ac:dyDescent="0.2">
      <c r="A150" s="99" t="s">
        <v>177</v>
      </c>
      <c r="B150" s="86"/>
      <c r="C150" s="87">
        <v>1</v>
      </c>
      <c r="D150" s="87">
        <v>4</v>
      </c>
      <c r="E150" s="87">
        <v>2</v>
      </c>
      <c r="F150" s="86" t="s">
        <v>155</v>
      </c>
      <c r="G150" s="86" t="s">
        <v>346</v>
      </c>
      <c r="H150" s="86"/>
      <c r="I150" s="86"/>
      <c r="J150" s="88" t="s">
        <v>154</v>
      </c>
      <c r="K150" s="86"/>
      <c r="L150" s="88" t="s">
        <v>154</v>
      </c>
      <c r="M150" s="89" t="b">
        <v>1</v>
      </c>
      <c r="N150" s="90"/>
    </row>
    <row r="151" spans="1:14" x14ac:dyDescent="0.2">
      <c r="A151" s="99" t="s">
        <v>177</v>
      </c>
      <c r="B151" s="86"/>
      <c r="C151" s="87">
        <v>1</v>
      </c>
      <c r="D151" s="87">
        <v>5</v>
      </c>
      <c r="E151" s="87">
        <v>2</v>
      </c>
      <c r="F151" s="86" t="s">
        <v>155</v>
      </c>
      <c r="G151" s="86" t="s">
        <v>347</v>
      </c>
      <c r="H151" s="86"/>
      <c r="I151" s="86"/>
      <c r="J151" s="88" t="s">
        <v>154</v>
      </c>
      <c r="K151" s="86"/>
      <c r="L151" s="88" t="s">
        <v>154</v>
      </c>
      <c r="M151" s="89" t="b">
        <v>1</v>
      </c>
      <c r="N151" s="90"/>
    </row>
    <row r="152" spans="1:14" x14ac:dyDescent="0.2">
      <c r="A152" s="85" t="s">
        <v>171</v>
      </c>
      <c r="B152" s="86" t="s">
        <v>285</v>
      </c>
      <c r="C152" s="87">
        <v>1</v>
      </c>
      <c r="D152" s="87">
        <v>1</v>
      </c>
      <c r="E152" s="87">
        <v>1</v>
      </c>
      <c r="F152" s="86" t="s">
        <v>155</v>
      </c>
      <c r="G152" s="86" t="s">
        <v>183</v>
      </c>
      <c r="H152" s="86"/>
      <c r="I152" s="86" t="s">
        <v>174</v>
      </c>
      <c r="J152" s="88" t="s">
        <v>153</v>
      </c>
      <c r="K152" s="86"/>
      <c r="L152" s="88" t="s">
        <v>154</v>
      </c>
      <c r="M152" s="89" t="b">
        <v>1</v>
      </c>
      <c r="N152" s="90"/>
    </row>
    <row r="153" spans="1:14" x14ac:dyDescent="0.2">
      <c r="A153" s="85" t="s">
        <v>171</v>
      </c>
      <c r="B153" s="86"/>
      <c r="C153" s="87">
        <v>1</v>
      </c>
      <c r="D153" s="87">
        <v>2</v>
      </c>
      <c r="E153" s="87">
        <v>2</v>
      </c>
      <c r="F153" s="86" t="s">
        <v>155</v>
      </c>
      <c r="G153" s="86" t="s">
        <v>348</v>
      </c>
      <c r="H153" s="86"/>
      <c r="I153" s="86"/>
      <c r="J153" s="88" t="s">
        <v>154</v>
      </c>
      <c r="K153" s="86"/>
      <c r="L153" s="88" t="s">
        <v>154</v>
      </c>
      <c r="M153" s="89" t="b">
        <v>1</v>
      </c>
      <c r="N153" s="90"/>
    </row>
    <row r="154" spans="1:14" ht="30" x14ac:dyDescent="0.2">
      <c r="A154" s="85" t="s">
        <v>171</v>
      </c>
      <c r="B154" s="86"/>
      <c r="C154" s="87">
        <v>1</v>
      </c>
      <c r="D154" s="87">
        <v>3</v>
      </c>
      <c r="E154" s="87">
        <v>2</v>
      </c>
      <c r="F154" s="86" t="s">
        <v>155</v>
      </c>
      <c r="G154" s="86" t="s">
        <v>349</v>
      </c>
      <c r="H154" s="86"/>
      <c r="I154" s="86"/>
      <c r="J154" s="88" t="s">
        <v>154</v>
      </c>
      <c r="K154" s="86"/>
      <c r="L154" s="88" t="s">
        <v>154</v>
      </c>
      <c r="M154" s="89" t="b">
        <v>1</v>
      </c>
      <c r="N154" s="90"/>
    </row>
    <row r="155" spans="1:14" x14ac:dyDescent="0.2">
      <c r="A155" s="85" t="s">
        <v>171</v>
      </c>
      <c r="B155" s="86"/>
      <c r="C155" s="87">
        <v>1</v>
      </c>
      <c r="D155" s="87">
        <v>4</v>
      </c>
      <c r="E155" s="87">
        <v>2</v>
      </c>
      <c r="F155" s="86" t="s">
        <v>155</v>
      </c>
      <c r="G155" s="86" t="s">
        <v>350</v>
      </c>
      <c r="H155" s="86"/>
      <c r="I155" s="86"/>
      <c r="J155" s="88" t="s">
        <v>154</v>
      </c>
      <c r="K155" s="86"/>
      <c r="L155" s="88" t="s">
        <v>154</v>
      </c>
      <c r="M155" s="89" t="b">
        <v>1</v>
      </c>
      <c r="N155" s="90"/>
    </row>
  </sheetData>
  <conditionalFormatting sqref="J2:J95">
    <cfRule type="containsText" dxfId="2" priority="1" operator="containsText" text="plan"/>
    <cfRule type="containsText" dxfId="1" priority="2" operator="containsText" text="available"/>
    <cfRule type="containsText" dxfId="0" priority="3" operator="containsText" text="shortage"/>
  </conditionalFormatting>
  <dataValidations count="9">
    <dataValidation type="list" sqref="F2:F155" xr:uid="{8489EF2F-92B8-874D-8E77-6BB363E28ABF}">
      <formula1>"text,text-inline,label-data,grid-item,markdown"</formula1>
    </dataValidation>
    <dataValidation type="list" sqref="J2:J155" xr:uid="{2CFE128F-8ABB-7740-B26A-6E4008E33C0D}">
      <formula1>"none,plan,available,avai,shortage"</formula1>
    </dataValidation>
    <dataValidation type="list" sqref="L2:L155" xr:uid="{647D2A5B-A32E-7C42-9E17-EAA538336555}">
      <formula1>"none,label,data,highlight,all"</formula1>
    </dataValidation>
    <dataValidation type="whole" sqref="E2:E155" xr:uid="{B3249B1E-E90D-E24B-8CBA-25482ADA379F}">
      <formula1>1</formula1>
      <formula2>2</formula2>
    </dataValidation>
    <dataValidation type="list" sqref="M2:M155" xr:uid="{A9240732-1E5D-334F-9491-7615BC2C4B2F}">
      <formula1>"TRUE,FALSE"</formula1>
    </dataValidation>
    <dataValidation type="list" sqref="F2:F135" xr:uid="{A5071452-D7CD-3A49-B9E7-3DAB792FCE7C}">
      <formula1>"text,text-inline,label-data,grid-item"</formula1>
    </dataValidation>
    <dataValidation type="list" sqref="F2:F95" xr:uid="{776EC5F0-9F05-194E-8C7B-AA14BEFE4D32}">
      <formula1>"text,label-data"</formula1>
    </dataValidation>
    <dataValidation type="list" sqref="J2:J95" xr:uid="{86B9DE3E-884D-D046-BE60-67208EE1203D}">
      <formula1>"normal,plan,available,shortage"</formula1>
    </dataValidation>
    <dataValidation type="list" sqref="L2:L95" xr:uid="{A25771E4-C9BC-844C-AECC-AC7BBCE633DD}">
      <formula1>"none,label,data,row"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pane ySplit="1" topLeftCell="A2" activePane="bottomLeft" state="frozen"/>
      <selection pane="bottomLeft" activeCell="C31" sqref="C31:G4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150</v>
      </c>
      <c r="D2" s="7">
        <v>153</v>
      </c>
      <c r="E2" s="7">
        <v>155</v>
      </c>
      <c r="F2" s="7">
        <v>155</v>
      </c>
      <c r="G2" s="7">
        <v>155</v>
      </c>
      <c r="H2" s="7">
        <v>155</v>
      </c>
      <c r="I2" s="7">
        <v>154</v>
      </c>
      <c r="J2" s="7">
        <v>154</v>
      </c>
      <c r="K2" s="7">
        <v>154</v>
      </c>
      <c r="L2" s="7">
        <v>156</v>
      </c>
      <c r="M2" s="7">
        <v>157</v>
      </c>
      <c r="N2" s="7">
        <v>157</v>
      </c>
      <c r="O2" s="7">
        <v>157</v>
      </c>
      <c r="P2" s="7">
        <v>157</v>
      </c>
      <c r="Q2" s="7">
        <v>157</v>
      </c>
    </row>
    <row r="3" spans="1:17" x14ac:dyDescent="0.2">
      <c r="A3" s="11" t="s">
        <v>22</v>
      </c>
      <c r="B3" s="8" t="s">
        <v>17</v>
      </c>
      <c r="C3" s="7">
        <v>155</v>
      </c>
      <c r="D3" s="7">
        <v>155</v>
      </c>
      <c r="E3" s="7">
        <v>155</v>
      </c>
      <c r="F3" s="7">
        <v>155</v>
      </c>
      <c r="G3" s="7">
        <v>155</v>
      </c>
      <c r="H3" s="7">
        <v>155</v>
      </c>
      <c r="I3" s="7">
        <v>155</v>
      </c>
      <c r="J3" s="7">
        <v>155</v>
      </c>
      <c r="K3" s="7">
        <v>155</v>
      </c>
      <c r="L3" s="7">
        <v>155</v>
      </c>
      <c r="M3" s="7">
        <v>155</v>
      </c>
      <c r="N3" s="7">
        <v>155</v>
      </c>
      <c r="O3" s="7">
        <v>155</v>
      </c>
      <c r="P3" s="7">
        <v>155</v>
      </c>
      <c r="Q3" s="7">
        <v>155</v>
      </c>
    </row>
    <row r="4" spans="1:17" x14ac:dyDescent="0.2">
      <c r="A4" s="12" t="s">
        <v>22</v>
      </c>
      <c r="B4" s="9" t="s">
        <v>18</v>
      </c>
      <c r="C4" s="7">
        <v>140</v>
      </c>
      <c r="D4" s="7">
        <v>144</v>
      </c>
      <c r="E4" s="7">
        <v>140</v>
      </c>
      <c r="F4" s="7">
        <v>136</v>
      </c>
      <c r="G4" s="7">
        <v>139</v>
      </c>
      <c r="H4" s="7">
        <v>134</v>
      </c>
      <c r="I4" s="7">
        <v>132</v>
      </c>
      <c r="J4" s="7">
        <v>128</v>
      </c>
      <c r="K4" s="7">
        <v>126</v>
      </c>
      <c r="L4" s="7">
        <v>104</v>
      </c>
      <c r="M4" s="7">
        <v>104</v>
      </c>
      <c r="N4" s="7">
        <v>104</v>
      </c>
      <c r="O4" s="7">
        <v>85</v>
      </c>
      <c r="P4" s="7">
        <v>83</v>
      </c>
      <c r="Q4" s="7">
        <v>83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0.93279999999999996</v>
      </c>
      <c r="D6" s="18">
        <v>0.9425</v>
      </c>
      <c r="E6" s="18">
        <v>0.90449999999999997</v>
      </c>
      <c r="F6" s="18">
        <v>0.87570000000000003</v>
      </c>
      <c r="G6" s="18">
        <v>0.89900000000000002</v>
      </c>
      <c r="H6" s="18">
        <v>0.86519999999999997</v>
      </c>
      <c r="I6" s="18">
        <v>0.85560000000000003</v>
      </c>
      <c r="J6" s="18">
        <v>0.82809999999999995</v>
      </c>
      <c r="K6" s="18">
        <v>0.81759999999999999</v>
      </c>
      <c r="L6" s="18">
        <v>0.66910000000000003</v>
      </c>
      <c r="M6" s="18">
        <v>0.66400000000000003</v>
      </c>
      <c r="N6" s="18">
        <v>0.66500000000000004</v>
      </c>
      <c r="O6" s="18">
        <v>0.54200000000000004</v>
      </c>
      <c r="P6" s="18">
        <v>0.53100000000000003</v>
      </c>
      <c r="Q6" s="18">
        <v>0.52669999999999995</v>
      </c>
    </row>
    <row r="7" spans="1:17" x14ac:dyDescent="0.2">
      <c r="A7" s="16"/>
      <c r="B7" s="17" t="s">
        <v>24</v>
      </c>
      <c r="C7" s="19">
        <v>10</v>
      </c>
      <c r="D7" s="19">
        <v>9</v>
      </c>
      <c r="E7" s="19">
        <v>15</v>
      </c>
      <c r="F7" s="19">
        <v>19</v>
      </c>
      <c r="G7" s="19">
        <v>16</v>
      </c>
      <c r="H7" s="19">
        <v>21</v>
      </c>
      <c r="I7" s="19">
        <v>22</v>
      </c>
      <c r="J7" s="19">
        <v>26</v>
      </c>
      <c r="K7" s="19">
        <v>28</v>
      </c>
      <c r="L7" s="19">
        <v>52</v>
      </c>
      <c r="M7" s="19">
        <v>53</v>
      </c>
      <c r="N7" s="19">
        <v>53</v>
      </c>
      <c r="O7" s="19">
        <v>72</v>
      </c>
      <c r="P7" s="19">
        <v>74</v>
      </c>
      <c r="Q7" s="19">
        <v>74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117</v>
      </c>
      <c r="D9" s="7">
        <v>118</v>
      </c>
      <c r="E9" s="7">
        <v>117</v>
      </c>
      <c r="F9" s="7">
        <v>116</v>
      </c>
      <c r="G9" s="7">
        <v>116</v>
      </c>
      <c r="H9" s="7">
        <v>116</v>
      </c>
      <c r="I9" s="7">
        <v>115</v>
      </c>
      <c r="J9" s="7">
        <v>115</v>
      </c>
      <c r="K9" s="7">
        <v>115</v>
      </c>
      <c r="L9" s="7">
        <v>117</v>
      </c>
      <c r="M9" s="7">
        <v>118</v>
      </c>
      <c r="N9" s="7">
        <v>118</v>
      </c>
      <c r="O9" s="7">
        <v>118</v>
      </c>
      <c r="P9" s="7">
        <v>118</v>
      </c>
      <c r="Q9" s="7">
        <v>118</v>
      </c>
    </row>
    <row r="10" spans="1:17" x14ac:dyDescent="0.2">
      <c r="A10" s="8" t="s">
        <v>17</v>
      </c>
      <c r="B10" s="11" t="s">
        <v>19</v>
      </c>
      <c r="C10" s="7">
        <v>117</v>
      </c>
      <c r="D10" s="7">
        <v>117</v>
      </c>
      <c r="E10" s="7">
        <v>117</v>
      </c>
      <c r="F10" s="7">
        <v>117</v>
      </c>
      <c r="G10" s="7">
        <v>117</v>
      </c>
      <c r="H10" s="7">
        <v>117</v>
      </c>
      <c r="I10" s="7">
        <v>117</v>
      </c>
      <c r="J10" s="7">
        <v>117</v>
      </c>
      <c r="K10" s="7">
        <v>117</v>
      </c>
      <c r="L10" s="7">
        <v>117</v>
      </c>
      <c r="M10" s="7">
        <v>117</v>
      </c>
      <c r="N10" s="7">
        <v>117</v>
      </c>
      <c r="O10" s="7">
        <v>117</v>
      </c>
      <c r="P10" s="7">
        <v>117</v>
      </c>
      <c r="Q10" s="7">
        <v>117</v>
      </c>
    </row>
    <row r="11" spans="1:17" x14ac:dyDescent="0.2">
      <c r="A11" s="15" t="s">
        <v>18</v>
      </c>
      <c r="B11" s="12" t="s">
        <v>19</v>
      </c>
      <c r="C11" s="7">
        <v>110</v>
      </c>
      <c r="D11" s="7">
        <v>110</v>
      </c>
      <c r="E11" s="7">
        <v>106</v>
      </c>
      <c r="F11" s="7">
        <v>102</v>
      </c>
      <c r="G11" s="7">
        <v>103</v>
      </c>
      <c r="H11" s="7">
        <v>98</v>
      </c>
      <c r="I11" s="7">
        <v>98</v>
      </c>
      <c r="J11" s="7">
        <v>96</v>
      </c>
      <c r="K11" s="7">
        <v>95</v>
      </c>
      <c r="L11" s="7">
        <v>82</v>
      </c>
      <c r="M11" s="7">
        <v>82</v>
      </c>
      <c r="N11" s="7">
        <v>82</v>
      </c>
      <c r="O11" s="7">
        <v>72</v>
      </c>
      <c r="P11" s="7">
        <v>70</v>
      </c>
      <c r="Q11" s="7">
        <v>70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21</v>
      </c>
      <c r="D13" s="7">
        <v>21</v>
      </c>
      <c r="E13" s="7">
        <v>21</v>
      </c>
      <c r="F13" s="7">
        <v>21</v>
      </c>
      <c r="G13" s="7">
        <v>21</v>
      </c>
      <c r="H13" s="7">
        <v>21</v>
      </c>
      <c r="I13" s="7">
        <v>21</v>
      </c>
      <c r="J13" s="7">
        <v>21</v>
      </c>
      <c r="K13" s="7">
        <v>21</v>
      </c>
      <c r="L13" s="7">
        <v>21</v>
      </c>
      <c r="M13" s="7">
        <v>21</v>
      </c>
      <c r="N13" s="7">
        <v>21</v>
      </c>
      <c r="O13" s="7">
        <v>21</v>
      </c>
      <c r="P13" s="7">
        <v>21</v>
      </c>
      <c r="Q13" s="7">
        <v>21</v>
      </c>
    </row>
    <row r="14" spans="1:17" x14ac:dyDescent="0.2">
      <c r="A14" s="8" t="s">
        <v>17</v>
      </c>
      <c r="B14" s="11" t="s">
        <v>20</v>
      </c>
      <c r="C14" s="7">
        <v>21</v>
      </c>
      <c r="D14" s="7">
        <v>21</v>
      </c>
      <c r="E14" s="7">
        <v>21</v>
      </c>
      <c r="F14" s="7">
        <v>21</v>
      </c>
      <c r="G14" s="7">
        <v>21</v>
      </c>
      <c r="H14" s="7">
        <v>21</v>
      </c>
      <c r="I14" s="7">
        <v>21</v>
      </c>
      <c r="J14" s="7">
        <v>21</v>
      </c>
      <c r="K14" s="7">
        <v>21</v>
      </c>
      <c r="L14" s="7">
        <v>21</v>
      </c>
      <c r="M14" s="7">
        <v>21</v>
      </c>
      <c r="N14" s="7">
        <v>21</v>
      </c>
      <c r="O14" s="7">
        <v>21</v>
      </c>
      <c r="P14" s="7">
        <v>21</v>
      </c>
      <c r="Q14" s="7">
        <v>21</v>
      </c>
    </row>
    <row r="15" spans="1:17" x14ac:dyDescent="0.2">
      <c r="A15" s="15" t="s">
        <v>18</v>
      </c>
      <c r="B15" s="12" t="s">
        <v>20</v>
      </c>
      <c r="C15" s="7">
        <v>21</v>
      </c>
      <c r="D15" s="7">
        <v>21</v>
      </c>
      <c r="E15" s="7">
        <v>20</v>
      </c>
      <c r="F15" s="7">
        <v>18</v>
      </c>
      <c r="G15" s="7">
        <v>19</v>
      </c>
      <c r="H15" s="7">
        <v>18</v>
      </c>
      <c r="I15" s="7">
        <v>18</v>
      </c>
      <c r="J15" s="7">
        <v>18</v>
      </c>
      <c r="K15" s="7">
        <v>18</v>
      </c>
      <c r="L15" s="7">
        <v>11</v>
      </c>
      <c r="M15" s="7">
        <v>11</v>
      </c>
      <c r="N15" s="7">
        <v>11</v>
      </c>
      <c r="O15" s="7">
        <v>10</v>
      </c>
      <c r="P15" s="7">
        <v>10</v>
      </c>
      <c r="Q15" s="7">
        <v>10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7">
        <v>18</v>
      </c>
      <c r="H19" s="7">
        <v>18</v>
      </c>
      <c r="I19" s="7">
        <v>16</v>
      </c>
      <c r="J19" s="7">
        <v>14</v>
      </c>
      <c r="K19" s="7">
        <v>13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59" t="s">
        <v>22</v>
      </c>
      <c r="B22" s="60" t="s">
        <v>122</v>
      </c>
      <c r="C22" s="61">
        <v>11</v>
      </c>
      <c r="D22" s="61">
        <v>11</v>
      </c>
      <c r="E22" s="61">
        <v>11</v>
      </c>
      <c r="F22" s="61">
        <v>11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126.8</v>
      </c>
      <c r="D23" s="61">
        <v>132.74</v>
      </c>
      <c r="E23" s="61">
        <v>132.78</v>
      </c>
      <c r="F23" s="61">
        <v>66.14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153</v>
      </c>
      <c r="D32" s="20">
        <v>155</v>
      </c>
      <c r="E32" s="20">
        <v>154</v>
      </c>
      <c r="F32" s="20">
        <v>157</v>
      </c>
      <c r="G32" s="20">
        <v>157</v>
      </c>
      <c r="H32" s="20"/>
    </row>
    <row r="33" spans="1:8" x14ac:dyDescent="0.2">
      <c r="A33" s="11" t="s">
        <v>22</v>
      </c>
      <c r="B33" s="8" t="s">
        <v>17</v>
      </c>
      <c r="C33" s="20">
        <v>155</v>
      </c>
      <c r="D33" s="20">
        <v>155</v>
      </c>
      <c r="E33" s="20">
        <v>155</v>
      </c>
      <c r="F33" s="20">
        <v>155</v>
      </c>
      <c r="G33" s="20">
        <v>155</v>
      </c>
      <c r="H33" s="20"/>
    </row>
    <row r="34" spans="1:8" x14ac:dyDescent="0.2">
      <c r="A34" s="12" t="s">
        <v>22</v>
      </c>
      <c r="B34" s="9" t="s">
        <v>18</v>
      </c>
      <c r="C34" s="20">
        <v>141</v>
      </c>
      <c r="D34" s="20">
        <v>136</v>
      </c>
      <c r="E34" s="20">
        <v>128</v>
      </c>
      <c r="F34" s="20">
        <v>104</v>
      </c>
      <c r="G34" s="20">
        <v>84</v>
      </c>
      <c r="H34" s="20"/>
    </row>
    <row r="35" spans="1:8" x14ac:dyDescent="0.2">
      <c r="A35" s="16"/>
      <c r="B35" s="7"/>
      <c r="C35" s="24">
        <v>7.3599999999999999E-2</v>
      </c>
      <c r="D35" s="24">
        <v>0.12</v>
      </c>
      <c r="E35" s="24">
        <v>0.16619999999999999</v>
      </c>
      <c r="F35" s="24">
        <v>0.33400000000000002</v>
      </c>
      <c r="G35" s="24">
        <v>0.46679999999999999</v>
      </c>
      <c r="H35" s="7"/>
    </row>
    <row r="36" spans="1:8" x14ac:dyDescent="0.2">
      <c r="A36" s="7"/>
      <c r="B36" s="17" t="s">
        <v>23</v>
      </c>
      <c r="C36" s="18">
        <v>0.9264</v>
      </c>
      <c r="D36" s="18">
        <v>0.88</v>
      </c>
      <c r="E36" s="18">
        <v>0.83379999999999999</v>
      </c>
      <c r="F36" s="18">
        <v>0.66600000000000004</v>
      </c>
      <c r="G36" s="18">
        <v>0.53320000000000001</v>
      </c>
      <c r="H36" s="19"/>
    </row>
    <row r="37" spans="1:8" x14ac:dyDescent="0.2">
      <c r="A37" s="16"/>
      <c r="B37" s="17" t="s">
        <v>24</v>
      </c>
      <c r="C37" s="19">
        <v>11</v>
      </c>
      <c r="D37" s="19">
        <v>19</v>
      </c>
      <c r="E37" s="19">
        <v>26</v>
      </c>
      <c r="F37" s="19">
        <v>35</v>
      </c>
      <c r="G37" s="19">
        <v>73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117</v>
      </c>
      <c r="D39" s="20">
        <v>116</v>
      </c>
      <c r="E39" s="20">
        <v>115</v>
      </c>
      <c r="F39" s="20">
        <v>118</v>
      </c>
      <c r="G39" s="20">
        <v>118</v>
      </c>
      <c r="H39" s="20"/>
    </row>
    <row r="40" spans="1:8" x14ac:dyDescent="0.2">
      <c r="A40" s="8" t="s">
        <v>17</v>
      </c>
      <c r="B40" s="11" t="s">
        <v>19</v>
      </c>
      <c r="C40" s="20">
        <v>117</v>
      </c>
      <c r="D40" s="20">
        <v>117</v>
      </c>
      <c r="E40" s="20">
        <v>117</v>
      </c>
      <c r="F40" s="20">
        <v>117</v>
      </c>
      <c r="G40" s="20">
        <v>117</v>
      </c>
      <c r="H40" s="20"/>
    </row>
    <row r="41" spans="1:8" x14ac:dyDescent="0.2">
      <c r="A41" s="15" t="s">
        <v>18</v>
      </c>
      <c r="B41" s="12" t="s">
        <v>19</v>
      </c>
      <c r="C41" s="20">
        <v>109</v>
      </c>
      <c r="D41" s="20">
        <v>101</v>
      </c>
      <c r="E41" s="20">
        <v>96</v>
      </c>
      <c r="F41" s="20">
        <v>82</v>
      </c>
      <c r="G41" s="20">
        <v>71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21</v>
      </c>
      <c r="D43" s="20">
        <v>21</v>
      </c>
      <c r="E43" s="20">
        <v>21</v>
      </c>
      <c r="F43" s="20">
        <v>21</v>
      </c>
      <c r="G43" s="20">
        <v>21</v>
      </c>
      <c r="H43" s="20"/>
    </row>
    <row r="44" spans="1:8" x14ac:dyDescent="0.2">
      <c r="A44" s="8" t="s">
        <v>17</v>
      </c>
      <c r="B44" s="11" t="s">
        <v>20</v>
      </c>
      <c r="C44" s="20">
        <v>21</v>
      </c>
      <c r="D44" s="20">
        <v>21</v>
      </c>
      <c r="E44" s="20">
        <v>21</v>
      </c>
      <c r="F44" s="20">
        <v>21</v>
      </c>
      <c r="G44" s="20">
        <v>21</v>
      </c>
      <c r="H44" s="20"/>
    </row>
    <row r="45" spans="1:8" x14ac:dyDescent="0.2">
      <c r="A45" s="15" t="s">
        <v>18</v>
      </c>
      <c r="B45" s="12" t="s">
        <v>20</v>
      </c>
      <c r="C45" s="20">
        <v>21</v>
      </c>
      <c r="D45" s="20">
        <v>19</v>
      </c>
      <c r="E45" s="20">
        <v>18</v>
      </c>
      <c r="F45" s="20">
        <v>11</v>
      </c>
      <c r="G45" s="20">
        <v>10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12</v>
      </c>
      <c r="D49" s="20">
        <v>17</v>
      </c>
      <c r="E49" s="20">
        <v>14</v>
      </c>
      <c r="F49" s="20">
        <v>11</v>
      </c>
      <c r="G49" s="20">
        <v>2</v>
      </c>
      <c r="H49" s="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workbookViewId="0">
      <selection activeCell="F169" sqref="F169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APR</v>
      </c>
      <c r="C1" t="str">
        <f>IF(ALL!D1&gt;0,ALL!D1,"")</f>
        <v>MAY</v>
      </c>
      <c r="D1" t="str">
        <f>IF(ALL!E1&gt;0,ALL!E1,"")</f>
        <v>JUN</v>
      </c>
      <c r="E1" t="str">
        <f>IF(ALL!F1&gt;0,ALL!F1,"")</f>
        <v>JUL</v>
      </c>
      <c r="F1" t="str">
        <f>IF(ALL!G1&gt;0,ALL!G1,"")</f>
        <v>AUG</v>
      </c>
      <c r="G1" t="str">
        <f>IF(ALL!H1&gt;0,ALL!H1,"")</f>
        <v>SEP</v>
      </c>
      <c r="H1" t="str">
        <f>IF(ALL!I1&gt;0,ALL!I1,"")</f>
        <v>OCT</v>
      </c>
      <c r="I1" t="str">
        <f>IF(ALL!J1&gt;0,ALL!J1,"")</f>
        <v>NOV</v>
      </c>
      <c r="J1" t="str">
        <f>IF(ALL!K1&gt;0,ALL!K1,"")</f>
        <v>DEC</v>
      </c>
      <c r="K1" t="str">
        <f>IF(ALL!L1&gt;0,ALL!L1,"")</f>
        <v>JAN'27</v>
      </c>
      <c r="L1" t="str">
        <f>IF(ALL!M1&gt;0,ALL!M1,"")</f>
        <v>FEB'27</v>
      </c>
      <c r="M1" t="str">
        <f>IF(ALL!N1&gt;0,ALL!N1,"")</f>
        <v>MAR'27</v>
      </c>
      <c r="N1" t="str">
        <f>IF(ALL!O1&gt;0,ALL!O1,"")</f>
        <v>APR'27</v>
      </c>
      <c r="O1" t="str">
        <f>IF(ALL!P1&gt;0,ALL!P1,"")</f>
        <v>MAY'27</v>
      </c>
      <c r="P1" t="str">
        <f>IF(ALL!Q1&gt;0,ALL!Q1,"")</f>
        <v>JUN'27</v>
      </c>
    </row>
    <row r="2" spans="1:16" x14ac:dyDescent="0.2">
      <c r="A2" t="str">
        <f>IF(ALL!B2&gt;0,ALL!B2,"")</f>
        <v>Staff</v>
      </c>
      <c r="B2">
        <f>IF(ALL!C2&gt;0,ALL!C2,"")</f>
        <v>150</v>
      </c>
      <c r="C2">
        <f>IF(ALL!D2&gt;0,ALL!D2,"")</f>
        <v>153</v>
      </c>
      <c r="D2">
        <f>IF(ALL!E2&gt;0,ALL!E2,"")</f>
        <v>155</v>
      </c>
      <c r="E2">
        <f>IF(ALL!F2&gt;0,ALL!F2,"")</f>
        <v>155</v>
      </c>
      <c r="F2">
        <f>IF(ALL!G2&gt;0,ALL!G2,"")</f>
        <v>155</v>
      </c>
      <c r="G2">
        <f>IF(ALL!H2&gt;0,ALL!H2,"")</f>
        <v>155</v>
      </c>
      <c r="H2">
        <f>IF(ALL!I2&gt;0,ALL!I2,"")</f>
        <v>154</v>
      </c>
      <c r="I2">
        <f>IF(ALL!J2&gt;0,ALL!J2,"")</f>
        <v>154</v>
      </c>
      <c r="J2">
        <f>IF(ALL!K2&gt;0,ALL!K2,"")</f>
        <v>154</v>
      </c>
      <c r="K2">
        <f>IF(ALL!L2&gt;0,ALL!L2,"")</f>
        <v>156</v>
      </c>
      <c r="L2">
        <f>IF(ALL!M2&gt;0,ALL!M2,"")</f>
        <v>157</v>
      </c>
      <c r="M2">
        <f>IF(ALL!N2&gt;0,ALL!N2,"")</f>
        <v>157</v>
      </c>
      <c r="N2">
        <f>IF(ALL!O2&gt;0,ALL!O2,"")</f>
        <v>157</v>
      </c>
      <c r="O2">
        <f>IF(ALL!P2&gt;0,ALL!P2,"")</f>
        <v>157</v>
      </c>
      <c r="P2">
        <f>IF(ALL!Q2&gt;0,ALL!Q2,"")</f>
        <v>157</v>
      </c>
    </row>
    <row r="3" spans="1:16" x14ac:dyDescent="0.2">
      <c r="A3" t="str">
        <f>IF(ALL!B3&gt;0,ALL!B3,"")</f>
        <v>Staff AVG</v>
      </c>
      <c r="B3">
        <f>IF(ALL!C3&gt;0,ALL!C3,"")</f>
        <v>155</v>
      </c>
      <c r="C3">
        <f>IF(ALL!D3&gt;0,ALL!D3,"")</f>
        <v>155</v>
      </c>
      <c r="D3">
        <f>IF(ALL!E3&gt;0,ALL!E3,"")</f>
        <v>155</v>
      </c>
      <c r="E3">
        <f>IF(ALL!F3&gt;0,ALL!F3,"")</f>
        <v>155</v>
      </c>
      <c r="F3">
        <f>IF(ALL!G3&gt;0,ALL!G3,"")</f>
        <v>155</v>
      </c>
      <c r="G3">
        <f>IF(ALL!H3&gt;0,ALL!H3,"")</f>
        <v>155</v>
      </c>
      <c r="H3">
        <f>IF(ALL!I3&gt;0,ALL!I3,"")</f>
        <v>155</v>
      </c>
      <c r="I3">
        <f>IF(ALL!J3&gt;0,ALL!J3,"")</f>
        <v>155</v>
      </c>
      <c r="J3">
        <f>IF(ALL!K3&gt;0,ALL!K3,"")</f>
        <v>155</v>
      </c>
      <c r="K3">
        <f>IF(ALL!L3&gt;0,ALL!L3,"")</f>
        <v>155</v>
      </c>
      <c r="L3">
        <f>IF(ALL!M3&gt;0,ALL!M3,"")</f>
        <v>155</v>
      </c>
      <c r="M3">
        <f>IF(ALL!N3&gt;0,ALL!N3,"")</f>
        <v>155</v>
      </c>
      <c r="N3">
        <f>IF(ALL!O3&gt;0,ALL!O3,"")</f>
        <v>155</v>
      </c>
      <c r="O3">
        <f>IF(ALL!P3&gt;0,ALL!P3,"")</f>
        <v>155</v>
      </c>
      <c r="P3">
        <f>IF(ALL!Q3&gt;0,ALL!Q3,"")</f>
        <v>155</v>
      </c>
    </row>
    <row r="4" spans="1:16" x14ac:dyDescent="0.2">
      <c r="A4" t="str">
        <f>IF(ALL!B4&gt;0,ALL!B4,"")</f>
        <v>Plan</v>
      </c>
      <c r="B4">
        <f>IF(ALL!C4&gt;0,ALL!C4,"")</f>
        <v>140</v>
      </c>
      <c r="C4">
        <f>IF(ALL!D4&gt;0,ALL!D4,"")</f>
        <v>144</v>
      </c>
      <c r="D4">
        <f>IF(ALL!E4&gt;0,ALL!E4,"")</f>
        <v>140</v>
      </c>
      <c r="E4">
        <f>IF(ALL!F4&gt;0,ALL!F4,"")</f>
        <v>136</v>
      </c>
      <c r="F4">
        <f>IF(ALL!G4&gt;0,ALL!G4,"")</f>
        <v>139</v>
      </c>
      <c r="G4">
        <f>IF(ALL!H4&gt;0,ALL!H4,"")</f>
        <v>134</v>
      </c>
      <c r="H4">
        <f>IF(ALL!I4&gt;0,ALL!I4,"")</f>
        <v>132</v>
      </c>
      <c r="I4">
        <f>IF(ALL!J4&gt;0,ALL!J4,"")</f>
        <v>128</v>
      </c>
      <c r="J4">
        <f>IF(ALL!K4&gt;0,ALL!K4,"")</f>
        <v>126</v>
      </c>
      <c r="K4">
        <f>IF(ALL!L4&gt;0,ALL!L4,"")</f>
        <v>104</v>
      </c>
      <c r="L4">
        <f>IF(ALL!M4&gt;0,ALL!M4,"")</f>
        <v>104</v>
      </c>
      <c r="M4">
        <f>IF(ALL!N4&gt;0,ALL!N4,"")</f>
        <v>104</v>
      </c>
      <c r="N4">
        <f>IF(ALL!O4&gt;0,ALL!O4,"")</f>
        <v>85</v>
      </c>
      <c r="O4">
        <f>IF(ALL!P4&gt;0,ALL!P4,"")</f>
        <v>83</v>
      </c>
      <c r="P4">
        <f>IF(ALL!Q4&gt;0,ALL!Q4,"")</f>
        <v>83</v>
      </c>
    </row>
    <row r="5" spans="1:16" x14ac:dyDescent="0.2">
      <c r="A5" t="str">
        <f>IF(ALL!B11&gt;0,ALL!B11,"")</f>
        <v>PAYROLL</v>
      </c>
      <c r="B5">
        <f>IF(ALL!C11&gt;0,ALL!C11,"")</f>
        <v>110</v>
      </c>
      <c r="C5">
        <f>IF(ALL!D11&gt;0,ALL!D11,"")</f>
        <v>110</v>
      </c>
      <c r="D5">
        <f>IF(ALL!E11&gt;0,ALL!E11,"")</f>
        <v>106</v>
      </c>
      <c r="E5">
        <f>IF(ALL!F11&gt;0,ALL!F11,"")</f>
        <v>102</v>
      </c>
      <c r="F5">
        <f>IF(ALL!G11&gt;0,ALL!G11,"")</f>
        <v>103</v>
      </c>
      <c r="G5">
        <f>IF(ALL!H11&gt;0,ALL!H11,"")</f>
        <v>98</v>
      </c>
      <c r="H5">
        <f>IF(ALL!I11&gt;0,ALL!I11,"")</f>
        <v>98</v>
      </c>
      <c r="I5">
        <f>IF(ALL!J11&gt;0,ALL!J11,"")</f>
        <v>96</v>
      </c>
      <c r="J5">
        <f>IF(ALL!K11&gt;0,ALL!K11,"")</f>
        <v>95</v>
      </c>
      <c r="K5">
        <f>IF(ALL!L11&gt;0,ALL!L11,"")</f>
        <v>82</v>
      </c>
      <c r="L5">
        <f>IF(ALL!M11&gt;0,ALL!M11,"")</f>
        <v>82</v>
      </c>
      <c r="M5">
        <f>IF(ALL!N11&gt;0,ALL!N11,"")</f>
        <v>82</v>
      </c>
      <c r="N5">
        <f>IF(ALL!O11&gt;0,ALL!O11,"")</f>
        <v>72</v>
      </c>
      <c r="O5">
        <f>IF(ALL!P11&gt;0,ALL!P11,"")</f>
        <v>70</v>
      </c>
      <c r="P5">
        <f>IF(ALL!Q11&gt;0,ALL!Q11,"")</f>
        <v>70</v>
      </c>
    </row>
    <row r="6" spans="1:16" x14ac:dyDescent="0.2">
      <c r="A6" t="str">
        <f>IF(ALL!B15&gt;0,ALL!B15,"")</f>
        <v>CONTRACTOR</v>
      </c>
      <c r="B6">
        <f>IF(ALL!C15&gt;0,ALL!C15,"")</f>
        <v>21</v>
      </c>
      <c r="C6">
        <f>IF(ALL!D15&gt;0,ALL!D15,"")</f>
        <v>21</v>
      </c>
      <c r="D6">
        <f>IF(ALL!E15&gt;0,ALL!E15,"")</f>
        <v>20</v>
      </c>
      <c r="E6">
        <f>IF(ALL!F15&gt;0,ALL!F15,"")</f>
        <v>18</v>
      </c>
      <c r="F6">
        <f>IF(ALL!G15&gt;0,ALL!G15,"")</f>
        <v>19</v>
      </c>
      <c r="G6">
        <f>IF(ALL!H15&gt;0,ALL!H15,"")</f>
        <v>18</v>
      </c>
      <c r="H6">
        <f>IF(ALL!I15&gt;0,ALL!I15,"")</f>
        <v>18</v>
      </c>
      <c r="I6">
        <f>IF(ALL!J15&gt;0,ALL!J15,"")</f>
        <v>18</v>
      </c>
      <c r="J6">
        <f>IF(ALL!K15&gt;0,ALL!K15,"")</f>
        <v>18</v>
      </c>
      <c r="K6">
        <f>IF(ALL!L15&gt;0,ALL!L15,"")</f>
        <v>11</v>
      </c>
      <c r="L6">
        <f>IF(ALL!M15&gt;0,ALL!M15,"")</f>
        <v>11</v>
      </c>
      <c r="M6">
        <f>IF(ALL!N15&gt;0,ALL!N15,"")</f>
        <v>11</v>
      </c>
      <c r="N6">
        <f>IF(ALL!O15&gt;0,ALL!O15,"")</f>
        <v>10</v>
      </c>
      <c r="O6">
        <f>IF(ALL!P15&gt;0,ALL!P15,"")</f>
        <v>10</v>
      </c>
      <c r="P6">
        <f>IF(ALL!Q15&gt;0,ALL!Q15,"")</f>
        <v>10</v>
      </c>
    </row>
    <row r="7" spans="1:16" x14ac:dyDescent="0.2">
      <c r="A7" t="str">
        <f>IF(ALL!B19&gt;0,ALL!B19,"")</f>
        <v>OUTSOURCE</v>
      </c>
      <c r="B7">
        <f>IF(ALL!C19&gt;0,ALL!C19,"")</f>
        <v>9</v>
      </c>
      <c r="C7">
        <f>IF(ALL!D19&gt;0,ALL!D19,"")</f>
        <v>13</v>
      </c>
      <c r="D7">
        <f>IF(ALL!E19&gt;0,ALL!E19,"")</f>
        <v>15</v>
      </c>
      <c r="E7">
        <f>IF(ALL!F19&gt;0,ALL!F19,"")</f>
        <v>16</v>
      </c>
      <c r="F7">
        <f>IF(ALL!G19&gt;0,ALL!G19,"")</f>
        <v>18</v>
      </c>
      <c r="G7">
        <f>IF(ALL!H19&gt;0,ALL!H19,"")</f>
        <v>18</v>
      </c>
      <c r="H7">
        <f>IF(ALL!I19&gt;0,ALL!I19,"")</f>
        <v>16</v>
      </c>
      <c r="I7">
        <f>IF(ALL!J19&gt;0,ALL!J19,"")</f>
        <v>14</v>
      </c>
      <c r="J7">
        <f>IF(ALL!K19&gt;0,ALL!K19,"")</f>
        <v>13</v>
      </c>
      <c r="K7">
        <f>IF(ALL!L19&gt;0,ALL!L19,"")</f>
        <v>11</v>
      </c>
      <c r="L7">
        <f>IF(ALL!M19&gt;0,ALL!M19,"")</f>
        <v>11</v>
      </c>
      <c r="M7">
        <f>IF(ALL!N19&gt;0,ALL!N19,"")</f>
        <v>11</v>
      </c>
      <c r="N7">
        <f>IF(ALL!O19&gt;0,ALL!O19,"")</f>
        <v>2</v>
      </c>
      <c r="O7">
        <f>IF(ALL!P19&gt;0,ALL!P19,"")</f>
        <v>2</v>
      </c>
      <c r="P7">
        <f>IF(ALL!Q19&gt;0,ALL!Q19,"")</f>
        <v>2</v>
      </c>
    </row>
    <row r="11" spans="1:16" x14ac:dyDescent="0.2">
      <c r="B11" t="str">
        <f>IF(ALL!C1&gt;0,ALL!C1,"")</f>
        <v>APR</v>
      </c>
      <c r="C11" t="str">
        <f>IF(ALL!D1&gt;0,ALL!D1,"")</f>
        <v>MAY</v>
      </c>
      <c r="D11" t="str">
        <f>IF(ALL!E1&gt;0,ALL!E1,"")</f>
        <v>JUN</v>
      </c>
      <c r="E11" t="str">
        <f>IF(ALL!F1&gt;0,ALL!F1,"")</f>
        <v>JUL</v>
      </c>
      <c r="F11" t="str">
        <f>IF(ALL!G1&gt;0,ALL!G1,"")</f>
        <v>AUG</v>
      </c>
      <c r="G11" t="str">
        <f>IF(ALL!H1&gt;0,ALL!H1,"")</f>
        <v>SEP</v>
      </c>
      <c r="H11" t="str">
        <f>IF(ALL!I1&gt;0,ALL!I1,"")</f>
        <v>OCT</v>
      </c>
      <c r="I11" t="str">
        <f>IF(ALL!J1&gt;0,ALL!J1,"")</f>
        <v>NOV</v>
      </c>
      <c r="J11" t="str">
        <f>IF(ALL!K1&gt;0,ALL!K1,"")</f>
        <v>DEC</v>
      </c>
      <c r="K11" t="str">
        <f>IF(ALL!L1&gt;0,ALL!L1,"")</f>
        <v>JAN'27</v>
      </c>
      <c r="L11" t="str">
        <f>IF(ALL!M1&gt;0,ALL!M1,"")</f>
        <v>FEB'27</v>
      </c>
      <c r="M11" t="str">
        <f>IF(ALL!N1&gt;0,ALL!N1,"")</f>
        <v>MAR'27</v>
      </c>
      <c r="N11" t="str">
        <f>IF(ALL!O1&gt;0,ALL!O1,"")</f>
        <v>APR'27</v>
      </c>
      <c r="O11" t="str">
        <f>IF(ALL!P1&gt;0,ALL!P1,"")</f>
        <v>MAY'27</v>
      </c>
      <c r="P11" t="str">
        <f>IF(ALL!Q1&gt;0,ALL!Q1,"")</f>
        <v>JUN'27</v>
      </c>
    </row>
    <row r="12" spans="1:16" x14ac:dyDescent="0.2">
      <c r="A12" t="str">
        <f>IF(ALL!A9&gt;0,ALL!A9,"")</f>
        <v>Staff</v>
      </c>
      <c r="B12">
        <f>IF(ALL!C9&gt;0,ALL!C9,"")</f>
        <v>117</v>
      </c>
      <c r="C12">
        <f>IF(ALL!D9&gt;0,ALL!D9,"")</f>
        <v>118</v>
      </c>
      <c r="D12">
        <f>IF(ALL!E9&gt;0,ALL!E9,"")</f>
        <v>117</v>
      </c>
      <c r="E12">
        <f>IF(ALL!F9&gt;0,ALL!F9,"")</f>
        <v>116</v>
      </c>
      <c r="F12">
        <f>IF(ALL!G9&gt;0,ALL!G9,"")</f>
        <v>116</v>
      </c>
      <c r="G12">
        <f>IF(ALL!H9&gt;0,ALL!H9,"")</f>
        <v>116</v>
      </c>
      <c r="H12">
        <f>IF(ALL!I9&gt;0,ALL!I9,"")</f>
        <v>115</v>
      </c>
      <c r="I12">
        <f>IF(ALL!J9&gt;0,ALL!J9,"")</f>
        <v>115</v>
      </c>
      <c r="J12">
        <f>IF(ALL!K9&gt;0,ALL!K9,"")</f>
        <v>115</v>
      </c>
      <c r="K12">
        <f>IF(ALL!L9&gt;0,ALL!L9,"")</f>
        <v>117</v>
      </c>
      <c r="L12">
        <f>IF(ALL!M9&gt;0,ALL!M9,"")</f>
        <v>118</v>
      </c>
      <c r="M12">
        <f>IF(ALL!N9&gt;0,ALL!N9,"")</f>
        <v>118</v>
      </c>
      <c r="N12">
        <f>IF(ALL!O9&gt;0,ALL!O9,"")</f>
        <v>118</v>
      </c>
      <c r="O12">
        <f>IF(ALL!P9&gt;0,ALL!P9,"")</f>
        <v>118</v>
      </c>
      <c r="P12">
        <f>IF(ALL!Q9&gt;0,ALL!Q9,"")</f>
        <v>118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117</v>
      </c>
      <c r="F13">
        <f>IF(ALL!G10&gt;0,ALL!G10,"")</f>
        <v>117</v>
      </c>
      <c r="G13">
        <f>IF(ALL!H10&gt;0,ALL!H10,"")</f>
        <v>117</v>
      </c>
      <c r="H13">
        <f>IF(ALL!I10&gt;0,ALL!I10,"")</f>
        <v>117</v>
      </c>
      <c r="I13">
        <f>IF(ALL!J10&gt;0,ALL!J10,"")</f>
        <v>117</v>
      </c>
      <c r="J13">
        <f>IF(ALL!K10&gt;0,ALL!K10,"")</f>
        <v>117</v>
      </c>
      <c r="K13">
        <f>IF(ALL!L10&gt;0,ALL!L10,"")</f>
        <v>117</v>
      </c>
      <c r="L13">
        <f>IF(ALL!M10&gt;0,ALL!M10,"")</f>
        <v>117</v>
      </c>
      <c r="M13">
        <f>IF(ALL!N10&gt;0,ALL!N10,"")</f>
        <v>117</v>
      </c>
      <c r="N13">
        <f>IF(ALL!O10&gt;0,ALL!O10,"")</f>
        <v>117</v>
      </c>
      <c r="O13">
        <f>IF(ALL!P10&gt;0,ALL!P10,"")</f>
        <v>117</v>
      </c>
      <c r="P13">
        <f>IF(ALL!Q10&gt;0,ALL!Q10,"")</f>
        <v>117</v>
      </c>
    </row>
    <row r="14" spans="1:16" x14ac:dyDescent="0.2">
      <c r="A14" t="str">
        <f>IF(ALL!A11&gt;0,ALL!A11,"")</f>
        <v>Plan</v>
      </c>
      <c r="B14">
        <f>IF(ALL!C11&gt;0,ALL!C11,"")</f>
        <v>110</v>
      </c>
      <c r="C14">
        <f>IF(ALL!D11&gt;0,ALL!D11,"")</f>
        <v>110</v>
      </c>
      <c r="D14">
        <f>IF(ALL!E11&gt;0,ALL!E11,"")</f>
        <v>106</v>
      </c>
      <c r="E14">
        <f>IF(ALL!F11&gt;0,ALL!F11,"")</f>
        <v>102</v>
      </c>
      <c r="F14">
        <f>IF(ALL!G11&gt;0,ALL!G11,"")</f>
        <v>103</v>
      </c>
      <c r="G14">
        <f>IF(ALL!H11&gt;0,ALL!H11,"")</f>
        <v>98</v>
      </c>
      <c r="H14">
        <f>IF(ALL!I11&gt;0,ALL!I11,"")</f>
        <v>98</v>
      </c>
      <c r="I14">
        <f>IF(ALL!J11&gt;0,ALL!J11,"")</f>
        <v>96</v>
      </c>
      <c r="J14">
        <f>IF(ALL!K11&gt;0,ALL!K11,"")</f>
        <v>95</v>
      </c>
      <c r="K14">
        <f>IF(ALL!L11&gt;0,ALL!L11,"")</f>
        <v>82</v>
      </c>
      <c r="L14">
        <f>IF(ALL!M11&gt;0,ALL!M11,"")</f>
        <v>82</v>
      </c>
      <c r="M14">
        <f>IF(ALL!N11&gt;0,ALL!N11,"")</f>
        <v>82</v>
      </c>
      <c r="N14">
        <f>IF(ALL!O11&gt;0,ALL!O11,"")</f>
        <v>72</v>
      </c>
      <c r="O14">
        <f>IF(ALL!P11&gt;0,ALL!P11,"")</f>
        <v>70</v>
      </c>
      <c r="P14">
        <f>IF(ALL!Q11&gt;0,ALL!Q11,"")</f>
        <v>70</v>
      </c>
    </row>
    <row r="21" spans="1:16" x14ac:dyDescent="0.2">
      <c r="B21" t="str">
        <f>IF(ALL!C1&gt;0,ALL!C1,"")</f>
        <v>APR</v>
      </c>
      <c r="C21" t="str">
        <f>IF(ALL!D1&gt;0,ALL!D1,"")</f>
        <v>MAY</v>
      </c>
      <c r="D21" t="str">
        <f>IF(ALL!E1&gt;0,ALL!E1,"")</f>
        <v>JUN</v>
      </c>
      <c r="E21" t="str">
        <f>IF(ALL!F1&gt;0,ALL!F1,"")</f>
        <v>JUL</v>
      </c>
      <c r="F21" t="str">
        <f>IF(ALL!G1&gt;0,ALL!G1,"")</f>
        <v>AUG</v>
      </c>
      <c r="G21" t="str">
        <f>IF(ALL!H1&gt;0,ALL!H1,"")</f>
        <v>SEP</v>
      </c>
      <c r="H21" t="str">
        <f>IF(ALL!I1&gt;0,ALL!I1,"")</f>
        <v>OCT</v>
      </c>
      <c r="I21" t="str">
        <f>IF(ALL!J1&gt;0,ALL!J1,"")</f>
        <v>NOV</v>
      </c>
      <c r="J21" t="str">
        <f>IF(ALL!K1&gt;0,ALL!K1,"")</f>
        <v>DEC</v>
      </c>
      <c r="K21" t="str">
        <f>IF(ALL!L1&gt;0,ALL!L1,"")</f>
        <v>JAN'27</v>
      </c>
      <c r="L21" t="str">
        <f>IF(ALL!M1&gt;0,ALL!M1,"")</f>
        <v>FEB'27</v>
      </c>
      <c r="M21" t="str">
        <f>IF(ALL!N1&gt;0,ALL!N1,"")</f>
        <v>MAR'27</v>
      </c>
      <c r="N21" t="str">
        <f>IF(ALL!O1&gt;0,ALL!O1,"")</f>
        <v>APR'27</v>
      </c>
      <c r="O21" t="str">
        <f>IF(ALL!P1&gt;0,ALL!P1,"")</f>
        <v>MAY'27</v>
      </c>
      <c r="P21" t="str">
        <f>IF(ALL!Q1&gt;0,ALL!Q1,"")</f>
        <v>JUN'27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21</v>
      </c>
      <c r="C24">
        <f>IF(ALL!D15&gt;0,ALL!D15,"")</f>
        <v>21</v>
      </c>
      <c r="D24">
        <f>IF(ALL!E15&gt;0,ALL!E15,"")</f>
        <v>20</v>
      </c>
      <c r="E24">
        <f>IF(ALL!F15&gt;0,ALL!F15,"")</f>
        <v>18</v>
      </c>
      <c r="F24">
        <f>IF(ALL!G15&gt;0,ALL!G15,"")</f>
        <v>19</v>
      </c>
      <c r="G24">
        <f>IF(ALL!H15&gt;0,ALL!H15,"")</f>
        <v>18</v>
      </c>
      <c r="H24">
        <f>IF(ALL!I15&gt;0,ALL!I15,"")</f>
        <v>18</v>
      </c>
      <c r="I24">
        <f>IF(ALL!J15&gt;0,ALL!J15,"")</f>
        <v>18</v>
      </c>
      <c r="J24">
        <f>IF(ALL!K15&gt;0,ALL!K15,"")</f>
        <v>18</v>
      </c>
      <c r="K24">
        <f>IF(ALL!L15&gt;0,ALL!L15,"")</f>
        <v>11</v>
      </c>
      <c r="L24">
        <f>IF(ALL!M15&gt;0,ALL!M15,"")</f>
        <v>11</v>
      </c>
      <c r="M24">
        <f>IF(ALL!N15&gt;0,ALL!N15,"")</f>
        <v>11</v>
      </c>
      <c r="N24">
        <f>IF(ALL!O15&gt;0,ALL!O15,"")</f>
        <v>10</v>
      </c>
      <c r="O24">
        <f>IF(ALL!P15&gt;0,ALL!P15,"")</f>
        <v>10</v>
      </c>
      <c r="P24">
        <f>IF(ALL!Q15&gt;0,ALL!Q15,"")</f>
        <v>10</v>
      </c>
    </row>
    <row r="31" spans="1:16" x14ac:dyDescent="0.2">
      <c r="B31" t="str">
        <f>IF(ALL!C1&gt;0,ALL!C1,"")</f>
        <v>APR</v>
      </c>
      <c r="C31" t="str">
        <f>IF(ALL!D1&gt;0,ALL!D1,"")</f>
        <v>MAY</v>
      </c>
      <c r="D31" t="str">
        <f>IF(ALL!E1&gt;0,ALL!E1,"")</f>
        <v>JUN</v>
      </c>
      <c r="E31" t="str">
        <f>IF(ALL!F1&gt;0,ALL!F1,"")</f>
        <v>JUL</v>
      </c>
      <c r="F31" t="str">
        <f>IF(ALL!G1&gt;0,ALL!G1,"")</f>
        <v>AUG</v>
      </c>
      <c r="G31" t="str">
        <f>IF(ALL!H1&gt;0,ALL!H1,"")</f>
        <v>SEP</v>
      </c>
      <c r="H31" t="str">
        <f>IF(ALL!I1&gt;0,ALL!I1,"")</f>
        <v>OCT</v>
      </c>
      <c r="I31" t="str">
        <f>IF(ALL!J1&gt;0,ALL!J1,"")</f>
        <v>NOV</v>
      </c>
      <c r="J31" t="str">
        <f>IF(ALL!K1&gt;0,ALL!K1,"")</f>
        <v>DEC</v>
      </c>
      <c r="K31" t="str">
        <f>IF(ALL!L1&gt;0,ALL!L1,"")</f>
        <v>JAN'27</v>
      </c>
      <c r="L31" t="str">
        <f>IF(ALL!M1&gt;0,ALL!M1,"")</f>
        <v>FEB'27</v>
      </c>
      <c r="M31" t="str">
        <f>IF(ALL!N1&gt;0,ALL!N1,"")</f>
        <v>MAR'27</v>
      </c>
      <c r="N31" t="str">
        <f>IF(ALL!O1&gt;0,ALL!O1,"")</f>
        <v>APR'27</v>
      </c>
      <c r="O31" t="str">
        <f>IF(ALL!P1&gt;0,ALL!P1,"")</f>
        <v>MAY'27</v>
      </c>
      <c r="P31" t="str">
        <f>IF(ALL!Q1&gt;0,ALL!Q1,"")</f>
        <v>JUN'27</v>
      </c>
    </row>
    <row r="32" spans="1:16" x14ac:dyDescent="0.2">
      <c r="A32" t="str">
        <f>IF(ALL!A17&gt;0,ALL!A17,"")</f>
        <v>Staff</v>
      </c>
      <c r="B32">
        <f>IF(ALL!C17&gt;0,ALL!C17,"")</f>
        <v>12</v>
      </c>
      <c r="C32">
        <f>IF(ALL!D17&gt;0,ALL!D17,"")</f>
        <v>14</v>
      </c>
      <c r="D32">
        <f>IF(ALL!E17&gt;0,ALL!E17,"")</f>
        <v>17</v>
      </c>
      <c r="E32">
        <f>IF(ALL!F17&gt;0,ALL!F17,"")</f>
        <v>18</v>
      </c>
      <c r="F32">
        <f>IF(ALL!G17&gt;0,ALL!G17,"")</f>
        <v>18</v>
      </c>
      <c r="G32">
        <f>IF(ALL!H17&gt;0,ALL!H17,"")</f>
        <v>18</v>
      </c>
      <c r="H32">
        <f>IF(ALL!I17&gt;0,ALL!I17,"")</f>
        <v>18</v>
      </c>
      <c r="I32">
        <f>IF(ALL!J17&gt;0,ALL!J17,"")</f>
        <v>18</v>
      </c>
      <c r="J32">
        <f>IF(ALL!K17&gt;0,ALL!K17,"")</f>
        <v>18</v>
      </c>
      <c r="K32">
        <f>IF(ALL!L17&gt;0,ALL!L17,"")</f>
        <v>18</v>
      </c>
      <c r="L32">
        <f>IF(ALL!M17&gt;0,ALL!M17,"")</f>
        <v>18</v>
      </c>
      <c r="M32">
        <f>IF(ALL!N17&gt;0,ALL!N17,"")</f>
        <v>18</v>
      </c>
      <c r="N32">
        <f>IF(ALL!O17&gt;0,ALL!O17,"")</f>
        <v>18</v>
      </c>
      <c r="O32">
        <f>IF(ALL!P17&gt;0,ALL!P17,"")</f>
        <v>18</v>
      </c>
      <c r="P32">
        <f>IF(ALL!Q17&gt;0,ALL!Q17,"")</f>
        <v>18</v>
      </c>
    </row>
    <row r="33" spans="1:16" x14ac:dyDescent="0.2">
      <c r="A33" t="str">
        <f>IF(ALL!A18&gt;0,ALL!A18,"")</f>
        <v>Staff AVG</v>
      </c>
      <c r="B33">
        <f>IF(ALL!C18&gt;0,ALL!C18,"")</f>
        <v>15</v>
      </c>
      <c r="C33">
        <f>IF(ALL!D18&gt;0,ALL!D18,"")</f>
        <v>15</v>
      </c>
      <c r="D33">
        <f>IF(ALL!E18&gt;0,ALL!E18,"")</f>
        <v>15</v>
      </c>
      <c r="E33">
        <f>IF(ALL!F18&gt;0,ALL!F18,"")</f>
        <v>15</v>
      </c>
      <c r="F33">
        <f>IF(ALL!G18&gt;0,ALL!G18,"")</f>
        <v>15</v>
      </c>
      <c r="G33">
        <f>IF(ALL!H18&gt;0,ALL!H18,"")</f>
        <v>15</v>
      </c>
      <c r="H33">
        <f>IF(ALL!I18&gt;0,ALL!I18,"")</f>
        <v>15</v>
      </c>
      <c r="I33">
        <f>IF(ALL!J18&gt;0,ALL!J18,"")</f>
        <v>15</v>
      </c>
      <c r="J33">
        <f>IF(ALL!K18&gt;0,ALL!K18,"")</f>
        <v>15</v>
      </c>
      <c r="K33">
        <f>IF(ALL!L18&gt;0,ALL!L18,"")</f>
        <v>15</v>
      </c>
      <c r="L33">
        <f>IF(ALL!M18&gt;0,ALL!M18,"")</f>
        <v>15</v>
      </c>
      <c r="M33">
        <f>IF(ALL!N18&gt;0,ALL!N18,"")</f>
        <v>15</v>
      </c>
      <c r="N33">
        <f>IF(ALL!O18&gt;0,ALL!O18,"")</f>
        <v>15</v>
      </c>
      <c r="O33">
        <f>IF(ALL!P18&gt;0,ALL!P18,"")</f>
        <v>15</v>
      </c>
      <c r="P33">
        <f>IF(ALL!Q18&gt;0,ALL!Q18,"")</f>
        <v>15</v>
      </c>
    </row>
    <row r="34" spans="1:16" x14ac:dyDescent="0.2">
      <c r="A34" t="str">
        <f>IF(ALL!A19&gt;0,ALL!A19,"")</f>
        <v>Plan</v>
      </c>
      <c r="B34">
        <f>IF(ALL!C19&gt;0,ALL!C19,"")</f>
        <v>9</v>
      </c>
      <c r="C34">
        <f>IF(ALL!D19&gt;0,ALL!D19,"")</f>
        <v>13</v>
      </c>
      <c r="D34">
        <f>IF(ALL!E19&gt;0,ALL!E19,"")</f>
        <v>15</v>
      </c>
      <c r="E34">
        <f>IF(ALL!F19&gt;0,ALL!F19,"")</f>
        <v>16</v>
      </c>
      <c r="F34">
        <f>IF(ALL!G19&gt;0,ALL!G19,"")</f>
        <v>18</v>
      </c>
      <c r="G34">
        <f>IF(ALL!H19&gt;0,ALL!H19,"")</f>
        <v>18</v>
      </c>
      <c r="H34">
        <f>IF(ALL!I19&gt;0,ALL!I19,"")</f>
        <v>16</v>
      </c>
      <c r="I34">
        <f>IF(ALL!J19&gt;0,ALL!J19,"")</f>
        <v>14</v>
      </c>
      <c r="J34">
        <f>IF(ALL!K19&gt;0,ALL!K19,"")</f>
        <v>13</v>
      </c>
      <c r="K34">
        <f>IF(ALL!L19&gt;0,ALL!L19,"")</f>
        <v>11</v>
      </c>
      <c r="L34">
        <f>IF(ALL!M19&gt;0,ALL!M19,"")</f>
        <v>11</v>
      </c>
      <c r="M34">
        <f>IF(ALL!N19&gt;0,ALL!N19,"")</f>
        <v>11</v>
      </c>
      <c r="N34">
        <f>IF(ALL!O19&gt;0,ALL!O19,"")</f>
        <v>2</v>
      </c>
      <c r="O34">
        <f>IF(ALL!P19&gt;0,ALL!P19,"")</f>
        <v>2</v>
      </c>
      <c r="P34">
        <f>IF(ALL!Q19&gt;0,ALL!Q19,"")</f>
        <v>2</v>
      </c>
    </row>
    <row r="41" spans="1:16" x14ac:dyDescent="0.2">
      <c r="B41" t="str">
        <f>IF(ALL!C31&gt;0,ALL!C31,"")</f>
        <v>Q2</v>
      </c>
      <c r="C41" t="str">
        <f>IF(ALL!D31&gt;0,ALL!D31,"")</f>
        <v>Q3</v>
      </c>
      <c r="D41" t="str">
        <f>IF(ALL!E31&gt;0,ALL!E31,"")</f>
        <v>Q4</v>
      </c>
      <c r="E41" t="str">
        <f>IF(ALL!F31&gt;0,ALL!F31,"")</f>
        <v>Q1'27</v>
      </c>
      <c r="F41" t="str">
        <f>IF(ALL!G31&gt;0,ALL!G31,"")</f>
        <v>Q2'27</v>
      </c>
    </row>
    <row r="42" spans="1:16" x14ac:dyDescent="0.2">
      <c r="A42" t="str">
        <f>IF(ALL!B32&gt;0,ALL!B32,"")</f>
        <v>Staff</v>
      </c>
      <c r="B42">
        <f>IF(ALL!C32&gt;0,ALL!C32,"")</f>
        <v>153</v>
      </c>
      <c r="C42">
        <f>IF(ALL!D32&gt;0,ALL!D32,"")</f>
        <v>155</v>
      </c>
      <c r="D42">
        <f>IF(ALL!E32&gt;0,ALL!E32,"")</f>
        <v>154</v>
      </c>
      <c r="E42">
        <f>IF(ALL!F32&gt;0,ALL!F32,"")</f>
        <v>157</v>
      </c>
      <c r="F42">
        <f>IF(ALL!G32&gt;0,ALL!G32,"")</f>
        <v>157</v>
      </c>
    </row>
    <row r="43" spans="1:16" x14ac:dyDescent="0.2">
      <c r="A43" t="str">
        <f>IF(ALL!B33&gt;0,ALL!B33,"")</f>
        <v>Staff AVG</v>
      </c>
      <c r="B43">
        <f>IF(ALL!C33&gt;0,ALL!C33,"")</f>
        <v>155</v>
      </c>
      <c r="C43">
        <f>IF(ALL!D33&gt;0,ALL!D33,"")</f>
        <v>155</v>
      </c>
      <c r="D43">
        <f>IF(ALL!E33&gt;0,ALL!E33,"")</f>
        <v>155</v>
      </c>
      <c r="E43">
        <f>IF(ALL!F33&gt;0,ALL!F33,"")</f>
        <v>155</v>
      </c>
      <c r="F43">
        <f>IF(ALL!G33&gt;0,ALL!G33,"")</f>
        <v>155</v>
      </c>
    </row>
    <row r="44" spans="1:16" x14ac:dyDescent="0.2">
      <c r="A44" t="str">
        <f>IF(ALL!B34&gt;0,ALL!B34,"")</f>
        <v>Plan</v>
      </c>
      <c r="B44">
        <f>IF(ALL!C34&gt;0,ALL!C34,"")</f>
        <v>141</v>
      </c>
      <c r="C44">
        <f>IF(ALL!D34&gt;0,ALL!D34,"")</f>
        <v>136</v>
      </c>
      <c r="D44">
        <f>IF(ALL!E34&gt;0,ALL!E34,"")</f>
        <v>128</v>
      </c>
      <c r="E44">
        <f>IF(ALL!F34&gt;0,ALL!F34,"")</f>
        <v>104</v>
      </c>
      <c r="F44">
        <f>IF(ALL!G34&gt;0,ALL!G34,"")</f>
        <v>84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101</v>
      </c>
      <c r="D45">
        <f>IF(ALL!E41&gt;0,ALL!E41,"")</f>
        <v>96</v>
      </c>
      <c r="E45">
        <f>IF(ALL!F41&gt;0,ALL!F41,"")</f>
        <v>82</v>
      </c>
      <c r="F45">
        <f>IF(ALL!G41&gt;0,ALL!G41,"")</f>
        <v>71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19</v>
      </c>
      <c r="D46">
        <f>IF(ALL!E45&gt;0,ALL!E45,"")</f>
        <v>18</v>
      </c>
      <c r="E46">
        <f>IF(ALL!F45&gt;0,ALL!F45,"")</f>
        <v>11</v>
      </c>
      <c r="F46">
        <f>IF(ALL!G45&gt;0,ALL!G45,"")</f>
        <v>10</v>
      </c>
    </row>
    <row r="47" spans="1:16" x14ac:dyDescent="0.2">
      <c r="A47" t="str">
        <f>IF(ALL!B49&gt;0,ALL!B49,"")</f>
        <v>OUTSOURCE</v>
      </c>
      <c r="B47">
        <f>IF(ALL!C49&gt;0,ALL!C49,"")</f>
        <v>12</v>
      </c>
      <c r="C47">
        <f>IF(ALL!D49&gt;0,ALL!D49,"")</f>
        <v>17</v>
      </c>
      <c r="D47">
        <f>IF(ALL!E49&gt;0,ALL!E49,"")</f>
        <v>14</v>
      </c>
      <c r="E47">
        <f>IF(ALL!F49&gt;0,ALL!F49,"")</f>
        <v>11</v>
      </c>
      <c r="F47">
        <f>IF(ALL!G49&gt;0,ALL!G49,"")</f>
        <v>2</v>
      </c>
    </row>
    <row r="151" spans="1:16" x14ac:dyDescent="0.2">
      <c r="B151" t="str">
        <f>ALL!C1</f>
        <v>APR</v>
      </c>
      <c r="C151" t="str">
        <f>ALL!D1</f>
        <v>MAY</v>
      </c>
      <c r="D151" t="str">
        <f>ALL!E1</f>
        <v>JUN</v>
      </c>
      <c r="E151" t="str">
        <f>ALL!F1</f>
        <v>JUL</v>
      </c>
      <c r="F151" t="str">
        <f>ALL!G1</f>
        <v>AUG</v>
      </c>
      <c r="G151" t="str">
        <f>ALL!H1</f>
        <v>SEP</v>
      </c>
      <c r="H151" t="str">
        <f>ALL!I1</f>
        <v>OCT</v>
      </c>
      <c r="I151" t="str">
        <f>ALL!J1</f>
        <v>NOV</v>
      </c>
      <c r="J151" t="str">
        <f>ALL!K1</f>
        <v>DEC</v>
      </c>
      <c r="K151" t="str">
        <f>ALL!L1</f>
        <v>JAN'27</v>
      </c>
      <c r="L151" t="str">
        <f>ALL!M1</f>
        <v>FEB'27</v>
      </c>
      <c r="M151" t="str">
        <f>ALL!N1</f>
        <v>MAR'27</v>
      </c>
      <c r="N151" t="str">
        <f>ALL!O1</f>
        <v>APR'27</v>
      </c>
      <c r="O151" t="str">
        <f>ALL!P1</f>
        <v>MAY'27</v>
      </c>
      <c r="P151" t="str">
        <f>ALL!Q1</f>
        <v>JUN'27</v>
      </c>
    </row>
    <row r="152" spans="1:16" x14ac:dyDescent="0.2">
      <c r="A152" t="str">
        <f>ALL!B6</f>
        <v>% Plan</v>
      </c>
      <c r="B152">
        <f>ALL!C6*100</f>
        <v>93.28</v>
      </c>
      <c r="C152">
        <f>ALL!D6*100</f>
        <v>94.25</v>
      </c>
      <c r="D152">
        <f>ALL!E6*100</f>
        <v>90.45</v>
      </c>
      <c r="E152">
        <f>ALL!F6*100</f>
        <v>87.570000000000007</v>
      </c>
      <c r="F152">
        <f>ALL!G6*100</f>
        <v>89.9</v>
      </c>
      <c r="G152">
        <f>ALL!H6*100</f>
        <v>86.52</v>
      </c>
      <c r="H152">
        <f>ALL!I6*100</f>
        <v>85.56</v>
      </c>
      <c r="I152">
        <f>ALL!J6*100</f>
        <v>82.809999999999988</v>
      </c>
      <c r="J152">
        <f>ALL!K6*100</f>
        <v>81.760000000000005</v>
      </c>
      <c r="K152">
        <f>ALL!L6*100</f>
        <v>66.91</v>
      </c>
      <c r="L152">
        <f>ALL!M6*100</f>
        <v>66.400000000000006</v>
      </c>
      <c r="M152">
        <f>ALL!N6*100</f>
        <v>66.5</v>
      </c>
      <c r="N152">
        <f>ALL!O6*100</f>
        <v>54.2</v>
      </c>
      <c r="O152">
        <f>ALL!P6*100</f>
        <v>53.1</v>
      </c>
      <c r="P152">
        <f>ALL!Q6*100</f>
        <v>52.669999999999995</v>
      </c>
    </row>
    <row r="153" spans="1:16" x14ac:dyDescent="0.2">
      <c r="A153" t="str">
        <f>ALL!B7</f>
        <v>Available FTE</v>
      </c>
      <c r="B153">
        <f>ALL!C7</f>
        <v>10</v>
      </c>
      <c r="C153">
        <f>ALL!D7</f>
        <v>9</v>
      </c>
      <c r="D153">
        <f>ALL!E7</f>
        <v>15</v>
      </c>
      <c r="E153">
        <f>ALL!F7</f>
        <v>19</v>
      </c>
      <c r="F153">
        <f>ALL!G7</f>
        <v>16</v>
      </c>
      <c r="G153">
        <f>ALL!H7</f>
        <v>21</v>
      </c>
      <c r="H153">
        <f>ALL!I7</f>
        <v>22</v>
      </c>
      <c r="I153">
        <f>ALL!J7</f>
        <v>26</v>
      </c>
      <c r="J153">
        <f>ALL!K7</f>
        <v>28</v>
      </c>
      <c r="K153">
        <f>ALL!L7</f>
        <v>52</v>
      </c>
      <c r="L153">
        <f>ALL!M7</f>
        <v>53</v>
      </c>
      <c r="M153">
        <f>ALL!N7</f>
        <v>53</v>
      </c>
      <c r="N153">
        <f>ALL!O7</f>
        <v>72</v>
      </c>
      <c r="O153">
        <f>ALL!P7</f>
        <v>74</v>
      </c>
      <c r="P153">
        <f>ALL!Q7</f>
        <v>74</v>
      </c>
    </row>
    <row r="155" spans="1:16" x14ac:dyDescent="0.2">
      <c r="B155" t="str">
        <f>ALL!C31</f>
        <v>Q2</v>
      </c>
      <c r="C155" t="str">
        <f>ALL!D31</f>
        <v>Q3</v>
      </c>
      <c r="D155" t="str">
        <f>ALL!E31</f>
        <v>Q4</v>
      </c>
      <c r="E155" t="str">
        <f>ALL!F31</f>
        <v>Q1'27</v>
      </c>
      <c r="F155" t="str">
        <f>ALL!G31</f>
        <v>Q2'27</v>
      </c>
    </row>
    <row r="156" spans="1:16" x14ac:dyDescent="0.2">
      <c r="A156" t="str">
        <f>ALL!B6</f>
        <v>% Plan</v>
      </c>
      <c r="B156">
        <f>ALL!C36*100</f>
        <v>92.64</v>
      </c>
      <c r="C156">
        <f>ALL!D36*100</f>
        <v>88</v>
      </c>
      <c r="D156">
        <f>ALL!E36*100</f>
        <v>83.38</v>
      </c>
      <c r="E156">
        <f>ALL!F36*100</f>
        <v>66.600000000000009</v>
      </c>
      <c r="F156">
        <f>ALL!G36*100</f>
        <v>53.32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19</v>
      </c>
      <c r="D157">
        <f>ALL!E37</f>
        <v>26</v>
      </c>
      <c r="E157">
        <f>ALL!F37</f>
        <v>35</v>
      </c>
      <c r="F157">
        <f>ALL!G37</f>
        <v>73</v>
      </c>
    </row>
    <row r="161" spans="1:16" x14ac:dyDescent="0.2">
      <c r="B161" t="str">
        <f>ALL!C1</f>
        <v>APR</v>
      </c>
      <c r="C161" t="str">
        <f>ALL!D1</f>
        <v>MAY</v>
      </c>
      <c r="D161" t="str">
        <f>ALL!E1</f>
        <v>JUN</v>
      </c>
      <c r="E161" t="str">
        <f>ALL!F1</f>
        <v>JUL</v>
      </c>
      <c r="F161" t="str">
        <f>ALL!G1</f>
        <v>AUG</v>
      </c>
      <c r="G161" t="str">
        <f>ALL!H1</f>
        <v>SEP</v>
      </c>
      <c r="H161" t="str">
        <f>ALL!I1</f>
        <v>OCT</v>
      </c>
      <c r="I161" t="str">
        <f>ALL!J1</f>
        <v>NOV</v>
      </c>
      <c r="J161" t="str">
        <f>ALL!K1</f>
        <v>DEC</v>
      </c>
      <c r="K161" t="str">
        <f>ALL!L1</f>
        <v>JAN'27</v>
      </c>
      <c r="L161" t="str">
        <f>ALL!M1</f>
        <v>FEB'27</v>
      </c>
      <c r="M161" t="str">
        <f>ALL!N1</f>
        <v>MAR'27</v>
      </c>
      <c r="N161" t="str">
        <f>ALL!O1</f>
        <v>APR'27</v>
      </c>
      <c r="O161" t="str">
        <f>ALL!P1</f>
        <v>MAY'27</v>
      </c>
      <c r="P161" t="str">
        <f>ALL!Q1</f>
        <v>JUN'27</v>
      </c>
    </row>
    <row r="162" spans="1:16" x14ac:dyDescent="0.2">
      <c r="A162" t="str">
        <f>A2</f>
        <v>Staff</v>
      </c>
      <c r="B162">
        <f t="shared" ref="B162:P162" si="0">B2</f>
        <v>150</v>
      </c>
      <c r="C162">
        <f t="shared" si="0"/>
        <v>153</v>
      </c>
      <c r="D162">
        <f t="shared" si="0"/>
        <v>155</v>
      </c>
      <c r="E162">
        <f t="shared" si="0"/>
        <v>155</v>
      </c>
      <c r="F162">
        <f t="shared" si="0"/>
        <v>155</v>
      </c>
      <c r="G162">
        <f t="shared" si="0"/>
        <v>155</v>
      </c>
      <c r="H162">
        <f t="shared" si="0"/>
        <v>154</v>
      </c>
      <c r="I162">
        <f t="shared" si="0"/>
        <v>154</v>
      </c>
      <c r="J162">
        <f t="shared" si="0"/>
        <v>154</v>
      </c>
      <c r="K162">
        <f t="shared" si="0"/>
        <v>156</v>
      </c>
      <c r="L162">
        <f t="shared" si="0"/>
        <v>157</v>
      </c>
      <c r="M162">
        <f t="shared" si="0"/>
        <v>157</v>
      </c>
      <c r="N162">
        <f t="shared" si="0"/>
        <v>157</v>
      </c>
      <c r="O162">
        <f t="shared" si="0"/>
        <v>157</v>
      </c>
      <c r="P162">
        <f t="shared" si="0"/>
        <v>157</v>
      </c>
    </row>
    <row r="163" spans="1:16" x14ac:dyDescent="0.2">
      <c r="A163" t="str">
        <f>A4</f>
        <v>Plan</v>
      </c>
      <c r="E163">
        <f t="shared" ref="E163:P163" si="1">E4</f>
        <v>136</v>
      </c>
      <c r="F163">
        <f t="shared" si="1"/>
        <v>139</v>
      </c>
      <c r="G163">
        <f t="shared" si="1"/>
        <v>134</v>
      </c>
      <c r="H163">
        <f t="shared" si="1"/>
        <v>132</v>
      </c>
      <c r="I163">
        <f t="shared" si="1"/>
        <v>128</v>
      </c>
      <c r="J163">
        <f t="shared" si="1"/>
        <v>126</v>
      </c>
      <c r="K163">
        <f t="shared" si="1"/>
        <v>104</v>
      </c>
      <c r="L163">
        <f t="shared" si="1"/>
        <v>104</v>
      </c>
      <c r="M163">
        <f t="shared" si="1"/>
        <v>104</v>
      </c>
      <c r="N163">
        <f t="shared" si="1"/>
        <v>85</v>
      </c>
      <c r="O163">
        <f t="shared" si="1"/>
        <v>83</v>
      </c>
      <c r="P163">
        <f t="shared" si="1"/>
        <v>83</v>
      </c>
    </row>
    <row r="164" spans="1:16" x14ac:dyDescent="0.2">
      <c r="A164" t="s">
        <v>121</v>
      </c>
      <c r="B164">
        <f>SUM(ALL!C22:C23)</f>
        <v>137.80000000000001</v>
      </c>
      <c r="C164">
        <f>SUM(ALL!D22:D23)</f>
        <v>143.74</v>
      </c>
      <c r="D164">
        <f>SUM(ALL!E22:E23)</f>
        <v>143.78</v>
      </c>
      <c r="E164">
        <f>SUM(ALL!F22:F23)</f>
        <v>77.14</v>
      </c>
    </row>
    <row r="165" spans="1:16" x14ac:dyDescent="0.2">
      <c r="A165" s="73" t="s">
        <v>193</v>
      </c>
      <c r="B165" s="7">
        <v>143</v>
      </c>
      <c r="C165" s="7">
        <v>147</v>
      </c>
      <c r="D165" s="7">
        <v>144</v>
      </c>
      <c r="E165" s="7">
        <v>143</v>
      </c>
      <c r="F165" s="7">
        <v>140</v>
      </c>
      <c r="G165" s="7">
        <v>139</v>
      </c>
      <c r="H165" s="7">
        <v>132</v>
      </c>
      <c r="I165" s="7">
        <v>131</v>
      </c>
      <c r="J165" s="7">
        <v>130</v>
      </c>
      <c r="K165" s="7">
        <v>105</v>
      </c>
      <c r="L165" s="7">
        <v>104</v>
      </c>
      <c r="M165" s="7">
        <v>104</v>
      </c>
      <c r="N165" s="73"/>
      <c r="O165" s="73"/>
      <c r="P165" s="7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6F7B2-6C11-AE4B-8618-D7F66AEC2E75}">
  <sheetPr>
    <tabColor theme="4"/>
  </sheetPr>
  <dimension ref="A1:Q49"/>
  <sheetViews>
    <sheetView workbookViewId="0">
      <pane ySplit="1" topLeftCell="A26" activePane="bottomLeft" state="frozen"/>
      <selection pane="bottomLeft" activeCell="C31" sqref="C31:G4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353</v>
      </c>
      <c r="B2" s="6" t="s">
        <v>16</v>
      </c>
      <c r="C2" s="7">
        <v>111</v>
      </c>
      <c r="D2" s="7">
        <v>114</v>
      </c>
      <c r="E2" s="7">
        <v>116</v>
      </c>
      <c r="F2" s="7">
        <v>118</v>
      </c>
      <c r="G2" s="7">
        <v>118</v>
      </c>
      <c r="H2" s="7">
        <v>118</v>
      </c>
      <c r="I2" s="7">
        <v>118</v>
      </c>
      <c r="J2" s="7">
        <v>118</v>
      </c>
      <c r="K2" s="7">
        <v>118</v>
      </c>
      <c r="L2" s="7">
        <v>118</v>
      </c>
      <c r="M2" s="7">
        <v>118</v>
      </c>
      <c r="N2" s="7">
        <v>118</v>
      </c>
      <c r="O2" s="7">
        <v>118</v>
      </c>
      <c r="P2" s="7">
        <v>118</v>
      </c>
      <c r="Q2" s="7">
        <v>118</v>
      </c>
    </row>
    <row r="3" spans="1:17" x14ac:dyDescent="0.2">
      <c r="A3" s="11" t="s">
        <v>353</v>
      </c>
      <c r="B3" s="8" t="s">
        <v>17</v>
      </c>
      <c r="C3" s="7">
        <v>117</v>
      </c>
      <c r="D3" s="7">
        <v>117</v>
      </c>
      <c r="E3" s="7">
        <v>117</v>
      </c>
      <c r="F3" s="7">
        <v>117</v>
      </c>
      <c r="G3" s="7">
        <v>117</v>
      </c>
      <c r="H3" s="7">
        <v>117</v>
      </c>
      <c r="I3" s="7">
        <v>117</v>
      </c>
      <c r="J3" s="7">
        <v>117</v>
      </c>
      <c r="K3" s="7">
        <v>117</v>
      </c>
      <c r="L3" s="7">
        <v>117</v>
      </c>
      <c r="M3" s="7">
        <v>117</v>
      </c>
      <c r="N3" s="7">
        <v>117</v>
      </c>
      <c r="O3" s="7">
        <v>117</v>
      </c>
      <c r="P3" s="7">
        <v>117</v>
      </c>
      <c r="Q3" s="7">
        <v>117</v>
      </c>
    </row>
    <row r="4" spans="1:17" x14ac:dyDescent="0.2">
      <c r="A4" s="12" t="s">
        <v>353</v>
      </c>
      <c r="B4" s="9" t="s">
        <v>18</v>
      </c>
      <c r="C4" s="7">
        <v>104</v>
      </c>
      <c r="D4" s="7">
        <v>109</v>
      </c>
      <c r="E4" s="7">
        <v>106</v>
      </c>
      <c r="F4" s="7">
        <v>102</v>
      </c>
      <c r="G4" s="7">
        <v>106</v>
      </c>
      <c r="H4" s="7">
        <v>101</v>
      </c>
      <c r="I4" s="7">
        <v>99</v>
      </c>
      <c r="J4" s="7">
        <v>95</v>
      </c>
      <c r="K4" s="7">
        <v>94</v>
      </c>
      <c r="L4" s="7">
        <v>74</v>
      </c>
      <c r="M4" s="7">
        <v>73</v>
      </c>
      <c r="N4" s="7">
        <v>73</v>
      </c>
      <c r="O4" s="7">
        <v>56</v>
      </c>
      <c r="P4" s="7">
        <v>54</v>
      </c>
      <c r="Q4" s="7">
        <v>53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0.94079999999999997</v>
      </c>
      <c r="D6" s="18">
        <v>0.95879999999999999</v>
      </c>
      <c r="E6" s="18">
        <v>0.91320000000000001</v>
      </c>
      <c r="F6" s="18">
        <v>0.86439999999999995</v>
      </c>
      <c r="G6" s="18">
        <v>0.89419999999999999</v>
      </c>
      <c r="H6" s="18">
        <v>0.85740000000000005</v>
      </c>
      <c r="I6" s="18">
        <v>0.84089999999999998</v>
      </c>
      <c r="J6" s="18">
        <v>0.80530000000000002</v>
      </c>
      <c r="K6" s="18">
        <v>0.79239999999999999</v>
      </c>
      <c r="L6" s="18">
        <v>0.62319999999999998</v>
      </c>
      <c r="M6" s="18">
        <v>0.61480000000000001</v>
      </c>
      <c r="N6" s="18">
        <v>0.62260000000000004</v>
      </c>
      <c r="O6" s="18">
        <v>0.47160000000000002</v>
      </c>
      <c r="P6" s="18">
        <v>0.45810000000000001</v>
      </c>
      <c r="Q6" s="18">
        <v>0.45240000000000002</v>
      </c>
    </row>
    <row r="7" spans="1:17" x14ac:dyDescent="0.2">
      <c r="A7" s="16"/>
      <c r="B7" s="17" t="s">
        <v>24</v>
      </c>
      <c r="C7" s="19">
        <v>7</v>
      </c>
      <c r="D7" s="19">
        <v>5</v>
      </c>
      <c r="E7" s="19">
        <v>10</v>
      </c>
      <c r="F7" s="19">
        <v>16</v>
      </c>
      <c r="G7" s="19">
        <v>12</v>
      </c>
      <c r="H7" s="19">
        <v>17</v>
      </c>
      <c r="I7" s="19">
        <v>19</v>
      </c>
      <c r="J7" s="19">
        <v>23</v>
      </c>
      <c r="K7" s="19">
        <v>24</v>
      </c>
      <c r="L7" s="19">
        <v>44</v>
      </c>
      <c r="M7" s="19">
        <v>45</v>
      </c>
      <c r="N7" s="19">
        <v>45</v>
      </c>
      <c r="O7" s="19">
        <v>62</v>
      </c>
      <c r="P7" s="19">
        <v>64</v>
      </c>
      <c r="Q7" s="19">
        <v>65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80</v>
      </c>
      <c r="D9" s="7">
        <v>81</v>
      </c>
      <c r="E9" s="7">
        <v>80</v>
      </c>
      <c r="F9" s="7">
        <v>81</v>
      </c>
      <c r="G9" s="7">
        <v>81</v>
      </c>
      <c r="H9" s="7">
        <v>81</v>
      </c>
      <c r="I9" s="7">
        <v>81</v>
      </c>
      <c r="J9" s="7">
        <v>81</v>
      </c>
      <c r="K9" s="7">
        <v>81</v>
      </c>
      <c r="L9" s="7">
        <v>81</v>
      </c>
      <c r="M9" s="7">
        <v>81</v>
      </c>
      <c r="N9" s="7">
        <v>81</v>
      </c>
      <c r="O9" s="7">
        <v>81</v>
      </c>
      <c r="P9" s="7">
        <v>81</v>
      </c>
      <c r="Q9" s="7">
        <v>81</v>
      </c>
    </row>
    <row r="10" spans="1:17" x14ac:dyDescent="0.2">
      <c r="A10" s="8" t="s">
        <v>17</v>
      </c>
      <c r="B10" s="11" t="s">
        <v>19</v>
      </c>
      <c r="C10" s="7">
        <v>81</v>
      </c>
      <c r="D10" s="7">
        <v>81</v>
      </c>
      <c r="E10" s="7">
        <v>81</v>
      </c>
      <c r="F10" s="7">
        <v>81</v>
      </c>
      <c r="G10" s="7">
        <v>81</v>
      </c>
      <c r="H10" s="7">
        <v>81</v>
      </c>
      <c r="I10" s="7">
        <v>81</v>
      </c>
      <c r="J10" s="7">
        <v>81</v>
      </c>
      <c r="K10" s="7">
        <v>81</v>
      </c>
      <c r="L10" s="7">
        <v>81</v>
      </c>
      <c r="M10" s="7">
        <v>81</v>
      </c>
      <c r="N10" s="7">
        <v>81</v>
      </c>
      <c r="O10" s="7">
        <v>81</v>
      </c>
      <c r="P10" s="7">
        <v>81</v>
      </c>
      <c r="Q10" s="7">
        <v>81</v>
      </c>
    </row>
    <row r="11" spans="1:17" x14ac:dyDescent="0.2">
      <c r="A11" s="15" t="s">
        <v>18</v>
      </c>
      <c r="B11" s="12" t="s">
        <v>19</v>
      </c>
      <c r="C11" s="7">
        <v>76</v>
      </c>
      <c r="D11" s="7">
        <v>77</v>
      </c>
      <c r="E11" s="7">
        <v>74</v>
      </c>
      <c r="F11" s="7">
        <v>70</v>
      </c>
      <c r="G11" s="7">
        <v>71</v>
      </c>
      <c r="H11" s="7">
        <v>67</v>
      </c>
      <c r="I11" s="7">
        <v>67</v>
      </c>
      <c r="J11" s="7">
        <v>65</v>
      </c>
      <c r="K11" s="7">
        <v>64</v>
      </c>
      <c r="L11" s="7">
        <v>53</v>
      </c>
      <c r="M11" s="7">
        <v>52</v>
      </c>
      <c r="N11" s="7">
        <v>53</v>
      </c>
      <c r="O11" s="7">
        <v>45</v>
      </c>
      <c r="P11" s="7">
        <v>43</v>
      </c>
      <c r="Q11" s="7">
        <v>42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19</v>
      </c>
      <c r="D13" s="7">
        <v>19</v>
      </c>
      <c r="E13" s="7">
        <v>19</v>
      </c>
      <c r="F13" s="7">
        <v>19</v>
      </c>
      <c r="G13" s="7">
        <v>19</v>
      </c>
      <c r="H13" s="7">
        <v>19</v>
      </c>
      <c r="I13" s="7">
        <v>19</v>
      </c>
      <c r="J13" s="7">
        <v>19</v>
      </c>
      <c r="K13" s="7">
        <v>19</v>
      </c>
      <c r="L13" s="7">
        <v>19</v>
      </c>
      <c r="M13" s="7">
        <v>19</v>
      </c>
      <c r="N13" s="7">
        <v>19</v>
      </c>
      <c r="O13" s="7">
        <v>19</v>
      </c>
      <c r="P13" s="7">
        <v>19</v>
      </c>
      <c r="Q13" s="7">
        <v>19</v>
      </c>
    </row>
    <row r="14" spans="1:17" x14ac:dyDescent="0.2">
      <c r="A14" s="8" t="s">
        <v>17</v>
      </c>
      <c r="B14" s="11" t="s">
        <v>20</v>
      </c>
      <c r="C14" s="7">
        <v>19</v>
      </c>
      <c r="D14" s="7">
        <v>19</v>
      </c>
      <c r="E14" s="7">
        <v>19</v>
      </c>
      <c r="F14" s="7">
        <v>19</v>
      </c>
      <c r="G14" s="7">
        <v>19</v>
      </c>
      <c r="H14" s="7">
        <v>19</v>
      </c>
      <c r="I14" s="7">
        <v>19</v>
      </c>
      <c r="J14" s="7">
        <v>19</v>
      </c>
      <c r="K14" s="7">
        <v>19</v>
      </c>
      <c r="L14" s="7">
        <v>19</v>
      </c>
      <c r="M14" s="7">
        <v>19</v>
      </c>
      <c r="N14" s="7">
        <v>19</v>
      </c>
      <c r="O14" s="7">
        <v>19</v>
      </c>
      <c r="P14" s="7">
        <v>19</v>
      </c>
      <c r="Q14" s="7">
        <v>19</v>
      </c>
    </row>
    <row r="15" spans="1:17" x14ac:dyDescent="0.2">
      <c r="A15" s="15" t="s">
        <v>18</v>
      </c>
      <c r="B15" s="12" t="s">
        <v>20</v>
      </c>
      <c r="C15" s="7">
        <v>19</v>
      </c>
      <c r="D15" s="7">
        <v>19</v>
      </c>
      <c r="E15" s="7">
        <v>18</v>
      </c>
      <c r="F15" s="7">
        <v>16</v>
      </c>
      <c r="G15" s="7">
        <v>17</v>
      </c>
      <c r="H15" s="7">
        <v>16</v>
      </c>
      <c r="I15" s="7">
        <v>16</v>
      </c>
      <c r="J15" s="7">
        <v>16</v>
      </c>
      <c r="K15" s="7">
        <v>16</v>
      </c>
      <c r="L15" s="7">
        <v>9</v>
      </c>
      <c r="M15" s="7">
        <v>9</v>
      </c>
      <c r="N15" s="7">
        <v>9</v>
      </c>
      <c r="O15" s="7">
        <v>8</v>
      </c>
      <c r="P15" s="7">
        <v>8</v>
      </c>
      <c r="Q15" s="7">
        <v>8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7">
        <v>18</v>
      </c>
      <c r="H19" s="7">
        <v>18</v>
      </c>
      <c r="I19" s="7">
        <v>16</v>
      </c>
      <c r="J19" s="7">
        <v>14</v>
      </c>
      <c r="K19" s="7">
        <v>13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59" t="s">
        <v>353</v>
      </c>
      <c r="B22" s="60" t="s">
        <v>122</v>
      </c>
      <c r="C22" s="61">
        <v>6</v>
      </c>
      <c r="D22" s="61">
        <v>6</v>
      </c>
      <c r="E22" s="61">
        <v>6</v>
      </c>
      <c r="F22" s="61">
        <v>6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353</v>
      </c>
      <c r="B23" s="60" t="s">
        <v>123</v>
      </c>
      <c r="C23" s="61">
        <v>94.74</v>
      </c>
      <c r="D23" s="61">
        <v>99.94</v>
      </c>
      <c r="E23" s="61">
        <v>100.63</v>
      </c>
      <c r="F23" s="61">
        <v>50.11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353</v>
      </c>
      <c r="B32" s="6" t="s">
        <v>16</v>
      </c>
      <c r="C32" s="20">
        <v>114</v>
      </c>
      <c r="D32" s="20">
        <v>118</v>
      </c>
      <c r="E32" s="20">
        <v>118</v>
      </c>
      <c r="F32" s="20">
        <v>118</v>
      </c>
      <c r="G32" s="20">
        <v>118</v>
      </c>
      <c r="H32" s="20"/>
    </row>
    <row r="33" spans="1:8" x14ac:dyDescent="0.2">
      <c r="A33" s="11" t="s">
        <v>353</v>
      </c>
      <c r="B33" s="8" t="s">
        <v>17</v>
      </c>
      <c r="C33" s="20">
        <v>117</v>
      </c>
      <c r="D33" s="20">
        <v>117</v>
      </c>
      <c r="E33" s="20">
        <v>117</v>
      </c>
      <c r="F33" s="20">
        <v>117</v>
      </c>
      <c r="G33" s="20">
        <v>117</v>
      </c>
      <c r="H33" s="20"/>
    </row>
    <row r="34" spans="1:8" x14ac:dyDescent="0.2">
      <c r="A34" s="12" t="s">
        <v>353</v>
      </c>
      <c r="B34" s="9" t="s">
        <v>18</v>
      </c>
      <c r="C34" s="20">
        <v>107</v>
      </c>
      <c r="D34" s="20">
        <v>103</v>
      </c>
      <c r="E34" s="20">
        <v>96</v>
      </c>
      <c r="F34" s="20">
        <v>73</v>
      </c>
      <c r="G34" s="20">
        <v>54</v>
      </c>
      <c r="H34" s="20"/>
    </row>
    <row r="35" spans="1:8" x14ac:dyDescent="0.2">
      <c r="A35" s="16"/>
      <c r="B35" s="7"/>
      <c r="C35" s="24">
        <v>6.2600000000000003E-2</v>
      </c>
      <c r="D35" s="24">
        <v>0.128</v>
      </c>
      <c r="E35" s="24">
        <v>0.18709999999999999</v>
      </c>
      <c r="F35" s="24">
        <v>0.37980000000000003</v>
      </c>
      <c r="G35" s="24">
        <v>0.5393</v>
      </c>
      <c r="H35" s="7"/>
    </row>
    <row r="36" spans="1:8" x14ac:dyDescent="0.2">
      <c r="A36" s="7"/>
      <c r="B36" s="17" t="s">
        <v>23</v>
      </c>
      <c r="C36" s="18">
        <v>0.93740000000000001</v>
      </c>
      <c r="D36" s="18">
        <v>0.872</v>
      </c>
      <c r="E36" s="18">
        <v>0.81289999999999996</v>
      </c>
      <c r="F36" s="18">
        <v>0.62019999999999997</v>
      </c>
      <c r="G36" s="18">
        <v>0.4607</v>
      </c>
      <c r="H36" s="19"/>
    </row>
    <row r="37" spans="1:8" x14ac:dyDescent="0.2">
      <c r="A37" s="16"/>
      <c r="B37" s="17" t="s">
        <v>24</v>
      </c>
      <c r="C37" s="19">
        <v>7</v>
      </c>
      <c r="D37" s="19">
        <v>15</v>
      </c>
      <c r="E37" s="19">
        <v>22</v>
      </c>
      <c r="F37" s="19">
        <v>31</v>
      </c>
      <c r="G37" s="19">
        <v>64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80</v>
      </c>
      <c r="D39" s="20">
        <v>81</v>
      </c>
      <c r="E39" s="20">
        <v>81</v>
      </c>
      <c r="F39" s="20">
        <v>81</v>
      </c>
      <c r="G39" s="20">
        <v>81</v>
      </c>
      <c r="H39" s="20"/>
    </row>
    <row r="40" spans="1:8" x14ac:dyDescent="0.2">
      <c r="A40" s="8" t="s">
        <v>17</v>
      </c>
      <c r="B40" s="11" t="s">
        <v>19</v>
      </c>
      <c r="C40" s="20">
        <v>81</v>
      </c>
      <c r="D40" s="20">
        <v>81</v>
      </c>
      <c r="E40" s="20">
        <v>81</v>
      </c>
      <c r="F40" s="20">
        <v>81</v>
      </c>
      <c r="G40" s="20">
        <v>81</v>
      </c>
      <c r="H40" s="20"/>
    </row>
    <row r="41" spans="1:8" x14ac:dyDescent="0.2">
      <c r="A41" s="15" t="s">
        <v>18</v>
      </c>
      <c r="B41" s="12" t="s">
        <v>19</v>
      </c>
      <c r="C41" s="20">
        <v>76</v>
      </c>
      <c r="D41" s="20">
        <v>69</v>
      </c>
      <c r="E41" s="20">
        <v>66</v>
      </c>
      <c r="F41" s="20">
        <v>53</v>
      </c>
      <c r="G41" s="20">
        <v>43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19</v>
      </c>
      <c r="D43" s="20">
        <v>19</v>
      </c>
      <c r="E43" s="20">
        <v>19</v>
      </c>
      <c r="F43" s="20">
        <v>19</v>
      </c>
      <c r="G43" s="20">
        <v>19</v>
      </c>
      <c r="H43" s="20"/>
    </row>
    <row r="44" spans="1:8" x14ac:dyDescent="0.2">
      <c r="A44" s="8" t="s">
        <v>17</v>
      </c>
      <c r="B44" s="11" t="s">
        <v>20</v>
      </c>
      <c r="C44" s="20">
        <v>19</v>
      </c>
      <c r="D44" s="20">
        <v>19</v>
      </c>
      <c r="E44" s="20">
        <v>19</v>
      </c>
      <c r="F44" s="20">
        <v>19</v>
      </c>
      <c r="G44" s="20">
        <v>19</v>
      </c>
      <c r="H44" s="20"/>
    </row>
    <row r="45" spans="1:8" x14ac:dyDescent="0.2">
      <c r="A45" s="15" t="s">
        <v>18</v>
      </c>
      <c r="B45" s="12" t="s">
        <v>20</v>
      </c>
      <c r="C45" s="20">
        <v>19</v>
      </c>
      <c r="D45" s="20">
        <v>17</v>
      </c>
      <c r="E45" s="20">
        <v>16</v>
      </c>
      <c r="F45" s="20">
        <v>9</v>
      </c>
      <c r="G45" s="20">
        <v>8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12</v>
      </c>
      <c r="D49" s="20">
        <v>17</v>
      </c>
      <c r="E49" s="20">
        <v>14</v>
      </c>
      <c r="F49" s="20">
        <v>11</v>
      </c>
      <c r="G49" s="20">
        <v>2</v>
      </c>
      <c r="H49" s="2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B1D0-DC7F-A34E-9D59-259343E357D7}">
  <sheetPr>
    <tabColor theme="4" tint="0.79998168889431442"/>
  </sheetPr>
  <dimension ref="A1:P165"/>
  <sheetViews>
    <sheetView topLeftCell="A145" workbookViewId="0">
      <selection activeCell="V151" sqref="V1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IF(DV!C1&gt;0,DV!C1,"")</f>
        <v>APR</v>
      </c>
      <c r="C1" t="str">
        <f>IF(DV!D1&gt;0,DV!D1,"")</f>
        <v>MAY</v>
      </c>
      <c r="D1" t="str">
        <f>IF(DV!E1&gt;0,DV!E1,"")</f>
        <v>JUN</v>
      </c>
      <c r="E1" t="str">
        <f>IF(DV!F1&gt;0,DV!F1,"")</f>
        <v>JUL</v>
      </c>
      <c r="F1" t="str">
        <f>IF(DV!G1&gt;0,DV!G1,"")</f>
        <v>AUG</v>
      </c>
      <c r="G1" t="str">
        <f>IF(DV!H1&gt;0,DV!H1,"")</f>
        <v>SEP</v>
      </c>
      <c r="H1" t="str">
        <f>IF(DV!I1&gt;0,DV!I1,"")</f>
        <v>OCT</v>
      </c>
      <c r="I1" t="str">
        <f>IF(DV!J1&gt;0,DV!J1,"")</f>
        <v>NOV</v>
      </c>
      <c r="J1" t="str">
        <f>IF(DV!K1&gt;0,DV!K1,"")</f>
        <v>DEC</v>
      </c>
      <c r="K1" t="str">
        <f>IF(DV!L1&gt;0,DV!L1,"")</f>
        <v>JAN'27</v>
      </c>
      <c r="L1" t="str">
        <f>IF(DV!M1&gt;0,DV!M1,"")</f>
        <v>FEB'27</v>
      </c>
      <c r="M1" t="str">
        <f>IF(DV!N1&gt;0,DV!N1,"")</f>
        <v>MAR'27</v>
      </c>
      <c r="N1" t="str">
        <f>IF(DV!O1&gt;0,DV!O1,"")</f>
        <v>APR'27</v>
      </c>
      <c r="O1" t="str">
        <f>IF(DV!P1&gt;0,DV!P1,"")</f>
        <v>MAY'27</v>
      </c>
      <c r="P1" t="str">
        <f>IF(DV!Q1&gt;0,DV!Q1,"")</f>
        <v>JUN'27</v>
      </c>
    </row>
    <row r="2" spans="1:16" x14ac:dyDescent="0.2">
      <c r="A2" t="str">
        <f>IF(DV!B2&gt;0,DV!B2,"")</f>
        <v>Staff</v>
      </c>
      <c r="B2">
        <f>IF(DV!C2&gt;0,DV!C2,"")</f>
        <v>111</v>
      </c>
      <c r="C2">
        <f>IF(DV!D2&gt;0,DV!D2,"")</f>
        <v>114</v>
      </c>
      <c r="D2">
        <f>IF(DV!E2&gt;0,DV!E2,"")</f>
        <v>116</v>
      </c>
      <c r="E2">
        <f>IF(DV!F2&gt;0,DV!F2,"")</f>
        <v>118</v>
      </c>
      <c r="F2">
        <f>IF(DV!G2&gt;0,DV!G2,"")</f>
        <v>118</v>
      </c>
      <c r="G2">
        <f>IF(DV!H2&gt;0,DV!H2,"")</f>
        <v>118</v>
      </c>
      <c r="H2">
        <f>IF(DV!I2&gt;0,DV!I2,"")</f>
        <v>118</v>
      </c>
      <c r="I2">
        <f>IF(DV!J2&gt;0,DV!J2,"")</f>
        <v>118</v>
      </c>
      <c r="J2">
        <f>IF(DV!K2&gt;0,DV!K2,"")</f>
        <v>118</v>
      </c>
      <c r="K2">
        <f>IF(DV!L2&gt;0,DV!L2,"")</f>
        <v>118</v>
      </c>
      <c r="L2">
        <f>IF(DV!M2&gt;0,DV!M2,"")</f>
        <v>118</v>
      </c>
      <c r="M2">
        <f>IF(DV!N2&gt;0,DV!N2,"")</f>
        <v>118</v>
      </c>
      <c r="N2">
        <f>IF(DV!O2&gt;0,DV!O2,"")</f>
        <v>118</v>
      </c>
      <c r="O2">
        <f>IF(DV!P2&gt;0,DV!P2,"")</f>
        <v>118</v>
      </c>
      <c r="P2">
        <f>IF(DV!Q2&gt;0,DV!Q2,"")</f>
        <v>118</v>
      </c>
    </row>
    <row r="3" spans="1:16" x14ac:dyDescent="0.2">
      <c r="A3" t="str">
        <f>IF(DV!B3&gt;0,DV!B3,"")</f>
        <v>Staff AVG</v>
      </c>
      <c r="B3">
        <f>IF(DV!C3&gt;0,DV!C3,"")</f>
        <v>117</v>
      </c>
      <c r="C3">
        <f>IF(DV!D3&gt;0,DV!D3,"")</f>
        <v>117</v>
      </c>
      <c r="D3">
        <f>IF(DV!E3&gt;0,DV!E3,"")</f>
        <v>117</v>
      </c>
      <c r="E3">
        <f>IF(DV!F3&gt;0,DV!F3,"")</f>
        <v>117</v>
      </c>
      <c r="F3">
        <f>IF(DV!G3&gt;0,DV!G3,"")</f>
        <v>117</v>
      </c>
      <c r="G3">
        <f>IF(DV!H3&gt;0,DV!H3,"")</f>
        <v>117</v>
      </c>
      <c r="H3">
        <f>IF(DV!I3&gt;0,DV!I3,"")</f>
        <v>117</v>
      </c>
      <c r="I3">
        <f>IF(DV!J3&gt;0,DV!J3,"")</f>
        <v>117</v>
      </c>
      <c r="J3">
        <f>IF(DV!K3&gt;0,DV!K3,"")</f>
        <v>117</v>
      </c>
      <c r="K3">
        <f>IF(DV!L3&gt;0,DV!L3,"")</f>
        <v>117</v>
      </c>
      <c r="L3">
        <f>IF(DV!M3&gt;0,DV!M3,"")</f>
        <v>117</v>
      </c>
      <c r="M3">
        <f>IF(DV!N3&gt;0,DV!N3,"")</f>
        <v>117</v>
      </c>
      <c r="N3">
        <f>IF(DV!O3&gt;0,DV!O3,"")</f>
        <v>117</v>
      </c>
      <c r="O3">
        <f>IF(DV!P3&gt;0,DV!P3,"")</f>
        <v>117</v>
      </c>
      <c r="P3">
        <f>IF(DV!Q3&gt;0,DV!Q3,"")</f>
        <v>117</v>
      </c>
    </row>
    <row r="4" spans="1:16" x14ac:dyDescent="0.2">
      <c r="A4" t="str">
        <f>IF(DV!B4&gt;0,DV!B4,"")</f>
        <v>Plan</v>
      </c>
      <c r="B4">
        <f>IF(DV!C4&gt;0,DV!C4,"")</f>
        <v>104</v>
      </c>
      <c r="C4">
        <f>IF(DV!D4&gt;0,DV!D4,"")</f>
        <v>109</v>
      </c>
      <c r="D4">
        <f>IF(DV!E4&gt;0,DV!E4,"")</f>
        <v>106</v>
      </c>
      <c r="E4">
        <f>IF(DV!F4&gt;0,DV!F4,"")</f>
        <v>102</v>
      </c>
      <c r="F4">
        <f>IF(DV!G4&gt;0,DV!G4,"")</f>
        <v>106</v>
      </c>
      <c r="G4">
        <f>IF(DV!H4&gt;0,DV!H4,"")</f>
        <v>101</v>
      </c>
      <c r="H4">
        <f>IF(DV!I4&gt;0,DV!I4,"")</f>
        <v>99</v>
      </c>
      <c r="I4">
        <f>IF(DV!J4&gt;0,DV!J4,"")</f>
        <v>95</v>
      </c>
      <c r="J4">
        <f>IF(DV!K4&gt;0,DV!K4,"")</f>
        <v>94</v>
      </c>
      <c r="K4">
        <f>IF(DV!L4&gt;0,DV!L4,"")</f>
        <v>74</v>
      </c>
      <c r="L4">
        <f>IF(DV!M4&gt;0,DV!M4,"")</f>
        <v>73</v>
      </c>
      <c r="M4">
        <f>IF(DV!N4&gt;0,DV!N4,"")</f>
        <v>73</v>
      </c>
      <c r="N4">
        <f>IF(DV!O4&gt;0,DV!O4,"")</f>
        <v>56</v>
      </c>
      <c r="O4">
        <f>IF(DV!P4&gt;0,DV!P4,"")</f>
        <v>54</v>
      </c>
      <c r="P4">
        <f>IF(DV!Q4&gt;0,DV!Q4,"")</f>
        <v>53</v>
      </c>
    </row>
    <row r="5" spans="1:16" x14ac:dyDescent="0.2">
      <c r="A5" t="str">
        <f>IF(DV!B11&gt;0,DV!B11,"")</f>
        <v>PAYROLL</v>
      </c>
      <c r="B5">
        <f>IF(DV!C11&gt;0,DV!C11,"")</f>
        <v>76</v>
      </c>
      <c r="C5">
        <f>IF(DV!D11&gt;0,DV!D11,"")</f>
        <v>77</v>
      </c>
      <c r="D5">
        <f>IF(DV!E11&gt;0,DV!E11,"")</f>
        <v>74</v>
      </c>
      <c r="E5">
        <f>IF(DV!F11&gt;0,DV!F11,"")</f>
        <v>70</v>
      </c>
      <c r="F5">
        <f>IF(DV!G11&gt;0,DV!G11,"")</f>
        <v>71</v>
      </c>
      <c r="G5">
        <f>IF(DV!H11&gt;0,DV!H11,"")</f>
        <v>67</v>
      </c>
      <c r="H5">
        <f>IF(DV!I11&gt;0,DV!I11,"")</f>
        <v>67</v>
      </c>
      <c r="I5">
        <f>IF(DV!J11&gt;0,DV!J11,"")</f>
        <v>65</v>
      </c>
      <c r="J5">
        <f>IF(DV!K11&gt;0,DV!K11,"")</f>
        <v>64</v>
      </c>
      <c r="K5">
        <f>IF(DV!L11&gt;0,DV!L11,"")</f>
        <v>53</v>
      </c>
      <c r="L5">
        <f>IF(DV!M11&gt;0,DV!M11,"")</f>
        <v>52</v>
      </c>
      <c r="M5">
        <f>IF(DV!N11&gt;0,DV!N11,"")</f>
        <v>53</v>
      </c>
      <c r="N5">
        <f>IF(DV!O11&gt;0,DV!O11,"")</f>
        <v>45</v>
      </c>
      <c r="O5">
        <f>IF(DV!P11&gt;0,DV!P11,"")</f>
        <v>43</v>
      </c>
      <c r="P5">
        <f>IF(DV!Q11&gt;0,DV!Q11,"")</f>
        <v>42</v>
      </c>
    </row>
    <row r="6" spans="1:16" x14ac:dyDescent="0.2">
      <c r="A6" t="str">
        <f>IF(DV!B15&gt;0,DV!B15,"")</f>
        <v>CONTRACTOR</v>
      </c>
      <c r="B6">
        <f>IF(DV!C15&gt;0,DV!C15,"")</f>
        <v>19</v>
      </c>
      <c r="C6">
        <f>IF(DV!D15&gt;0,DV!D15,"")</f>
        <v>19</v>
      </c>
      <c r="D6">
        <f>IF(DV!E15&gt;0,DV!E15,"")</f>
        <v>18</v>
      </c>
      <c r="E6">
        <f>IF(DV!F15&gt;0,DV!F15,"")</f>
        <v>16</v>
      </c>
      <c r="F6">
        <f>IF(DV!G15&gt;0,DV!G15,"")</f>
        <v>17</v>
      </c>
      <c r="G6">
        <f>IF(DV!H15&gt;0,DV!H15,"")</f>
        <v>16</v>
      </c>
      <c r="H6">
        <f>IF(DV!I15&gt;0,DV!I15,"")</f>
        <v>16</v>
      </c>
      <c r="I6">
        <f>IF(DV!J15&gt;0,DV!J15,"")</f>
        <v>16</v>
      </c>
      <c r="J6">
        <f>IF(DV!K15&gt;0,DV!K15,"")</f>
        <v>16</v>
      </c>
      <c r="K6">
        <f>IF(DV!L15&gt;0,DV!L15,"")</f>
        <v>9</v>
      </c>
      <c r="L6">
        <f>IF(DV!M15&gt;0,DV!M15,"")</f>
        <v>9</v>
      </c>
      <c r="M6">
        <f>IF(DV!N15&gt;0,DV!N15,"")</f>
        <v>9</v>
      </c>
      <c r="N6">
        <f>IF(DV!O15&gt;0,DV!O15,"")</f>
        <v>8</v>
      </c>
      <c r="O6">
        <f>IF(DV!P15&gt;0,DV!P15,"")</f>
        <v>8</v>
      </c>
      <c r="P6">
        <f>IF(DV!Q15&gt;0,DV!Q15,"")</f>
        <v>8</v>
      </c>
    </row>
    <row r="7" spans="1:16" x14ac:dyDescent="0.2">
      <c r="A7" t="str">
        <f>IF(DV!B19&gt;0,DV!B19,"")</f>
        <v>OUTSOURCE</v>
      </c>
      <c r="B7">
        <f>IF(DV!C19&gt;0,DV!C19,"")</f>
        <v>9</v>
      </c>
      <c r="C7">
        <f>IF(DV!D19&gt;0,DV!D19,"")</f>
        <v>13</v>
      </c>
      <c r="D7">
        <f>IF(DV!E19&gt;0,DV!E19,"")</f>
        <v>15</v>
      </c>
      <c r="E7">
        <f>IF(DV!F19&gt;0,DV!F19,"")</f>
        <v>16</v>
      </c>
      <c r="F7">
        <f>IF(DV!G19&gt;0,DV!G19,"")</f>
        <v>18</v>
      </c>
      <c r="G7">
        <f>IF(DV!H19&gt;0,DV!H19,"")</f>
        <v>18</v>
      </c>
      <c r="H7">
        <f>IF(DV!I19&gt;0,DV!I19,"")</f>
        <v>16</v>
      </c>
      <c r="I7">
        <f>IF(DV!J19&gt;0,DV!J19,"")</f>
        <v>14</v>
      </c>
      <c r="J7">
        <f>IF(DV!K19&gt;0,DV!K19,"")</f>
        <v>13</v>
      </c>
      <c r="K7">
        <f>IF(DV!L19&gt;0,DV!L19,"")</f>
        <v>11</v>
      </c>
      <c r="L7">
        <f>IF(DV!M19&gt;0,DV!M19,"")</f>
        <v>11</v>
      </c>
      <c r="M7">
        <f>IF(DV!N19&gt;0,DV!N19,"")</f>
        <v>11</v>
      </c>
      <c r="N7">
        <f>IF(DV!O19&gt;0,DV!O19,"")</f>
        <v>2</v>
      </c>
      <c r="O7">
        <f>IF(DV!P19&gt;0,DV!P19,"")</f>
        <v>2</v>
      </c>
      <c r="P7">
        <f>IF(DV!Q19&gt;0,DV!Q19,"")</f>
        <v>2</v>
      </c>
    </row>
    <row r="11" spans="1:16" x14ac:dyDescent="0.2">
      <c r="B11" t="str">
        <f>IF(DV!C1&gt;0,DV!C1,"")</f>
        <v>APR</v>
      </c>
      <c r="C11" t="str">
        <f>IF(DV!D1&gt;0,DV!D1,"")</f>
        <v>MAY</v>
      </c>
      <c r="D11" t="str">
        <f>IF(DV!E1&gt;0,DV!E1,"")</f>
        <v>JUN</v>
      </c>
      <c r="E11" t="str">
        <f>IF(DV!F1&gt;0,DV!F1,"")</f>
        <v>JUL</v>
      </c>
      <c r="F11" t="str">
        <f>IF(DV!G1&gt;0,DV!G1,"")</f>
        <v>AUG</v>
      </c>
      <c r="G11" t="str">
        <f>IF(DV!H1&gt;0,DV!H1,"")</f>
        <v>SEP</v>
      </c>
      <c r="H11" t="str">
        <f>IF(DV!I1&gt;0,DV!I1,"")</f>
        <v>OCT</v>
      </c>
      <c r="I11" t="str">
        <f>IF(DV!J1&gt;0,DV!J1,"")</f>
        <v>NOV</v>
      </c>
      <c r="J11" t="str">
        <f>IF(DV!K1&gt;0,DV!K1,"")</f>
        <v>DEC</v>
      </c>
      <c r="K11" t="str">
        <f>IF(DV!L1&gt;0,DV!L1,"")</f>
        <v>JAN'27</v>
      </c>
      <c r="L11" t="str">
        <f>IF(DV!M1&gt;0,DV!M1,"")</f>
        <v>FEB'27</v>
      </c>
      <c r="M11" t="str">
        <f>IF(DV!N1&gt;0,DV!N1,"")</f>
        <v>MAR'27</v>
      </c>
      <c r="N11" t="str">
        <f>IF(DV!O1&gt;0,DV!O1,"")</f>
        <v>APR'27</v>
      </c>
      <c r="O11" t="str">
        <f>IF(DV!P1&gt;0,DV!P1,"")</f>
        <v>MAY'27</v>
      </c>
      <c r="P11" t="str">
        <f>IF(DV!Q1&gt;0,DV!Q1,"")</f>
        <v>JUN'27</v>
      </c>
    </row>
    <row r="12" spans="1:16" x14ac:dyDescent="0.2">
      <c r="A12" t="str">
        <f>IF(DV!A9&gt;0,DV!A9,"")</f>
        <v>Staff</v>
      </c>
      <c r="B12">
        <f>IF(DV!C9&gt;0,DV!C9,"")</f>
        <v>80</v>
      </c>
      <c r="C12">
        <f>IF(DV!D9&gt;0,DV!D9,"")</f>
        <v>81</v>
      </c>
      <c r="D12">
        <f>IF(DV!E9&gt;0,DV!E9,"")</f>
        <v>80</v>
      </c>
      <c r="E12">
        <f>IF(DV!F9&gt;0,DV!F9,"")</f>
        <v>81</v>
      </c>
      <c r="F12">
        <f>IF(DV!G9&gt;0,DV!G9,"")</f>
        <v>81</v>
      </c>
      <c r="G12">
        <f>IF(DV!H9&gt;0,DV!H9,"")</f>
        <v>81</v>
      </c>
      <c r="H12">
        <f>IF(DV!I9&gt;0,DV!I9,"")</f>
        <v>81</v>
      </c>
      <c r="I12">
        <f>IF(DV!J9&gt;0,DV!J9,"")</f>
        <v>81</v>
      </c>
      <c r="J12">
        <f>IF(DV!K9&gt;0,DV!K9,"")</f>
        <v>81</v>
      </c>
      <c r="K12">
        <f>IF(DV!L9&gt;0,DV!L9,"")</f>
        <v>81</v>
      </c>
      <c r="L12">
        <f>IF(DV!M9&gt;0,DV!M9,"")</f>
        <v>81</v>
      </c>
      <c r="M12">
        <f>IF(DV!N9&gt;0,DV!N9,"")</f>
        <v>81</v>
      </c>
      <c r="N12">
        <f>IF(DV!O9&gt;0,DV!O9,"")</f>
        <v>81</v>
      </c>
      <c r="O12">
        <f>IF(DV!P9&gt;0,DV!P9,"")</f>
        <v>81</v>
      </c>
      <c r="P12">
        <f>IF(DV!Q9&gt;0,DV!Q9,"")</f>
        <v>81</v>
      </c>
    </row>
    <row r="13" spans="1:16" x14ac:dyDescent="0.2">
      <c r="A13" t="str">
        <f>IF(DV!A10&gt;0,DV!A10,"")</f>
        <v>Staff AVG</v>
      </c>
      <c r="B13">
        <f>IF(DV!C10&gt;0,DV!C10,"")</f>
        <v>81</v>
      </c>
      <c r="C13">
        <f>IF(DV!D10&gt;0,DV!D10,"")</f>
        <v>81</v>
      </c>
      <c r="D13">
        <f>IF(DV!E10&gt;0,DV!E10,"")</f>
        <v>81</v>
      </c>
      <c r="E13">
        <f>IF(DV!F10&gt;0,DV!F10,"")</f>
        <v>81</v>
      </c>
      <c r="F13">
        <f>IF(DV!G10&gt;0,DV!G10,"")</f>
        <v>81</v>
      </c>
      <c r="G13">
        <f>IF(DV!H10&gt;0,DV!H10,"")</f>
        <v>81</v>
      </c>
      <c r="H13">
        <f>IF(DV!I10&gt;0,DV!I10,"")</f>
        <v>81</v>
      </c>
      <c r="I13">
        <f>IF(DV!J10&gt;0,DV!J10,"")</f>
        <v>81</v>
      </c>
      <c r="J13">
        <f>IF(DV!K10&gt;0,DV!K10,"")</f>
        <v>81</v>
      </c>
      <c r="K13">
        <f>IF(DV!L10&gt;0,DV!L10,"")</f>
        <v>81</v>
      </c>
      <c r="L13">
        <f>IF(DV!M10&gt;0,DV!M10,"")</f>
        <v>81</v>
      </c>
      <c r="M13">
        <f>IF(DV!N10&gt;0,DV!N10,"")</f>
        <v>81</v>
      </c>
      <c r="N13">
        <f>IF(DV!O10&gt;0,DV!O10,"")</f>
        <v>81</v>
      </c>
      <c r="O13">
        <f>IF(DV!P10&gt;0,DV!P10,"")</f>
        <v>81</v>
      </c>
      <c r="P13">
        <f>IF(DV!Q10&gt;0,DV!Q10,"")</f>
        <v>81</v>
      </c>
    </row>
    <row r="14" spans="1:16" x14ac:dyDescent="0.2">
      <c r="A14" t="str">
        <f>IF(DV!A11&gt;0,DV!A11,"")</f>
        <v>Plan</v>
      </c>
      <c r="B14">
        <f>IF(DV!C11&gt;0,DV!C11,"")</f>
        <v>76</v>
      </c>
      <c r="C14">
        <f>IF(DV!D11&gt;0,DV!D11,"")</f>
        <v>77</v>
      </c>
      <c r="D14">
        <f>IF(DV!E11&gt;0,DV!E11,"")</f>
        <v>74</v>
      </c>
      <c r="E14">
        <f>IF(DV!F11&gt;0,DV!F11,"")</f>
        <v>70</v>
      </c>
      <c r="F14">
        <f>IF(DV!G11&gt;0,DV!G11,"")</f>
        <v>71</v>
      </c>
      <c r="G14">
        <f>IF(DV!H11&gt;0,DV!H11,"")</f>
        <v>67</v>
      </c>
      <c r="H14">
        <f>IF(DV!I11&gt;0,DV!I11,"")</f>
        <v>67</v>
      </c>
      <c r="I14">
        <f>IF(DV!J11&gt;0,DV!J11,"")</f>
        <v>65</v>
      </c>
      <c r="J14">
        <f>IF(DV!K11&gt;0,DV!K11,"")</f>
        <v>64</v>
      </c>
      <c r="K14">
        <f>IF(DV!L11&gt;0,DV!L11,"")</f>
        <v>53</v>
      </c>
      <c r="L14">
        <f>IF(DV!M11&gt;0,DV!M11,"")</f>
        <v>52</v>
      </c>
      <c r="M14">
        <f>IF(DV!N11&gt;0,DV!N11,"")</f>
        <v>53</v>
      </c>
      <c r="N14">
        <f>IF(DV!O11&gt;0,DV!O11,"")</f>
        <v>45</v>
      </c>
      <c r="O14">
        <f>IF(DV!P11&gt;0,DV!P11,"")</f>
        <v>43</v>
      </c>
      <c r="P14">
        <f>IF(DV!Q11&gt;0,DV!Q11,"")</f>
        <v>42</v>
      </c>
    </row>
    <row r="21" spans="1:16" x14ac:dyDescent="0.2">
      <c r="B21" t="str">
        <f>IF(DV!C1&gt;0,DV!C1,"")</f>
        <v>APR</v>
      </c>
      <c r="C21" t="str">
        <f>IF(DV!D1&gt;0,DV!D1,"")</f>
        <v>MAY</v>
      </c>
      <c r="D21" t="str">
        <f>IF(DV!E1&gt;0,DV!E1,"")</f>
        <v>JUN</v>
      </c>
      <c r="E21" t="str">
        <f>IF(DV!F1&gt;0,DV!F1,"")</f>
        <v>JUL</v>
      </c>
      <c r="F21" t="str">
        <f>IF(DV!G1&gt;0,DV!G1,"")</f>
        <v>AUG</v>
      </c>
      <c r="G21" t="str">
        <f>IF(DV!H1&gt;0,DV!H1,"")</f>
        <v>SEP</v>
      </c>
      <c r="H21" t="str">
        <f>IF(DV!I1&gt;0,DV!I1,"")</f>
        <v>OCT</v>
      </c>
      <c r="I21" t="str">
        <f>IF(DV!J1&gt;0,DV!J1,"")</f>
        <v>NOV</v>
      </c>
      <c r="J21" t="str">
        <f>IF(DV!K1&gt;0,DV!K1,"")</f>
        <v>DEC</v>
      </c>
      <c r="K21" t="str">
        <f>IF(DV!L1&gt;0,DV!L1,"")</f>
        <v>JAN'27</v>
      </c>
      <c r="L21" t="str">
        <f>IF(DV!M1&gt;0,DV!M1,"")</f>
        <v>FEB'27</v>
      </c>
      <c r="M21" t="str">
        <f>IF(DV!N1&gt;0,DV!N1,"")</f>
        <v>MAR'27</v>
      </c>
      <c r="N21" t="str">
        <f>IF(DV!O1&gt;0,DV!O1,"")</f>
        <v>APR'27</v>
      </c>
      <c r="O21" t="str">
        <f>IF(DV!P1&gt;0,DV!P1,"")</f>
        <v>MAY'27</v>
      </c>
      <c r="P21" t="str">
        <f>IF(DV!Q1&gt;0,DV!Q1,"")</f>
        <v>JUN'27</v>
      </c>
    </row>
    <row r="22" spans="1:16" x14ac:dyDescent="0.2">
      <c r="A22" t="str">
        <f>IF(DV!A13&gt;0,DV!A13,"")</f>
        <v>Staff</v>
      </c>
      <c r="B22">
        <f>IF(DV!C13&gt;0,DV!C13,"")</f>
        <v>19</v>
      </c>
      <c r="C22">
        <f>IF(DV!D13&gt;0,DV!D13,"")</f>
        <v>19</v>
      </c>
      <c r="D22">
        <f>IF(DV!E13&gt;0,DV!E13,"")</f>
        <v>19</v>
      </c>
      <c r="E22">
        <f>IF(DV!F13&gt;0,DV!F13,"")</f>
        <v>19</v>
      </c>
      <c r="F22">
        <f>IF(DV!G13&gt;0,DV!G13,"")</f>
        <v>19</v>
      </c>
      <c r="G22">
        <f>IF(DV!H13&gt;0,DV!H13,"")</f>
        <v>19</v>
      </c>
      <c r="H22">
        <f>IF(DV!I13&gt;0,DV!I13,"")</f>
        <v>19</v>
      </c>
      <c r="I22">
        <f>IF(DV!J13&gt;0,DV!J13,"")</f>
        <v>19</v>
      </c>
      <c r="J22">
        <f>IF(DV!K13&gt;0,DV!K13,"")</f>
        <v>19</v>
      </c>
      <c r="K22">
        <f>IF(DV!L13&gt;0,DV!L13,"")</f>
        <v>19</v>
      </c>
      <c r="L22">
        <f>IF(DV!M13&gt;0,DV!M13,"")</f>
        <v>19</v>
      </c>
      <c r="M22">
        <f>IF(DV!N13&gt;0,DV!N13,"")</f>
        <v>19</v>
      </c>
      <c r="N22">
        <f>IF(DV!O13&gt;0,DV!O13,"")</f>
        <v>19</v>
      </c>
      <c r="O22">
        <f>IF(DV!P13&gt;0,DV!P13,"")</f>
        <v>19</v>
      </c>
      <c r="P22">
        <f>IF(DV!Q13&gt;0,DV!Q13,"")</f>
        <v>19</v>
      </c>
    </row>
    <row r="23" spans="1:16" x14ac:dyDescent="0.2">
      <c r="A23" t="str">
        <f>IF(DV!A14&gt;0,DV!A14,"")</f>
        <v>Staff AVG</v>
      </c>
      <c r="B23">
        <f>IF(DV!C14&gt;0,DV!C14,"")</f>
        <v>19</v>
      </c>
      <c r="C23">
        <f>IF(DV!D14&gt;0,DV!D14,"")</f>
        <v>19</v>
      </c>
      <c r="D23">
        <f>IF(DV!E14&gt;0,DV!E14,"")</f>
        <v>19</v>
      </c>
      <c r="E23">
        <f>IF(DV!F14&gt;0,DV!F14,"")</f>
        <v>19</v>
      </c>
      <c r="F23">
        <f>IF(DV!G14&gt;0,DV!G14,"")</f>
        <v>19</v>
      </c>
      <c r="G23">
        <f>IF(DV!H14&gt;0,DV!H14,"")</f>
        <v>19</v>
      </c>
      <c r="H23">
        <f>IF(DV!I14&gt;0,DV!I14,"")</f>
        <v>19</v>
      </c>
      <c r="I23">
        <f>IF(DV!J14&gt;0,DV!J14,"")</f>
        <v>19</v>
      </c>
      <c r="J23">
        <f>IF(DV!K14&gt;0,DV!K14,"")</f>
        <v>19</v>
      </c>
      <c r="K23">
        <f>IF(DV!L14&gt;0,DV!L14,"")</f>
        <v>19</v>
      </c>
      <c r="L23">
        <f>IF(DV!M14&gt;0,DV!M14,"")</f>
        <v>19</v>
      </c>
      <c r="M23">
        <f>IF(DV!N14&gt;0,DV!N14,"")</f>
        <v>19</v>
      </c>
      <c r="N23">
        <f>IF(DV!O14&gt;0,DV!O14,"")</f>
        <v>19</v>
      </c>
      <c r="O23">
        <f>IF(DV!P14&gt;0,DV!P14,"")</f>
        <v>19</v>
      </c>
      <c r="P23">
        <f>IF(DV!Q14&gt;0,DV!Q14,"")</f>
        <v>19</v>
      </c>
    </row>
    <row r="24" spans="1:16" x14ac:dyDescent="0.2">
      <c r="A24" t="str">
        <f>IF(DV!A15&gt;0,DV!A15,"")</f>
        <v>Plan</v>
      </c>
      <c r="B24">
        <f>IF(DV!C15&gt;0,DV!C15,"")</f>
        <v>19</v>
      </c>
      <c r="C24">
        <f>IF(DV!D15&gt;0,DV!D15,"")</f>
        <v>19</v>
      </c>
      <c r="D24">
        <f>IF(DV!E15&gt;0,DV!E15,"")</f>
        <v>18</v>
      </c>
      <c r="E24">
        <f>IF(DV!F15&gt;0,DV!F15,"")</f>
        <v>16</v>
      </c>
      <c r="F24">
        <f>IF(DV!G15&gt;0,DV!G15,"")</f>
        <v>17</v>
      </c>
      <c r="G24">
        <f>IF(DV!H15&gt;0,DV!H15,"")</f>
        <v>16</v>
      </c>
      <c r="H24">
        <f>IF(DV!I15&gt;0,DV!I15,"")</f>
        <v>16</v>
      </c>
      <c r="I24">
        <f>IF(DV!J15&gt;0,DV!J15,"")</f>
        <v>16</v>
      </c>
      <c r="J24">
        <f>IF(DV!K15&gt;0,DV!K15,"")</f>
        <v>16</v>
      </c>
      <c r="K24">
        <f>IF(DV!L15&gt;0,DV!L15,"")</f>
        <v>9</v>
      </c>
      <c r="L24">
        <f>IF(DV!M15&gt;0,DV!M15,"")</f>
        <v>9</v>
      </c>
      <c r="M24">
        <f>IF(DV!N15&gt;0,DV!N15,"")</f>
        <v>9</v>
      </c>
      <c r="N24">
        <f>IF(DV!O15&gt;0,DV!O15,"")</f>
        <v>8</v>
      </c>
      <c r="O24">
        <f>IF(DV!P15&gt;0,DV!P15,"")</f>
        <v>8</v>
      </c>
      <c r="P24">
        <f>IF(DV!Q15&gt;0,DV!Q15,"")</f>
        <v>8</v>
      </c>
    </row>
    <row r="31" spans="1:16" x14ac:dyDescent="0.2">
      <c r="B31" t="str">
        <f>IF(DV!C1&gt;0,DV!C1,"")</f>
        <v>APR</v>
      </c>
      <c r="C31" t="str">
        <f>IF(DV!D1&gt;0,DV!D1,"")</f>
        <v>MAY</v>
      </c>
      <c r="D31" t="str">
        <f>IF(DV!E1&gt;0,DV!E1,"")</f>
        <v>JUN</v>
      </c>
      <c r="E31" t="str">
        <f>IF(DV!F1&gt;0,DV!F1,"")</f>
        <v>JUL</v>
      </c>
      <c r="F31" t="str">
        <f>IF(DV!G1&gt;0,DV!G1,"")</f>
        <v>AUG</v>
      </c>
      <c r="G31" t="str">
        <f>IF(DV!H1&gt;0,DV!H1,"")</f>
        <v>SEP</v>
      </c>
      <c r="H31" t="str">
        <f>IF(DV!I1&gt;0,DV!I1,"")</f>
        <v>OCT</v>
      </c>
      <c r="I31" t="str">
        <f>IF(DV!J1&gt;0,DV!J1,"")</f>
        <v>NOV</v>
      </c>
      <c r="J31" t="str">
        <f>IF(DV!K1&gt;0,DV!K1,"")</f>
        <v>DEC</v>
      </c>
      <c r="K31" t="str">
        <f>IF(DV!L1&gt;0,DV!L1,"")</f>
        <v>JAN'27</v>
      </c>
      <c r="L31" t="str">
        <f>IF(DV!M1&gt;0,DV!M1,"")</f>
        <v>FEB'27</v>
      </c>
      <c r="M31" t="str">
        <f>IF(DV!N1&gt;0,DV!N1,"")</f>
        <v>MAR'27</v>
      </c>
      <c r="N31" t="str">
        <f>IF(DV!O1&gt;0,DV!O1,"")</f>
        <v>APR'27</v>
      </c>
      <c r="O31" t="str">
        <f>IF(DV!P1&gt;0,DV!P1,"")</f>
        <v>MAY'27</v>
      </c>
      <c r="P31" t="str">
        <f>IF(DV!Q1&gt;0,DV!Q1,"")</f>
        <v>JUN'27</v>
      </c>
    </row>
    <row r="32" spans="1:16" x14ac:dyDescent="0.2">
      <c r="A32" t="str">
        <f>IF(DV!A17&gt;0,DV!A17,"")</f>
        <v>Staff</v>
      </c>
      <c r="B32">
        <f>IF(DV!C17&gt;0,DV!C17,"")</f>
        <v>12</v>
      </c>
      <c r="C32">
        <f>IF(DV!D17&gt;0,DV!D17,"")</f>
        <v>14</v>
      </c>
      <c r="D32">
        <f>IF(DV!E17&gt;0,DV!E17,"")</f>
        <v>17</v>
      </c>
      <c r="E32">
        <f>IF(DV!F17&gt;0,DV!F17,"")</f>
        <v>18</v>
      </c>
      <c r="F32">
        <f>IF(DV!G17&gt;0,DV!G17,"")</f>
        <v>18</v>
      </c>
      <c r="G32">
        <f>IF(DV!H17&gt;0,DV!H17,"")</f>
        <v>18</v>
      </c>
      <c r="H32">
        <f>IF(DV!I17&gt;0,DV!I17,"")</f>
        <v>18</v>
      </c>
      <c r="I32">
        <f>IF(DV!J17&gt;0,DV!J17,"")</f>
        <v>18</v>
      </c>
      <c r="J32">
        <f>IF(DV!K17&gt;0,DV!K17,"")</f>
        <v>18</v>
      </c>
      <c r="K32">
        <f>IF(DV!L17&gt;0,DV!L17,"")</f>
        <v>18</v>
      </c>
      <c r="L32">
        <f>IF(DV!M17&gt;0,DV!M17,"")</f>
        <v>18</v>
      </c>
      <c r="M32">
        <f>IF(DV!N17&gt;0,DV!N17,"")</f>
        <v>18</v>
      </c>
      <c r="N32">
        <f>IF(DV!O17&gt;0,DV!O17,"")</f>
        <v>18</v>
      </c>
      <c r="O32">
        <f>IF(DV!P17&gt;0,DV!P17,"")</f>
        <v>18</v>
      </c>
      <c r="P32">
        <f>IF(DV!Q17&gt;0,DV!Q17,"")</f>
        <v>18</v>
      </c>
    </row>
    <row r="33" spans="1:16" x14ac:dyDescent="0.2">
      <c r="A33" t="str">
        <f>IF(DV!A18&gt;0,DV!A18,"")</f>
        <v>Staff AVG</v>
      </c>
      <c r="B33">
        <f>IF(DV!C18&gt;0,DV!C18,"")</f>
        <v>15</v>
      </c>
      <c r="C33">
        <f>IF(DV!D18&gt;0,DV!D18,"")</f>
        <v>15</v>
      </c>
      <c r="D33">
        <f>IF(DV!E18&gt;0,DV!E18,"")</f>
        <v>15</v>
      </c>
      <c r="E33">
        <f>IF(DV!F18&gt;0,DV!F18,"")</f>
        <v>15</v>
      </c>
      <c r="F33">
        <f>IF(DV!G18&gt;0,DV!G18,"")</f>
        <v>15</v>
      </c>
      <c r="G33">
        <f>IF(DV!H18&gt;0,DV!H18,"")</f>
        <v>15</v>
      </c>
      <c r="H33">
        <f>IF(DV!I18&gt;0,DV!I18,"")</f>
        <v>15</v>
      </c>
      <c r="I33">
        <f>IF(DV!J18&gt;0,DV!J18,"")</f>
        <v>15</v>
      </c>
      <c r="J33">
        <f>IF(DV!K18&gt;0,DV!K18,"")</f>
        <v>15</v>
      </c>
      <c r="K33">
        <f>IF(DV!L18&gt;0,DV!L18,"")</f>
        <v>15</v>
      </c>
      <c r="L33">
        <f>IF(DV!M18&gt;0,DV!M18,"")</f>
        <v>15</v>
      </c>
      <c r="M33">
        <f>IF(DV!N18&gt;0,DV!N18,"")</f>
        <v>15</v>
      </c>
      <c r="N33">
        <f>IF(DV!O18&gt;0,DV!O18,"")</f>
        <v>15</v>
      </c>
      <c r="O33">
        <f>IF(DV!P18&gt;0,DV!P18,"")</f>
        <v>15</v>
      </c>
      <c r="P33">
        <f>IF(DV!Q18&gt;0,DV!Q18,"")</f>
        <v>15</v>
      </c>
    </row>
    <row r="34" spans="1:16" x14ac:dyDescent="0.2">
      <c r="A34" t="str">
        <f>IF(DV!A19&gt;0,DV!A19,"")</f>
        <v>Plan</v>
      </c>
      <c r="B34">
        <f>IF(DV!C19&gt;0,DV!C19,"")</f>
        <v>9</v>
      </c>
      <c r="C34">
        <f>IF(DV!D19&gt;0,DV!D19,"")</f>
        <v>13</v>
      </c>
      <c r="D34">
        <f>IF(DV!E19&gt;0,DV!E19,"")</f>
        <v>15</v>
      </c>
      <c r="E34">
        <f>IF(DV!F19&gt;0,DV!F19,"")</f>
        <v>16</v>
      </c>
      <c r="F34">
        <f>IF(DV!G19&gt;0,DV!G19,"")</f>
        <v>18</v>
      </c>
      <c r="G34">
        <f>IF(DV!H19&gt;0,DV!H19,"")</f>
        <v>18</v>
      </c>
      <c r="H34">
        <f>IF(DV!I19&gt;0,DV!I19,"")</f>
        <v>16</v>
      </c>
      <c r="I34">
        <f>IF(DV!J19&gt;0,DV!J19,"")</f>
        <v>14</v>
      </c>
      <c r="J34">
        <f>IF(DV!K19&gt;0,DV!K19,"")</f>
        <v>13</v>
      </c>
      <c r="K34">
        <f>IF(DV!L19&gt;0,DV!L19,"")</f>
        <v>11</v>
      </c>
      <c r="L34">
        <f>IF(DV!M19&gt;0,DV!M19,"")</f>
        <v>11</v>
      </c>
      <c r="M34">
        <f>IF(DV!N19&gt;0,DV!N19,"")</f>
        <v>11</v>
      </c>
      <c r="N34">
        <f>IF(DV!O19&gt;0,DV!O19,"")</f>
        <v>2</v>
      </c>
      <c r="O34">
        <f>IF(DV!P19&gt;0,DV!P19,"")</f>
        <v>2</v>
      </c>
      <c r="P34">
        <f>IF(DV!Q19&gt;0,DV!Q19,"")</f>
        <v>2</v>
      </c>
    </row>
    <row r="41" spans="1:16" x14ac:dyDescent="0.2">
      <c r="B41" t="str">
        <f>IF(DV!C31&gt;0,DV!C31,"")</f>
        <v>Q2</v>
      </c>
      <c r="C41" t="str">
        <f>IF(DV!D31&gt;0,DV!D31,"")</f>
        <v>Q3</v>
      </c>
      <c r="D41" t="str">
        <f>IF(DV!E31&gt;0,DV!E31,"")</f>
        <v>Q4</v>
      </c>
      <c r="E41" t="str">
        <f>IF(DV!F31&gt;0,DV!F31,"")</f>
        <v>Q1'27</v>
      </c>
      <c r="F41" t="str">
        <f>IF(DV!G31&gt;0,DV!G31,"")</f>
        <v>Q2'27</v>
      </c>
    </row>
    <row r="42" spans="1:16" x14ac:dyDescent="0.2">
      <c r="A42" t="str">
        <f>IF(DV!B32&gt;0,DV!B32,"")</f>
        <v>Staff</v>
      </c>
      <c r="B42">
        <f>IF(DV!C32&gt;0,DV!C32,"")</f>
        <v>114</v>
      </c>
      <c r="C42">
        <f>IF(DV!D32&gt;0,DV!D32,"")</f>
        <v>118</v>
      </c>
      <c r="D42">
        <f>IF(DV!E32&gt;0,DV!E32,"")</f>
        <v>118</v>
      </c>
      <c r="E42">
        <f>IF(DV!F32&gt;0,DV!F32,"")</f>
        <v>118</v>
      </c>
      <c r="F42">
        <f>IF(DV!G32&gt;0,DV!G32,"")</f>
        <v>118</v>
      </c>
    </row>
    <row r="43" spans="1:16" x14ac:dyDescent="0.2">
      <c r="A43" t="str">
        <f>IF(DV!B33&gt;0,DV!B33,"")</f>
        <v>Staff AVG</v>
      </c>
      <c r="B43">
        <f>IF(DV!C33&gt;0,DV!C33,"")</f>
        <v>117</v>
      </c>
      <c r="C43">
        <f>IF(DV!D33&gt;0,DV!D33,"")</f>
        <v>117</v>
      </c>
      <c r="D43">
        <f>IF(DV!E33&gt;0,DV!E33,"")</f>
        <v>117</v>
      </c>
      <c r="E43">
        <f>IF(DV!F33&gt;0,DV!F33,"")</f>
        <v>117</v>
      </c>
      <c r="F43">
        <f>IF(DV!G33&gt;0,DV!G33,"")</f>
        <v>117</v>
      </c>
    </row>
    <row r="44" spans="1:16" x14ac:dyDescent="0.2">
      <c r="A44" t="str">
        <f>IF(DV!B34&gt;0,DV!B34,"")</f>
        <v>Plan</v>
      </c>
      <c r="B44">
        <f>IF(DV!C34&gt;0,DV!C34,"")</f>
        <v>107</v>
      </c>
      <c r="C44">
        <f>IF(DV!D34&gt;0,DV!D34,"")</f>
        <v>103</v>
      </c>
      <c r="D44">
        <f>IF(DV!E34&gt;0,DV!E34,"")</f>
        <v>96</v>
      </c>
      <c r="E44">
        <f>IF(DV!F34&gt;0,DV!F34,"")</f>
        <v>73</v>
      </c>
      <c r="F44">
        <f>IF(DV!G34&gt;0,DV!G34,"")</f>
        <v>54</v>
      </c>
    </row>
    <row r="45" spans="1:16" x14ac:dyDescent="0.2">
      <c r="A45" t="str">
        <f>IF(DV!B41&gt;0,DV!B41,"")</f>
        <v>PAYROLL</v>
      </c>
      <c r="B45">
        <f>IF(DV!C41&gt;0,DV!C41,"")</f>
        <v>76</v>
      </c>
      <c r="C45">
        <f>IF(DV!D41&gt;0,DV!D41,"")</f>
        <v>69</v>
      </c>
      <c r="D45">
        <f>IF(DV!E41&gt;0,DV!E41,"")</f>
        <v>66</v>
      </c>
      <c r="E45">
        <f>IF(DV!F41&gt;0,DV!F41,"")</f>
        <v>53</v>
      </c>
      <c r="F45">
        <f>IF(DV!G41&gt;0,DV!G41,"")</f>
        <v>43</v>
      </c>
    </row>
    <row r="46" spans="1:16" x14ac:dyDescent="0.2">
      <c r="A46" t="str">
        <f>IF(DV!B45&gt;0,DV!B45,"")</f>
        <v>CONTRACTOR</v>
      </c>
      <c r="B46">
        <f>IF(DV!C45&gt;0,DV!C45,"")</f>
        <v>19</v>
      </c>
      <c r="C46">
        <f>IF(DV!D45&gt;0,DV!D45,"")</f>
        <v>17</v>
      </c>
      <c r="D46">
        <f>IF(DV!E45&gt;0,DV!E45,"")</f>
        <v>16</v>
      </c>
      <c r="E46">
        <f>IF(DV!F45&gt;0,DV!F45,"")</f>
        <v>9</v>
      </c>
      <c r="F46">
        <f>IF(DV!G45&gt;0,DV!G45,"")</f>
        <v>8</v>
      </c>
    </row>
    <row r="47" spans="1:16" x14ac:dyDescent="0.2">
      <c r="A47" t="str">
        <f>IF(DV!B49&gt;0,DV!B49,"")</f>
        <v>OUTSOURCE</v>
      </c>
      <c r="B47">
        <f>IF(DV!C49&gt;0,DV!C49,"")</f>
        <v>12</v>
      </c>
      <c r="C47">
        <f>IF(DV!D49&gt;0,DV!D49,"")</f>
        <v>17</v>
      </c>
      <c r="D47">
        <f>IF(DV!E49&gt;0,DV!E49,"")</f>
        <v>14</v>
      </c>
      <c r="E47">
        <f>IF(DV!F49&gt;0,DV!F49,"")</f>
        <v>11</v>
      </c>
      <c r="F47">
        <f>IF(DV!G49&gt;0,DV!G49,"")</f>
        <v>2</v>
      </c>
    </row>
    <row r="151" spans="1:16" x14ac:dyDescent="0.2">
      <c r="B151" t="str">
        <f>DV!C1</f>
        <v>APR</v>
      </c>
      <c r="C151" t="str">
        <f>DV!D1</f>
        <v>MAY</v>
      </c>
      <c r="D151" t="str">
        <f>DV!E1</f>
        <v>JUN</v>
      </c>
      <c r="E151" t="str">
        <f>DV!F1</f>
        <v>JUL</v>
      </c>
      <c r="F151" t="str">
        <f>DV!G1</f>
        <v>AUG</v>
      </c>
      <c r="G151" t="str">
        <f>DV!H1</f>
        <v>SEP</v>
      </c>
      <c r="H151" t="str">
        <f>DV!I1</f>
        <v>OCT</v>
      </c>
      <c r="I151" t="str">
        <f>DV!J1</f>
        <v>NOV</v>
      </c>
      <c r="J151" t="str">
        <f>DV!K1</f>
        <v>DEC</v>
      </c>
      <c r="K151" t="str">
        <f>DV!L1</f>
        <v>JAN'27</v>
      </c>
      <c r="L151" t="str">
        <f>DV!M1</f>
        <v>FEB'27</v>
      </c>
      <c r="M151" t="str">
        <f>DV!N1</f>
        <v>MAR'27</v>
      </c>
      <c r="N151" t="str">
        <f>DV!O1</f>
        <v>APR'27</v>
      </c>
      <c r="O151" t="str">
        <f>DV!P1</f>
        <v>MAY'27</v>
      </c>
      <c r="P151" t="str">
        <f>DV!Q1</f>
        <v>JUN'27</v>
      </c>
    </row>
    <row r="152" spans="1:16" x14ac:dyDescent="0.2">
      <c r="A152" t="str">
        <f>DV!B6</f>
        <v>% Plan</v>
      </c>
      <c r="B152">
        <f>DV!C6*100</f>
        <v>94.08</v>
      </c>
      <c r="C152">
        <f>DV!D6*100</f>
        <v>95.88</v>
      </c>
      <c r="D152">
        <f>DV!E6*100</f>
        <v>91.320000000000007</v>
      </c>
      <c r="E152">
        <f>DV!F6*100</f>
        <v>86.44</v>
      </c>
      <c r="F152">
        <f>DV!G6*100</f>
        <v>89.42</v>
      </c>
      <c r="G152">
        <f>DV!H6*100</f>
        <v>85.740000000000009</v>
      </c>
      <c r="H152">
        <f>DV!I6*100</f>
        <v>84.09</v>
      </c>
      <c r="I152">
        <f>DV!J6*100</f>
        <v>80.53</v>
      </c>
      <c r="J152">
        <f>DV!K6*100</f>
        <v>79.239999999999995</v>
      </c>
      <c r="K152">
        <f>DV!L6*100</f>
        <v>62.32</v>
      </c>
      <c r="L152">
        <f>DV!M6*100</f>
        <v>61.480000000000004</v>
      </c>
      <c r="M152">
        <f>DV!N6*100</f>
        <v>62.260000000000005</v>
      </c>
      <c r="N152">
        <f>DV!O6*100</f>
        <v>47.160000000000004</v>
      </c>
      <c r="O152">
        <f>DV!P6*100</f>
        <v>45.81</v>
      </c>
      <c r="P152">
        <f>DV!Q6*100</f>
        <v>45.24</v>
      </c>
    </row>
    <row r="153" spans="1:16" x14ac:dyDescent="0.2">
      <c r="A153" t="str">
        <f>DV!B7</f>
        <v>Available FTE</v>
      </c>
      <c r="B153">
        <f>DV!C7</f>
        <v>7</v>
      </c>
      <c r="C153">
        <f>DV!D7</f>
        <v>5</v>
      </c>
      <c r="D153">
        <f>DV!E7</f>
        <v>10</v>
      </c>
      <c r="E153">
        <f>DV!F7</f>
        <v>16</v>
      </c>
      <c r="F153">
        <f>DV!G7</f>
        <v>12</v>
      </c>
      <c r="G153">
        <f>DV!H7</f>
        <v>17</v>
      </c>
      <c r="H153">
        <f>DV!I7</f>
        <v>19</v>
      </c>
      <c r="I153">
        <f>DV!J7</f>
        <v>23</v>
      </c>
      <c r="J153">
        <f>DV!K7</f>
        <v>24</v>
      </c>
      <c r="K153">
        <f>DV!L7</f>
        <v>44</v>
      </c>
      <c r="L153">
        <f>DV!M7</f>
        <v>45</v>
      </c>
      <c r="M153">
        <f>DV!N7</f>
        <v>45</v>
      </c>
      <c r="N153">
        <f>DV!O7</f>
        <v>62</v>
      </c>
      <c r="O153">
        <f>DV!P7</f>
        <v>64</v>
      </c>
      <c r="P153">
        <f>DV!Q7</f>
        <v>65</v>
      </c>
    </row>
    <row r="155" spans="1:16" x14ac:dyDescent="0.2">
      <c r="B155" t="str">
        <f>DV!C31</f>
        <v>Q2</v>
      </c>
      <c r="C155" t="str">
        <f>DV!D31</f>
        <v>Q3</v>
      </c>
      <c r="D155" t="str">
        <f>DV!E31</f>
        <v>Q4</v>
      </c>
      <c r="E155" t="str">
        <f>DV!F31</f>
        <v>Q1'27</v>
      </c>
      <c r="F155" t="str">
        <f>DV!G31</f>
        <v>Q2'27</v>
      </c>
    </row>
    <row r="156" spans="1:16" x14ac:dyDescent="0.2">
      <c r="A156" t="str">
        <f>DV!B6</f>
        <v>% Plan</v>
      </c>
      <c r="B156">
        <f>DV!C36*100</f>
        <v>93.74</v>
      </c>
      <c r="C156">
        <f>DV!D36*100</f>
        <v>87.2</v>
      </c>
      <c r="D156">
        <f>DV!E36*100</f>
        <v>81.289999999999992</v>
      </c>
      <c r="E156">
        <f>DV!F36*100</f>
        <v>62.019999999999996</v>
      </c>
      <c r="F156">
        <f>DV!G36*100</f>
        <v>46.07</v>
      </c>
    </row>
    <row r="157" spans="1:16" x14ac:dyDescent="0.2">
      <c r="A157" t="str">
        <f>DV!B7</f>
        <v>Available FTE</v>
      </c>
      <c r="B157">
        <f>DV!C37</f>
        <v>7</v>
      </c>
      <c r="C157">
        <f>DV!D37</f>
        <v>15</v>
      </c>
      <c r="D157">
        <f>DV!E37</f>
        <v>22</v>
      </c>
      <c r="E157">
        <f>DV!F37</f>
        <v>31</v>
      </c>
      <c r="F157">
        <f>DV!G37</f>
        <v>64</v>
      </c>
    </row>
    <row r="161" spans="1:16" x14ac:dyDescent="0.2">
      <c r="B161" t="str">
        <f>DV!C1</f>
        <v>APR</v>
      </c>
      <c r="C161" t="str">
        <f>DV!D1</f>
        <v>MAY</v>
      </c>
      <c r="D161" t="str">
        <f>DV!E1</f>
        <v>JUN</v>
      </c>
      <c r="E161" t="str">
        <f>DV!F1</f>
        <v>JUL</v>
      </c>
      <c r="F161" t="str">
        <f>DV!G1</f>
        <v>AUG</v>
      </c>
      <c r="G161" t="str">
        <f>DV!H1</f>
        <v>SEP</v>
      </c>
      <c r="H161" t="str">
        <f>DV!I1</f>
        <v>OCT</v>
      </c>
      <c r="I161" t="str">
        <f>DV!J1</f>
        <v>NOV</v>
      </c>
      <c r="J161" t="str">
        <f>DV!K1</f>
        <v>DEC</v>
      </c>
      <c r="K161" t="str">
        <f>DV!L1</f>
        <v>JAN'27</v>
      </c>
      <c r="L161" t="str">
        <f>DV!M1</f>
        <v>FEB'27</v>
      </c>
      <c r="M161" t="str">
        <f>DV!N1</f>
        <v>MAR'27</v>
      </c>
      <c r="N161" t="str">
        <f>DV!O1</f>
        <v>APR'27</v>
      </c>
      <c r="O161" t="str">
        <f>DV!P1</f>
        <v>MAY'27</v>
      </c>
      <c r="P161" t="str">
        <f>DV!Q1</f>
        <v>JUN'27</v>
      </c>
    </row>
    <row r="162" spans="1:16" x14ac:dyDescent="0.2">
      <c r="A162" t="str">
        <f>A2</f>
        <v>Staff</v>
      </c>
      <c r="B162">
        <f t="shared" ref="B162:P162" si="0">B2</f>
        <v>111</v>
      </c>
      <c r="C162">
        <f t="shared" si="0"/>
        <v>114</v>
      </c>
      <c r="D162">
        <f t="shared" si="0"/>
        <v>116</v>
      </c>
      <c r="E162">
        <f t="shared" si="0"/>
        <v>118</v>
      </c>
      <c r="F162">
        <f t="shared" si="0"/>
        <v>118</v>
      </c>
      <c r="G162">
        <f t="shared" si="0"/>
        <v>118</v>
      </c>
      <c r="H162">
        <f t="shared" si="0"/>
        <v>118</v>
      </c>
      <c r="I162">
        <f t="shared" si="0"/>
        <v>118</v>
      </c>
      <c r="J162">
        <f t="shared" si="0"/>
        <v>118</v>
      </c>
      <c r="K162">
        <f t="shared" si="0"/>
        <v>118</v>
      </c>
      <c r="L162">
        <f t="shared" si="0"/>
        <v>118</v>
      </c>
      <c r="M162">
        <f t="shared" si="0"/>
        <v>118</v>
      </c>
      <c r="N162">
        <f t="shared" si="0"/>
        <v>118</v>
      </c>
      <c r="O162">
        <f t="shared" si="0"/>
        <v>118</v>
      </c>
      <c r="P162">
        <f t="shared" si="0"/>
        <v>118</v>
      </c>
    </row>
    <row r="163" spans="1:16" x14ac:dyDescent="0.2">
      <c r="A163" t="str">
        <f>A4</f>
        <v>Plan</v>
      </c>
      <c r="E163">
        <f t="shared" ref="E163:P163" si="1">E4</f>
        <v>102</v>
      </c>
      <c r="F163">
        <f t="shared" si="1"/>
        <v>106</v>
      </c>
      <c r="G163">
        <f t="shared" si="1"/>
        <v>101</v>
      </c>
      <c r="H163">
        <f t="shared" si="1"/>
        <v>99</v>
      </c>
      <c r="I163">
        <f t="shared" si="1"/>
        <v>95</v>
      </c>
      <c r="J163">
        <f t="shared" si="1"/>
        <v>94</v>
      </c>
      <c r="K163">
        <f t="shared" si="1"/>
        <v>74</v>
      </c>
      <c r="L163">
        <f t="shared" si="1"/>
        <v>73</v>
      </c>
      <c r="M163">
        <f t="shared" si="1"/>
        <v>73</v>
      </c>
      <c r="N163">
        <f t="shared" si="1"/>
        <v>56</v>
      </c>
      <c r="O163">
        <f t="shared" si="1"/>
        <v>54</v>
      </c>
      <c r="P163">
        <f t="shared" si="1"/>
        <v>53</v>
      </c>
    </row>
    <row r="164" spans="1:16" x14ac:dyDescent="0.2">
      <c r="A164" t="s">
        <v>121</v>
      </c>
      <c r="B164">
        <f>SUM(DV!C22:C23)</f>
        <v>100.74</v>
      </c>
      <c r="C164">
        <f>SUM(DV!D22:D23)</f>
        <v>105.94</v>
      </c>
      <c r="D164">
        <f>SUM(DV!E22:E23)</f>
        <v>106.63</v>
      </c>
      <c r="E164">
        <f>SUM(DV!F22:F23)</f>
        <v>56.11</v>
      </c>
    </row>
    <row r="165" spans="1:16" x14ac:dyDescent="0.2">
      <c r="A165" s="73" t="s">
        <v>193</v>
      </c>
      <c r="B165" s="7">
        <v>106</v>
      </c>
      <c r="C165" s="7">
        <v>110</v>
      </c>
      <c r="D165" s="7">
        <v>108</v>
      </c>
      <c r="E165" s="7">
        <v>109</v>
      </c>
      <c r="F165" s="7">
        <v>107</v>
      </c>
      <c r="G165" s="7">
        <v>107</v>
      </c>
      <c r="H165" s="7">
        <v>101</v>
      </c>
      <c r="I165" s="7">
        <v>99</v>
      </c>
      <c r="J165" s="7">
        <v>99</v>
      </c>
      <c r="K165" s="7">
        <v>78</v>
      </c>
      <c r="L165" s="7">
        <v>78</v>
      </c>
      <c r="M165" s="7">
        <v>78</v>
      </c>
      <c r="N165" s="73"/>
      <c r="O165" s="73"/>
      <c r="P165" s="7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25" activePane="bottomLeft" state="frozen"/>
      <selection pane="bottomLeft" activeCell="Q16" sqref="Q16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30</v>
      </c>
      <c r="B2" s="6" t="s">
        <v>16</v>
      </c>
      <c r="C2" s="7">
        <v>17</v>
      </c>
      <c r="D2" s="7">
        <v>17</v>
      </c>
      <c r="E2" s="7">
        <v>17</v>
      </c>
      <c r="F2" s="7">
        <v>17</v>
      </c>
      <c r="G2" s="7">
        <v>17</v>
      </c>
      <c r="H2" s="7">
        <v>17</v>
      </c>
      <c r="I2" s="7">
        <v>17</v>
      </c>
      <c r="J2" s="7">
        <v>17</v>
      </c>
      <c r="K2" s="7">
        <v>17</v>
      </c>
      <c r="L2" s="7">
        <v>17</v>
      </c>
      <c r="M2" s="7">
        <v>17</v>
      </c>
      <c r="N2" s="7">
        <v>17</v>
      </c>
      <c r="O2" s="7">
        <v>17</v>
      </c>
      <c r="P2" s="7">
        <v>17</v>
      </c>
      <c r="Q2" s="7">
        <v>17</v>
      </c>
    </row>
    <row r="3" spans="1:17" x14ac:dyDescent="0.2">
      <c r="A3" s="11" t="s">
        <v>30</v>
      </c>
      <c r="B3" s="8" t="s">
        <v>17</v>
      </c>
      <c r="C3" s="7">
        <v>17</v>
      </c>
      <c r="D3" s="7">
        <v>17</v>
      </c>
      <c r="E3" s="7">
        <v>17</v>
      </c>
      <c r="F3" s="7">
        <v>17</v>
      </c>
      <c r="G3" s="7">
        <v>17</v>
      </c>
      <c r="H3" s="7">
        <v>17</v>
      </c>
      <c r="I3" s="7">
        <v>17</v>
      </c>
      <c r="J3" s="7">
        <v>17</v>
      </c>
      <c r="K3" s="7">
        <v>17</v>
      </c>
      <c r="L3" s="7">
        <v>17</v>
      </c>
      <c r="M3" s="7">
        <v>17</v>
      </c>
      <c r="N3" s="7">
        <v>17</v>
      </c>
      <c r="O3" s="7">
        <v>17</v>
      </c>
      <c r="P3" s="7">
        <v>17</v>
      </c>
      <c r="Q3" s="7">
        <v>17</v>
      </c>
    </row>
    <row r="4" spans="1:17" x14ac:dyDescent="0.2">
      <c r="A4" s="12" t="s">
        <v>30</v>
      </c>
      <c r="B4" s="9" t="s">
        <v>18</v>
      </c>
      <c r="C4" s="13">
        <v>17.45</v>
      </c>
      <c r="D4" s="13">
        <v>17.75</v>
      </c>
      <c r="E4" s="13">
        <v>17.850000000000001</v>
      </c>
      <c r="F4" s="7">
        <v>15.07</v>
      </c>
      <c r="G4" s="7">
        <v>15.42</v>
      </c>
      <c r="H4" s="7">
        <v>14.41</v>
      </c>
      <c r="I4" s="7">
        <v>13.96</v>
      </c>
      <c r="J4" s="7">
        <v>13.81</v>
      </c>
      <c r="K4" s="7">
        <v>13.81</v>
      </c>
      <c r="L4" s="7">
        <v>12.85</v>
      </c>
      <c r="M4" s="7">
        <v>12.8</v>
      </c>
      <c r="N4" s="7">
        <v>12.8</v>
      </c>
      <c r="O4" s="7">
        <v>11.8</v>
      </c>
      <c r="P4" s="7">
        <v>11.8</v>
      </c>
      <c r="Q4" s="7">
        <v>11.8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1.0265</v>
      </c>
      <c r="D6" s="18">
        <v>1.0441</v>
      </c>
      <c r="E6" s="18">
        <v>1.05</v>
      </c>
      <c r="F6" s="18">
        <v>0.88649999999999995</v>
      </c>
      <c r="G6" s="18">
        <v>0.90710000000000002</v>
      </c>
      <c r="H6" s="18">
        <v>0.84760000000000002</v>
      </c>
      <c r="I6" s="18">
        <v>0.82120000000000004</v>
      </c>
      <c r="J6" s="18">
        <v>0.81240000000000001</v>
      </c>
      <c r="K6" s="18">
        <v>0.81240000000000001</v>
      </c>
      <c r="L6" s="18">
        <v>0.75590000000000002</v>
      </c>
      <c r="M6" s="18">
        <v>0.75290000000000001</v>
      </c>
      <c r="N6" s="18">
        <v>0.75290000000000001</v>
      </c>
      <c r="O6" s="18">
        <v>0.69410000000000005</v>
      </c>
      <c r="P6" s="18">
        <v>0.69410000000000005</v>
      </c>
      <c r="Q6" s="18">
        <v>0.69410000000000005</v>
      </c>
    </row>
    <row r="7" spans="1:17" x14ac:dyDescent="0.2">
      <c r="A7" s="16"/>
      <c r="B7" s="17" t="s">
        <v>24</v>
      </c>
      <c r="C7" s="19">
        <v>0</v>
      </c>
      <c r="D7" s="19">
        <v>-1</v>
      </c>
      <c r="E7" s="19">
        <v>-1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4</v>
      </c>
      <c r="M7" s="19">
        <v>4</v>
      </c>
      <c r="N7" s="19">
        <v>4</v>
      </c>
      <c r="O7" s="19">
        <v>5</v>
      </c>
      <c r="P7" s="19">
        <v>5</v>
      </c>
      <c r="Q7" s="19">
        <v>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17</v>
      </c>
      <c r="D9" s="7">
        <v>17</v>
      </c>
      <c r="E9" s="7">
        <v>17</v>
      </c>
      <c r="F9" s="7">
        <v>17</v>
      </c>
      <c r="G9" s="7">
        <v>17</v>
      </c>
      <c r="H9" s="7">
        <v>17</v>
      </c>
      <c r="I9" s="7">
        <v>17</v>
      </c>
      <c r="J9" s="7">
        <v>17</v>
      </c>
      <c r="K9" s="7">
        <v>17</v>
      </c>
      <c r="L9" s="7">
        <v>17</v>
      </c>
      <c r="M9" s="7">
        <v>17</v>
      </c>
      <c r="N9" s="7">
        <v>17</v>
      </c>
      <c r="O9" s="7">
        <v>17</v>
      </c>
      <c r="P9" s="7">
        <v>17</v>
      </c>
      <c r="Q9" s="7">
        <v>17</v>
      </c>
    </row>
    <row r="10" spans="1:17" x14ac:dyDescent="0.2">
      <c r="A10" s="8" t="s">
        <v>17</v>
      </c>
      <c r="B10" s="11" t="s">
        <v>19</v>
      </c>
      <c r="C10" s="7">
        <v>17</v>
      </c>
      <c r="D10" s="7">
        <v>17</v>
      </c>
      <c r="E10" s="7">
        <v>17</v>
      </c>
      <c r="F10" s="7">
        <v>17</v>
      </c>
      <c r="G10" s="7">
        <v>17</v>
      </c>
      <c r="H10" s="7">
        <v>17</v>
      </c>
      <c r="I10" s="7">
        <v>17</v>
      </c>
      <c r="J10" s="7">
        <v>17</v>
      </c>
      <c r="K10" s="7">
        <v>17</v>
      </c>
      <c r="L10" s="7">
        <v>17</v>
      </c>
      <c r="M10" s="7">
        <v>17</v>
      </c>
      <c r="N10" s="7">
        <v>17</v>
      </c>
      <c r="O10" s="7">
        <v>17</v>
      </c>
      <c r="P10" s="7">
        <v>17</v>
      </c>
      <c r="Q10" s="7">
        <v>17</v>
      </c>
    </row>
    <row r="11" spans="1:17" x14ac:dyDescent="0.2">
      <c r="A11" s="15" t="s">
        <v>18</v>
      </c>
      <c r="B11" s="12" t="s">
        <v>19</v>
      </c>
      <c r="C11" s="13">
        <v>17.45</v>
      </c>
      <c r="D11" s="13">
        <v>17.75</v>
      </c>
      <c r="E11" s="13">
        <v>17.850000000000001</v>
      </c>
      <c r="F11" s="7">
        <v>15.07</v>
      </c>
      <c r="G11" s="7">
        <v>15.42</v>
      </c>
      <c r="H11" s="7">
        <v>14.41</v>
      </c>
      <c r="I11" s="7">
        <v>13.96</v>
      </c>
      <c r="J11" s="7">
        <v>13.81</v>
      </c>
      <c r="K11" s="7">
        <v>13.81</v>
      </c>
      <c r="L11" s="7">
        <v>12.85</v>
      </c>
      <c r="M11" s="7">
        <v>12.8</v>
      </c>
      <c r="N11" s="7">
        <v>12.8</v>
      </c>
      <c r="O11" s="7">
        <v>11.8</v>
      </c>
      <c r="P11" s="7">
        <v>11.8</v>
      </c>
      <c r="Q11" s="7">
        <v>11.8</v>
      </c>
    </row>
    <row r="12" spans="1:17" x14ac:dyDescent="0.2">
      <c r="A12" s="7"/>
      <c r="B12" s="1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30</v>
      </c>
      <c r="B32" s="6" t="s">
        <v>16</v>
      </c>
      <c r="C32" s="20">
        <v>17</v>
      </c>
      <c r="D32" s="20">
        <v>17</v>
      </c>
      <c r="E32" s="20">
        <v>17</v>
      </c>
      <c r="F32" s="20">
        <v>17</v>
      </c>
      <c r="G32" s="20">
        <v>17</v>
      </c>
    </row>
    <row r="33" spans="1:7" x14ac:dyDescent="0.2">
      <c r="A33" s="11" t="s">
        <v>30</v>
      </c>
      <c r="B33" s="8" t="s">
        <v>17</v>
      </c>
      <c r="C33" s="20">
        <v>17</v>
      </c>
      <c r="D33" s="20">
        <v>17</v>
      </c>
      <c r="E33" s="20">
        <v>17</v>
      </c>
      <c r="F33" s="20">
        <v>17</v>
      </c>
      <c r="G33" s="20">
        <v>17</v>
      </c>
    </row>
    <row r="34" spans="1:7" x14ac:dyDescent="0.2">
      <c r="A34" s="12" t="s">
        <v>30</v>
      </c>
      <c r="B34" s="9" t="s">
        <v>18</v>
      </c>
      <c r="C34" s="13">
        <v>17.68333333</v>
      </c>
      <c r="D34" s="20">
        <v>14.96666667</v>
      </c>
      <c r="E34" s="20">
        <v>13.86</v>
      </c>
      <c r="F34" s="20">
        <v>12.81666667</v>
      </c>
      <c r="G34" s="20">
        <v>12</v>
      </c>
    </row>
    <row r="35" spans="1:7" x14ac:dyDescent="0.2">
      <c r="A35" s="16"/>
      <c r="B35" s="7"/>
      <c r="C35" s="24">
        <v>-4.02E-2</v>
      </c>
      <c r="D35" s="24">
        <v>0.1196</v>
      </c>
      <c r="E35" s="24">
        <v>0.1847</v>
      </c>
      <c r="F35" s="24">
        <v>0.24610000000000001</v>
      </c>
      <c r="G35" s="24">
        <v>0.30590000000000001</v>
      </c>
    </row>
    <row r="36" spans="1:7" x14ac:dyDescent="0.2">
      <c r="A36" s="7"/>
      <c r="B36" s="17" t="s">
        <v>23</v>
      </c>
      <c r="C36" s="18">
        <v>1.0402</v>
      </c>
      <c r="D36" s="18">
        <v>0.88039999999999996</v>
      </c>
      <c r="E36" s="18">
        <v>0.81530000000000002</v>
      </c>
      <c r="F36" s="18">
        <v>0.75390000000000001</v>
      </c>
      <c r="G36" s="18">
        <v>0.69410000000000005</v>
      </c>
    </row>
    <row r="37" spans="1:7" x14ac:dyDescent="0.2">
      <c r="A37" s="16"/>
      <c r="B37" s="17" t="s">
        <v>24</v>
      </c>
      <c r="C37" s="19">
        <v>-1</v>
      </c>
      <c r="D37" s="19">
        <v>2</v>
      </c>
      <c r="E37" s="19">
        <v>3</v>
      </c>
      <c r="F37" s="19">
        <v>4</v>
      </c>
      <c r="G37" s="19">
        <v>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17</v>
      </c>
      <c r="D39" s="20">
        <v>17</v>
      </c>
      <c r="E39" s="20">
        <v>17</v>
      </c>
      <c r="F39" s="20">
        <v>17</v>
      </c>
      <c r="G39" s="20">
        <v>17</v>
      </c>
    </row>
    <row r="40" spans="1:7" x14ac:dyDescent="0.2">
      <c r="A40" s="8" t="s">
        <v>17</v>
      </c>
      <c r="B40" s="11" t="s">
        <v>19</v>
      </c>
      <c r="C40" s="20">
        <v>17</v>
      </c>
      <c r="D40" s="20">
        <v>17</v>
      </c>
      <c r="E40" s="20">
        <v>17</v>
      </c>
      <c r="F40" s="20">
        <v>17</v>
      </c>
      <c r="G40" s="20">
        <v>17</v>
      </c>
    </row>
    <row r="41" spans="1:7" x14ac:dyDescent="0.2">
      <c r="A41" s="15" t="s">
        <v>18</v>
      </c>
      <c r="B41" s="12" t="s">
        <v>19</v>
      </c>
      <c r="C41" s="13">
        <v>18</v>
      </c>
      <c r="D41" s="20">
        <v>15</v>
      </c>
      <c r="E41" s="20">
        <v>14</v>
      </c>
      <c r="F41" s="20">
        <v>13</v>
      </c>
      <c r="G41" s="20">
        <v>12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17</v>
      </c>
      <c r="D62" s="27">
        <v>17</v>
      </c>
      <c r="E62" s="27">
        <v>17</v>
      </c>
      <c r="F62" s="27">
        <v>17</v>
      </c>
      <c r="G62" s="27">
        <v>17</v>
      </c>
      <c r="H62" s="27">
        <v>17</v>
      </c>
      <c r="I62" s="27">
        <v>17</v>
      </c>
      <c r="J62" s="27">
        <v>17</v>
      </c>
      <c r="K62" s="27">
        <v>17</v>
      </c>
      <c r="L62" s="27">
        <v>17</v>
      </c>
      <c r="M62" s="27">
        <v>17</v>
      </c>
      <c r="N62" s="27">
        <v>17</v>
      </c>
      <c r="O62" s="27">
        <v>17</v>
      </c>
      <c r="P62" s="27">
        <v>17</v>
      </c>
      <c r="Q62" s="27">
        <v>17</v>
      </c>
    </row>
    <row r="63" spans="1:17" x14ac:dyDescent="0.2">
      <c r="A63" s="28"/>
      <c r="B63" s="29" t="s">
        <v>18</v>
      </c>
      <c r="C63" s="30">
        <v>17.45</v>
      </c>
      <c r="D63" s="30">
        <v>17.75</v>
      </c>
      <c r="E63" s="30">
        <v>17.850000000000001</v>
      </c>
      <c r="F63" s="30">
        <v>15.07</v>
      </c>
      <c r="G63" s="30">
        <v>15.42</v>
      </c>
      <c r="H63" s="30">
        <v>14.41</v>
      </c>
      <c r="I63" s="30">
        <v>13.96</v>
      </c>
      <c r="J63" s="30">
        <v>13.81</v>
      </c>
      <c r="K63" s="30">
        <v>13.81</v>
      </c>
      <c r="L63" s="30">
        <v>12.85</v>
      </c>
      <c r="M63" s="30">
        <v>12.8</v>
      </c>
      <c r="N63" s="30">
        <v>12.8</v>
      </c>
      <c r="O63" s="30">
        <v>11.8</v>
      </c>
      <c r="P63" s="30">
        <v>11.8</v>
      </c>
      <c r="Q63" s="30">
        <v>11.8</v>
      </c>
    </row>
    <row r="64" spans="1:17" x14ac:dyDescent="0.2">
      <c r="A64" s="14" t="s">
        <v>35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35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36</v>
      </c>
      <c r="B66" s="6" t="s">
        <v>16</v>
      </c>
      <c r="C66" s="14">
        <v>11</v>
      </c>
      <c r="D66" s="14">
        <v>11</v>
      </c>
      <c r="E66" s="14">
        <v>11</v>
      </c>
      <c r="F66" s="14">
        <v>11</v>
      </c>
      <c r="G66" s="14">
        <v>11</v>
      </c>
      <c r="H66" s="14">
        <v>11</v>
      </c>
      <c r="I66" s="14">
        <v>11</v>
      </c>
      <c r="J66" s="14">
        <v>11</v>
      </c>
      <c r="K66" s="14">
        <v>11</v>
      </c>
      <c r="L66" s="14">
        <v>11</v>
      </c>
      <c r="M66" s="14">
        <v>11</v>
      </c>
      <c r="N66" s="14">
        <v>11</v>
      </c>
      <c r="O66" s="14">
        <v>11</v>
      </c>
      <c r="P66" s="14">
        <v>11</v>
      </c>
      <c r="Q66" s="14">
        <v>11</v>
      </c>
    </row>
    <row r="67" spans="1:17" x14ac:dyDescent="0.2">
      <c r="A67" s="31" t="s">
        <v>36</v>
      </c>
      <c r="B67" s="9" t="s">
        <v>18</v>
      </c>
      <c r="C67" s="7">
        <v>11.45</v>
      </c>
      <c r="D67" s="7">
        <v>11.75</v>
      </c>
      <c r="E67" s="7">
        <v>11.85</v>
      </c>
      <c r="F67" s="7">
        <v>9.07</v>
      </c>
      <c r="G67" s="7">
        <v>9.42</v>
      </c>
      <c r="H67" s="7">
        <v>8.41</v>
      </c>
      <c r="I67" s="7">
        <v>7.96</v>
      </c>
      <c r="J67" s="7">
        <v>7.81</v>
      </c>
      <c r="K67" s="7">
        <v>7.81</v>
      </c>
      <c r="L67" s="7">
        <v>6.85</v>
      </c>
      <c r="M67" s="7">
        <v>6.8</v>
      </c>
      <c r="N67" s="7">
        <v>6.8</v>
      </c>
      <c r="O67" s="7">
        <v>5.8</v>
      </c>
      <c r="P67" s="7">
        <v>5.8</v>
      </c>
      <c r="Q67" s="7">
        <v>5.8</v>
      </c>
    </row>
    <row r="68" spans="1:17" x14ac:dyDescent="0.2">
      <c r="A68" s="14" t="s">
        <v>37</v>
      </c>
      <c r="B68" s="6" t="s">
        <v>16</v>
      </c>
      <c r="C68" s="14">
        <v>5</v>
      </c>
      <c r="D68" s="14">
        <v>5</v>
      </c>
      <c r="E68" s="14">
        <v>5</v>
      </c>
      <c r="F68" s="14">
        <v>5</v>
      </c>
      <c r="G68" s="14">
        <v>5</v>
      </c>
      <c r="H68" s="14">
        <v>5</v>
      </c>
      <c r="I68" s="14">
        <v>5</v>
      </c>
      <c r="J68" s="14">
        <v>5</v>
      </c>
      <c r="K68" s="14">
        <v>5</v>
      </c>
      <c r="L68" s="14">
        <v>5</v>
      </c>
      <c r="M68" s="14">
        <v>5</v>
      </c>
      <c r="N68" s="14">
        <v>5</v>
      </c>
      <c r="O68" s="14">
        <v>5</v>
      </c>
      <c r="P68" s="14">
        <v>5</v>
      </c>
      <c r="Q68" s="14">
        <v>5</v>
      </c>
    </row>
    <row r="69" spans="1:17" x14ac:dyDescent="0.2">
      <c r="A69" s="31" t="s">
        <v>37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133" workbookViewId="0">
      <selection activeCell="B153" sqref="B153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APR</v>
      </c>
      <c r="C1" t="str">
        <f>IF(CPS!D1&gt;0,CPS!D1,"")</f>
        <v>MAY</v>
      </c>
      <c r="D1" t="str">
        <f>IF(CPS!E1&gt;0,CPS!E1,"")</f>
        <v>JUN</v>
      </c>
      <c r="E1" t="str">
        <f>IF(CPS!F1&gt;0,CPS!F1,"")</f>
        <v>JUL</v>
      </c>
      <c r="F1" t="str">
        <f>IF(CPS!G1&gt;0,CPS!G1,"")</f>
        <v>AUG</v>
      </c>
      <c r="G1" t="str">
        <f>IF(CPS!H1&gt;0,CPS!H1,"")</f>
        <v>SEP</v>
      </c>
      <c r="H1" t="str">
        <f>IF(CPS!I1&gt;0,CPS!I1,"")</f>
        <v>OCT</v>
      </c>
      <c r="I1" t="str">
        <f>IF(CPS!J1&gt;0,CPS!J1,"")</f>
        <v>NOV</v>
      </c>
      <c r="J1" t="str">
        <f>IF(CPS!K1&gt;0,CPS!K1,"")</f>
        <v>DEC</v>
      </c>
      <c r="K1" t="str">
        <f>IF(CPS!L1&gt;0,CPS!L1,"")</f>
        <v>JAN'27</v>
      </c>
      <c r="L1" t="str">
        <f>IF(CPS!M1&gt;0,CPS!M1,"")</f>
        <v>FEB'27</v>
      </c>
      <c r="M1" t="str">
        <f>IF(CPS!N1&gt;0,CPS!N1,"")</f>
        <v>MAR'27</v>
      </c>
      <c r="N1" t="str">
        <f>IF(CPS!O1&gt;0,CPS!O1,"")</f>
        <v>APR'27</v>
      </c>
      <c r="O1" t="str">
        <f>IF(CPS!P1&gt;0,CPS!P1,"")</f>
        <v>MAY'27</v>
      </c>
      <c r="P1" t="str">
        <f>IF(CPS!Q1&gt;0,CPS!Q1,"")</f>
        <v>JUN'27</v>
      </c>
    </row>
    <row r="2" spans="1:16" x14ac:dyDescent="0.2">
      <c r="A2" t="str">
        <f>IF(CPS!B2&gt;0,CPS!B2,"")</f>
        <v>Staff</v>
      </c>
      <c r="B2">
        <f>IF(CPS!C2&gt;0,CPS!C2,"")</f>
        <v>17</v>
      </c>
      <c r="C2">
        <f>IF(CPS!D2&gt;0,CPS!D2,"")</f>
        <v>17</v>
      </c>
      <c r="D2">
        <f>IF(CPS!E2&gt;0,CPS!E2,"")</f>
        <v>17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17.45</v>
      </c>
      <c r="C4">
        <f>IF(CPS!D4&gt;0,CPS!D4,"")</f>
        <v>17.75</v>
      </c>
      <c r="D4">
        <f>IF(CPS!E4&gt;0,CPS!E4,"")</f>
        <v>17.850000000000001</v>
      </c>
      <c r="E4">
        <f>IF(CPS!F4&gt;0,CPS!F4,"")</f>
        <v>15.07</v>
      </c>
      <c r="F4">
        <f>IF(CPS!G4&gt;0,CPS!G4,"")</f>
        <v>15.42</v>
      </c>
      <c r="G4">
        <f>IF(CPS!H4&gt;0,CPS!H4,"")</f>
        <v>14.41</v>
      </c>
      <c r="H4">
        <f>IF(CPS!I4&gt;0,CPS!I4,"")</f>
        <v>13.96</v>
      </c>
      <c r="I4">
        <f>IF(CPS!J4&gt;0,CPS!J4,"")</f>
        <v>13.81</v>
      </c>
      <c r="J4">
        <f>IF(CPS!K4&gt;0,CPS!K4,"")</f>
        <v>13.81</v>
      </c>
      <c r="K4">
        <f>IF(CPS!L4&gt;0,CPS!L4,"")</f>
        <v>12.85</v>
      </c>
      <c r="L4">
        <f>IF(CPS!M4&gt;0,CPS!M4,"")</f>
        <v>12.8</v>
      </c>
      <c r="M4">
        <f>IF(CPS!N4&gt;0,CPS!N4,"")</f>
        <v>12.8</v>
      </c>
      <c r="N4">
        <f>IF(CPS!O4&gt;0,CPS!O4,"")</f>
        <v>11.8</v>
      </c>
      <c r="O4">
        <f>IF(CPS!P4&gt;0,CPS!P4,"")</f>
        <v>11.8</v>
      </c>
      <c r="P4">
        <f>IF(CPS!Q4&gt;0,CPS!Q4,"")</f>
        <v>11.8</v>
      </c>
    </row>
    <row r="5" spans="1:16" x14ac:dyDescent="0.2">
      <c r="A5" t="str">
        <f>IF(CPS!B11&gt;0,CPS!B11,"")</f>
        <v>PAYROLL</v>
      </c>
      <c r="B5">
        <f>IF(CPS!C11&gt;0,CPS!C11,"")</f>
        <v>17.45</v>
      </c>
      <c r="C5">
        <f>IF(CPS!D11&gt;0,CPS!D11,"")</f>
        <v>17.75</v>
      </c>
      <c r="D5">
        <f>IF(CPS!E11&gt;0,CPS!E11,"")</f>
        <v>17.850000000000001</v>
      </c>
      <c r="E5">
        <f>IF(CPS!F11&gt;0,CPS!F11,"")</f>
        <v>15.07</v>
      </c>
      <c r="F5">
        <f>IF(CPS!G11&gt;0,CPS!G11,"")</f>
        <v>15.42</v>
      </c>
      <c r="G5">
        <f>IF(CPS!H11&gt;0,CPS!H11,"")</f>
        <v>14.41</v>
      </c>
      <c r="H5">
        <f>IF(CPS!I11&gt;0,CPS!I11,"")</f>
        <v>13.96</v>
      </c>
      <c r="I5">
        <f>IF(CPS!J11&gt;0,CPS!J11,"")</f>
        <v>13.81</v>
      </c>
      <c r="J5">
        <f>IF(CPS!K11&gt;0,CPS!K11,"")</f>
        <v>13.81</v>
      </c>
      <c r="K5">
        <f>IF(CPS!L11&gt;0,CPS!L11,"")</f>
        <v>12.85</v>
      </c>
      <c r="L5">
        <f>IF(CPS!M11&gt;0,CPS!M11,"")</f>
        <v>12.8</v>
      </c>
      <c r="M5">
        <f>IF(CPS!N11&gt;0,CPS!N11,"")</f>
        <v>12.8</v>
      </c>
      <c r="N5">
        <f>IF(CPS!O11&gt;0,CPS!O11,"")</f>
        <v>11.8</v>
      </c>
      <c r="O5">
        <f>IF(CPS!P11&gt;0,CPS!P11,"")</f>
        <v>11.8</v>
      </c>
      <c r="P5">
        <f>IF(CPS!Q11&gt;0,CPS!Q11,"")</f>
        <v>11.8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APR</v>
      </c>
      <c r="C11" t="str">
        <f>IF(CPS!D1&gt;0,CPS!D1,"")</f>
        <v>MAY</v>
      </c>
      <c r="D11" t="str">
        <f>IF(CPS!E1&gt;0,CPS!E1,"")</f>
        <v>JUN</v>
      </c>
      <c r="E11" t="str">
        <f>IF(CPS!F1&gt;0,CPS!F1,"")</f>
        <v>JUL</v>
      </c>
      <c r="F11" t="str">
        <f>IF(CPS!G1&gt;0,CPS!G1,"")</f>
        <v>AUG</v>
      </c>
      <c r="G11" t="str">
        <f>IF(CPS!H1&gt;0,CPS!H1,"")</f>
        <v>SEP</v>
      </c>
      <c r="H11" t="str">
        <f>IF(CPS!I1&gt;0,CPS!I1,"")</f>
        <v>OCT</v>
      </c>
      <c r="I11" t="str">
        <f>IF(CPS!J1&gt;0,CPS!J1,"")</f>
        <v>NOV</v>
      </c>
      <c r="J11" t="str">
        <f>IF(CPS!K1&gt;0,CPS!K1,"")</f>
        <v>DEC</v>
      </c>
      <c r="K11" t="str">
        <f>IF(CPS!L1&gt;0,CPS!L1,"")</f>
        <v>JAN'27</v>
      </c>
      <c r="L11" t="str">
        <f>IF(CPS!M1&gt;0,CPS!M1,"")</f>
        <v>FEB'27</v>
      </c>
      <c r="M11" t="str">
        <f>IF(CPS!N1&gt;0,CPS!N1,"")</f>
        <v>MAR'27</v>
      </c>
      <c r="N11" t="str">
        <f>IF(CPS!O1&gt;0,CPS!O1,"")</f>
        <v>APR'27</v>
      </c>
      <c r="O11" t="str">
        <f>IF(CPS!P1&gt;0,CPS!P1,"")</f>
        <v>MAY'27</v>
      </c>
      <c r="P11" t="str">
        <f>IF(CPS!Q1&gt;0,CPS!Q1,"")</f>
        <v>JUN'27</v>
      </c>
    </row>
    <row r="12" spans="1:16" x14ac:dyDescent="0.2">
      <c r="A12" t="str">
        <f>IF(CPS!B2&gt;0,CPS!B2,"")</f>
        <v>Staff</v>
      </c>
      <c r="B12">
        <f>IF(CPS!C9&gt;0,CPS!C9,"")</f>
        <v>17</v>
      </c>
      <c r="C12">
        <f>IF(CPS!D9&gt;0,CPS!D9,"")</f>
        <v>17</v>
      </c>
      <c r="D12">
        <f>IF(CPS!E9&gt;0,CPS!E9,"")</f>
        <v>17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17.45</v>
      </c>
      <c r="C14">
        <f>IF(CPS!D11&gt;0,CPS!D11,"")</f>
        <v>17.75</v>
      </c>
      <c r="D14">
        <f>IF(CPS!E11&gt;0,CPS!E11,"")</f>
        <v>17.850000000000001</v>
      </c>
      <c r="E14">
        <f>IF(CPS!F11&gt;0,CPS!F11,"")</f>
        <v>15.07</v>
      </c>
      <c r="F14">
        <f>IF(CPS!G11&gt;0,CPS!G11,"")</f>
        <v>15.42</v>
      </c>
      <c r="G14">
        <f>IF(CPS!H11&gt;0,CPS!H11,"")</f>
        <v>14.41</v>
      </c>
      <c r="H14">
        <f>IF(CPS!I11&gt;0,CPS!I11,"")</f>
        <v>13.96</v>
      </c>
      <c r="I14">
        <f>IF(CPS!J11&gt;0,CPS!J11,"")</f>
        <v>13.81</v>
      </c>
      <c r="J14">
        <f>IF(CPS!K11&gt;0,CPS!K11,"")</f>
        <v>13.81</v>
      </c>
      <c r="K14">
        <f>IF(CPS!L11&gt;0,CPS!L11,"")</f>
        <v>12.85</v>
      </c>
      <c r="L14">
        <f>IF(CPS!M11&gt;0,CPS!M11,"")</f>
        <v>12.8</v>
      </c>
      <c r="M14">
        <f>IF(CPS!N11&gt;0,CPS!N11,"")</f>
        <v>12.8</v>
      </c>
      <c r="N14">
        <f>IF(CPS!O11&gt;0,CPS!O11,"")</f>
        <v>11.8</v>
      </c>
      <c r="O14">
        <f>IF(CPS!P11&gt;0,CPS!P11,"")</f>
        <v>11.8</v>
      </c>
      <c r="P14">
        <f>IF(CPS!Q11&gt;0,CPS!Q11,"")</f>
        <v>11.8</v>
      </c>
    </row>
    <row r="21" spans="1:16" x14ac:dyDescent="0.2">
      <c r="B21" t="str">
        <f>IF(CPS!C1&gt;0,CPS!C1,"")</f>
        <v>APR</v>
      </c>
      <c r="C21" t="str">
        <f>IF(CPS!D1&gt;0,CPS!D1,"")</f>
        <v>MAY</v>
      </c>
      <c r="D21" t="str">
        <f>IF(CPS!E1&gt;0,CPS!E1,"")</f>
        <v>JUN</v>
      </c>
      <c r="E21" t="str">
        <f>IF(CPS!F1&gt;0,CPS!F1,"")</f>
        <v>JUL</v>
      </c>
      <c r="F21" t="str">
        <f>IF(CPS!G1&gt;0,CPS!G1,"")</f>
        <v>AUG</v>
      </c>
      <c r="G21" t="str">
        <f>IF(CPS!H1&gt;0,CPS!H1,"")</f>
        <v>SEP</v>
      </c>
      <c r="H21" t="str">
        <f>IF(CPS!I1&gt;0,CPS!I1,"")</f>
        <v>OCT</v>
      </c>
      <c r="I21" t="str">
        <f>IF(CPS!J1&gt;0,CPS!J1,"")</f>
        <v>NOV</v>
      </c>
      <c r="J21" t="str">
        <f>IF(CPS!K1&gt;0,CPS!K1,"")</f>
        <v>DEC</v>
      </c>
      <c r="K21" t="str">
        <f>IF(CPS!L1&gt;0,CPS!L1,"")</f>
        <v>JAN'27</v>
      </c>
      <c r="L21" t="str">
        <f>IF(CPS!M1&gt;0,CPS!M1,"")</f>
        <v>FEB'27</v>
      </c>
      <c r="M21" t="str">
        <f>IF(CPS!N1&gt;0,CPS!N1,"")</f>
        <v>MAR'27</v>
      </c>
      <c r="N21" t="str">
        <f>IF(CPS!O1&gt;0,CPS!O1,"")</f>
        <v>APR'27</v>
      </c>
      <c r="O21" t="str">
        <f>IF(CPS!P1&gt;0,CPS!P1,"")</f>
        <v>MAY'27</v>
      </c>
      <c r="P21" t="str">
        <f>IF(CPS!Q1&gt;0,CPS!Q1,"")</f>
        <v>JUN'27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APR</v>
      </c>
      <c r="C31" t="str">
        <f>IF(CPS!D1&gt;0,CPS!D1,"")</f>
        <v>MAY</v>
      </c>
      <c r="D31" t="str">
        <f>IF(CPS!E1&gt;0,CPS!E1,"")</f>
        <v>JUN</v>
      </c>
      <c r="E31" t="str">
        <f>IF(CPS!F1&gt;0,CPS!F1,"")</f>
        <v>JUL</v>
      </c>
      <c r="F31" t="str">
        <f>IF(CPS!G1&gt;0,CPS!G1,"")</f>
        <v>AUG</v>
      </c>
      <c r="G31" t="str">
        <f>IF(CPS!H1&gt;0,CPS!H1,"")</f>
        <v>SEP</v>
      </c>
      <c r="H31" t="str">
        <f>IF(CPS!I1&gt;0,CPS!I1,"")</f>
        <v>OCT</v>
      </c>
      <c r="I31" t="str">
        <f>IF(CPS!J1&gt;0,CPS!J1,"")</f>
        <v>NOV</v>
      </c>
      <c r="J31" t="str">
        <f>IF(CPS!K1&gt;0,CPS!K1,"")</f>
        <v>DEC</v>
      </c>
      <c r="K31" t="str">
        <f>IF(CPS!L1&gt;0,CPS!L1,"")</f>
        <v>JAN'27</v>
      </c>
      <c r="L31" t="str">
        <f>IF(CPS!M1&gt;0,CPS!M1,"")</f>
        <v>FEB'27</v>
      </c>
      <c r="M31" t="str">
        <f>IF(CPS!N1&gt;0,CPS!N1,"")</f>
        <v>MAR'27</v>
      </c>
      <c r="N31" t="str">
        <f>IF(CPS!O1&gt;0,CPS!O1,"")</f>
        <v>APR'27</v>
      </c>
      <c r="O31" t="str">
        <f>IF(CPS!P1&gt;0,CPS!P1,"")</f>
        <v>MAY'27</v>
      </c>
      <c r="P31" t="str">
        <f>IF(CPS!Q1&gt;0,CPS!Q1,"")</f>
        <v>JUN'27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Q2</v>
      </c>
      <c r="C41" t="str">
        <f>IF(CPS!D31&gt;0,CPS!D31,"")</f>
        <v>Q3</v>
      </c>
      <c r="D41" t="str">
        <f>IF(CPS!E31&gt;0,CPS!E31,"")</f>
        <v>Q4</v>
      </c>
      <c r="E41" t="str">
        <f>IF(CPS!F31&gt;0,CPS!F31,"")</f>
        <v>Q1'27</v>
      </c>
      <c r="F41" t="str">
        <f>IF(CPS!G31&gt;0,CPS!G31,"")</f>
        <v>Q2'27</v>
      </c>
    </row>
    <row r="42" spans="1:16" x14ac:dyDescent="0.2">
      <c r="A42" t="str">
        <f>IF(CPS!B32&gt;0,CPS!B32,"")</f>
        <v>Staff</v>
      </c>
      <c r="B42">
        <f>IF(CPS!C32&gt;0,CPS!C32,"")</f>
        <v>17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17.68333333</v>
      </c>
      <c r="C44">
        <f>IF(CPS!D34&gt;0,CPS!D34,"")</f>
        <v>14.96666667</v>
      </c>
      <c r="D44">
        <f>IF(CPS!E34&gt;0,CPS!E34,"")</f>
        <v>13.86</v>
      </c>
      <c r="E44">
        <f>IF(CPS!F34&gt;0,CPS!F34,"")</f>
        <v>12.81666667</v>
      </c>
      <c r="F44">
        <f>IF(CPS!G34&gt;0,CPS!G34,"")</f>
        <v>12</v>
      </c>
    </row>
    <row r="45" spans="1:16" x14ac:dyDescent="0.2">
      <c r="A45" t="str">
        <f>IF(CPS!B41&gt;0,CPS!B41,"")</f>
        <v>PAYROLL</v>
      </c>
      <c r="B45">
        <f>IF(CPS!C41&gt;0,CPS!C41,"")</f>
        <v>18</v>
      </c>
      <c r="C45">
        <f>IF(CPS!D41&gt;0,CPS!D41,"")</f>
        <v>15</v>
      </c>
      <c r="D45">
        <f>IF(CPS!E41&gt;0,CPS!E41,"")</f>
        <v>14</v>
      </c>
      <c r="E45">
        <f>IF(CPS!F41&gt;0,CPS!F41,"")</f>
        <v>13</v>
      </c>
      <c r="F45">
        <f>IF(CPS!G41&gt;0,CPS!G41,"")</f>
        <v>12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49" t="str">
        <f>CPS!A66</f>
        <v>Business Development &amp; Partnerships</v>
      </c>
      <c r="B51" t="str">
        <f>CPS!C61</f>
        <v>APR</v>
      </c>
      <c r="C51" t="str">
        <f>CPS!D61</f>
        <v>MAY</v>
      </c>
      <c r="D51" t="str">
        <f>CPS!E61</f>
        <v>JUN</v>
      </c>
      <c r="E51" t="str">
        <f>CPS!F61</f>
        <v>JUL</v>
      </c>
      <c r="F51" t="str">
        <f>CPS!G61</f>
        <v>AUG</v>
      </c>
      <c r="G51" t="str">
        <f>CPS!H61</f>
        <v>SEP</v>
      </c>
      <c r="H51" t="str">
        <f>CPS!I61</f>
        <v>OCT</v>
      </c>
      <c r="I51" t="str">
        <f>CPS!J61</f>
        <v>NOV</v>
      </c>
      <c r="J51" t="str">
        <f>CPS!K61</f>
        <v>DEC</v>
      </c>
      <c r="K51" t="str">
        <f>CPS!L61</f>
        <v>JAN'27</v>
      </c>
      <c r="L51" t="str">
        <f>CPS!M61</f>
        <v>FEB'27</v>
      </c>
      <c r="M51" t="str">
        <f>CPS!N61</f>
        <v>MAR'27</v>
      </c>
      <c r="N51" t="str">
        <f>CPS!O61</f>
        <v>APR'27</v>
      </c>
      <c r="O51" t="str">
        <f>CPS!P61</f>
        <v>MAY'27</v>
      </c>
      <c r="P51" t="str">
        <f>CPS!Q61</f>
        <v>JUN'27</v>
      </c>
    </row>
    <row r="52" spans="1:16" x14ac:dyDescent="0.2">
      <c r="A52" t="str">
        <f>CPS!B66</f>
        <v>Staff</v>
      </c>
      <c r="B52">
        <f>CPS!C66</f>
        <v>11</v>
      </c>
      <c r="C52">
        <f>CPS!D66</f>
        <v>11</v>
      </c>
      <c r="D52">
        <f>CPS!E66</f>
        <v>11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11.45</v>
      </c>
      <c r="C53">
        <f>CPS!D67</f>
        <v>11.75</v>
      </c>
      <c r="D53">
        <f>CPS!E67</f>
        <v>11.85</v>
      </c>
      <c r="E53">
        <f>CPS!F67</f>
        <v>9.07</v>
      </c>
      <c r="F53">
        <f>CPS!G67</f>
        <v>9.42</v>
      </c>
      <c r="G53">
        <f>CPS!H67</f>
        <v>8.41</v>
      </c>
      <c r="H53">
        <f>CPS!I67</f>
        <v>7.96</v>
      </c>
      <c r="I53">
        <f>CPS!J67</f>
        <v>7.81</v>
      </c>
      <c r="J53">
        <f>CPS!K67</f>
        <v>7.81</v>
      </c>
      <c r="K53">
        <f>CPS!L67</f>
        <v>6.85</v>
      </c>
      <c r="L53">
        <f>CPS!M67</f>
        <v>6.8</v>
      </c>
      <c r="M53">
        <f>CPS!N67</f>
        <v>6.8</v>
      </c>
      <c r="N53">
        <f>CPS!O67</f>
        <v>5.8</v>
      </c>
      <c r="O53">
        <f>CPS!P67</f>
        <v>5.8</v>
      </c>
      <c r="P53">
        <f>CPS!Q67</f>
        <v>5.8</v>
      </c>
    </row>
    <row r="54" spans="1:16" s="57" customFormat="1" x14ac:dyDescent="0.2">
      <c r="A54" s="57" t="s">
        <v>24</v>
      </c>
      <c r="B54" s="58">
        <f>B52-B53</f>
        <v>-0.44999999999999929</v>
      </c>
      <c r="C54" s="58">
        <f t="shared" ref="C54:P54" si="0">C52-C53</f>
        <v>-0.75</v>
      </c>
      <c r="D54" s="58">
        <f t="shared" si="0"/>
        <v>-0.84999999999999964</v>
      </c>
      <c r="E54" s="58">
        <f t="shared" si="0"/>
        <v>1.9299999999999997</v>
      </c>
      <c r="F54" s="58">
        <f t="shared" si="0"/>
        <v>1.58</v>
      </c>
      <c r="G54" s="58">
        <f t="shared" si="0"/>
        <v>2.59</v>
      </c>
      <c r="H54" s="58">
        <f t="shared" si="0"/>
        <v>3.04</v>
      </c>
      <c r="I54" s="58">
        <f t="shared" si="0"/>
        <v>3.1900000000000004</v>
      </c>
      <c r="J54" s="58">
        <f t="shared" si="0"/>
        <v>3.1900000000000004</v>
      </c>
      <c r="K54" s="58">
        <f t="shared" si="0"/>
        <v>4.1500000000000004</v>
      </c>
      <c r="L54" s="58">
        <f t="shared" si="0"/>
        <v>4.2</v>
      </c>
      <c r="M54" s="58">
        <f t="shared" si="0"/>
        <v>4.2</v>
      </c>
      <c r="N54" s="58">
        <f t="shared" si="0"/>
        <v>5.2</v>
      </c>
      <c r="O54" s="58">
        <f t="shared" si="0"/>
        <v>5.2</v>
      </c>
      <c r="P54" s="58">
        <f t="shared" si="0"/>
        <v>5.2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106.2121212121212</v>
      </c>
      <c r="C56" s="50">
        <f>(AVERAGE(E53:G53)/AVERAGE(E52:G52))*100</f>
        <v>81.515151515151516</v>
      </c>
      <c r="D56" s="50">
        <f>(AVERAGE(H53:J53)/AVERAGE(H52:J52))*100</f>
        <v>71.454545454545453</v>
      </c>
      <c r="E56" s="50">
        <f>(AVERAGE(K53:M53)/AVERAGE(K52:M52))*100</f>
        <v>61.969696969696962</v>
      </c>
      <c r="F56" s="50">
        <f>(AVERAGE(N53:P53)/AVERAGE(N52:P52))*100</f>
        <v>52.72727272727272</v>
      </c>
    </row>
    <row r="61" spans="1:16" x14ac:dyDescent="0.2">
      <c r="A61" s="49" t="str">
        <f>CPS!A68</f>
        <v>Product Commercialization</v>
      </c>
      <c r="B61" t="str">
        <f>CPS!C61</f>
        <v>APR</v>
      </c>
      <c r="C61" t="str">
        <f>CPS!D61</f>
        <v>MAY</v>
      </c>
      <c r="D61" t="str">
        <f>CPS!E61</f>
        <v>JUN</v>
      </c>
      <c r="E61" t="str">
        <f>CPS!F61</f>
        <v>JUL</v>
      </c>
      <c r="F61" t="str">
        <f>CPS!G61</f>
        <v>AUG</v>
      </c>
      <c r="G61" t="str">
        <f>CPS!H61</f>
        <v>SEP</v>
      </c>
      <c r="H61" t="str">
        <f>CPS!I61</f>
        <v>OCT</v>
      </c>
      <c r="I61" t="str">
        <f>CPS!J61</f>
        <v>NOV</v>
      </c>
      <c r="J61" t="str">
        <f>CPS!K61</f>
        <v>DEC</v>
      </c>
      <c r="K61" t="str">
        <f>CPS!L61</f>
        <v>JAN'27</v>
      </c>
      <c r="L61" t="str">
        <f>CPS!M61</f>
        <v>FEB'27</v>
      </c>
      <c r="M61" t="str">
        <f>CPS!N61</f>
        <v>MAR'27</v>
      </c>
      <c r="N61" t="str">
        <f>CPS!O61</f>
        <v>APR'27</v>
      </c>
      <c r="O61" t="str">
        <f>CPS!P61</f>
        <v>MAY'27</v>
      </c>
      <c r="P61" t="str">
        <f>CPS!Q61</f>
        <v>JUN'27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5</v>
      </c>
      <c r="C63">
        <f>CPS!D69</f>
        <v>5</v>
      </c>
      <c r="D63">
        <f>CPS!E69</f>
        <v>5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57" customFormat="1" x14ac:dyDescent="0.2">
      <c r="A64" s="57" t="s">
        <v>24</v>
      </c>
      <c r="B64" s="58">
        <f>B62-B63</f>
        <v>0</v>
      </c>
      <c r="C64" s="58">
        <f t="shared" ref="C64:P64" si="2">C62-C63</f>
        <v>0</v>
      </c>
      <c r="D64" s="58">
        <f t="shared" si="2"/>
        <v>0</v>
      </c>
      <c r="E64" s="58">
        <f t="shared" si="2"/>
        <v>0</v>
      </c>
      <c r="F64" s="58">
        <f t="shared" si="2"/>
        <v>0</v>
      </c>
      <c r="G64" s="58">
        <f t="shared" si="2"/>
        <v>0</v>
      </c>
      <c r="H64" s="58">
        <f t="shared" si="2"/>
        <v>0</v>
      </c>
      <c r="I64" s="58">
        <f t="shared" si="2"/>
        <v>0</v>
      </c>
      <c r="J64" s="58">
        <f t="shared" si="2"/>
        <v>0</v>
      </c>
      <c r="K64" s="58">
        <f t="shared" si="2"/>
        <v>0</v>
      </c>
      <c r="L64" s="58">
        <f t="shared" si="2"/>
        <v>0</v>
      </c>
      <c r="M64" s="58">
        <f t="shared" si="2"/>
        <v>0</v>
      </c>
      <c r="N64" s="58">
        <f t="shared" si="2"/>
        <v>0</v>
      </c>
      <c r="O64" s="58">
        <f t="shared" si="2"/>
        <v>0</v>
      </c>
      <c r="P64" s="58">
        <f t="shared" si="2"/>
        <v>0</v>
      </c>
    </row>
    <row r="65" spans="1: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6" s="50" customFormat="1" x14ac:dyDescent="0.2">
      <c r="A66" s="50" t="str">
        <f>$A$156</f>
        <v>% Plan</v>
      </c>
      <c r="B66" s="50">
        <f>(AVERAGE(B63:D63)/AVERAGE(B62:D62))*100</f>
        <v>100</v>
      </c>
      <c r="C66" s="50">
        <f>(AVERAGE(E63:G63)/AVERAGE(E62:G62))*100</f>
        <v>100</v>
      </c>
      <c r="D66" s="50">
        <f>(AVERAGE(H63:J63)/AVERAGE(H62:J62))*100</f>
        <v>100</v>
      </c>
      <c r="E66" s="50">
        <f>(AVERAGE(K63:M63)/AVERAGE(K62:M62))*100</f>
        <v>100</v>
      </c>
      <c r="F66" s="50">
        <f>(AVERAGE(N63:P63)/AVERAGE(N62:P62))*100</f>
        <v>100</v>
      </c>
    </row>
    <row r="151" spans="1:16" x14ac:dyDescent="0.2">
      <c r="B151" t="str">
        <f>CPS!C1</f>
        <v>APR</v>
      </c>
      <c r="C151" t="str">
        <f>CPS!D1</f>
        <v>MAY</v>
      </c>
      <c r="D151" t="str">
        <f>CPS!E1</f>
        <v>JUN</v>
      </c>
      <c r="E151" t="str">
        <f>CPS!F1</f>
        <v>JUL</v>
      </c>
      <c r="F151" t="str">
        <f>CPS!G1</f>
        <v>AUG</v>
      </c>
      <c r="G151" t="str">
        <f>CPS!H1</f>
        <v>SEP</v>
      </c>
      <c r="H151" t="str">
        <f>CPS!I1</f>
        <v>OCT</v>
      </c>
      <c r="I151" t="str">
        <f>CPS!J1</f>
        <v>NOV</v>
      </c>
      <c r="J151" t="str">
        <f>CPS!K1</f>
        <v>DEC</v>
      </c>
      <c r="K151" t="str">
        <f>CPS!L1</f>
        <v>JAN'27</v>
      </c>
      <c r="L151" t="str">
        <f>CPS!M1</f>
        <v>FEB'27</v>
      </c>
      <c r="M151" t="str">
        <f>CPS!N1</f>
        <v>MAR'27</v>
      </c>
      <c r="N151" t="str">
        <f>CPS!O1</f>
        <v>APR'27</v>
      </c>
      <c r="O151" t="str">
        <f>CPS!P1</f>
        <v>MAY'27</v>
      </c>
      <c r="P151" t="str">
        <f>CPS!Q1</f>
        <v>JUN'27</v>
      </c>
    </row>
    <row r="152" spans="1:16" x14ac:dyDescent="0.2">
      <c r="A152" t="str">
        <f>CPS!B6</f>
        <v>% Plan</v>
      </c>
      <c r="B152">
        <f>CPS!C6*100</f>
        <v>102.64999999999999</v>
      </c>
      <c r="C152">
        <f>CPS!D6*100</f>
        <v>104.41</v>
      </c>
      <c r="D152">
        <f>CPS!E6*100</f>
        <v>105</v>
      </c>
      <c r="E152">
        <f>CPS!F6*100</f>
        <v>88.649999999999991</v>
      </c>
      <c r="F152">
        <f>CPS!G6*100</f>
        <v>90.710000000000008</v>
      </c>
      <c r="G152">
        <f>CPS!H6*100</f>
        <v>84.76</v>
      </c>
      <c r="H152">
        <f>CPS!I6*100</f>
        <v>82.12</v>
      </c>
      <c r="I152">
        <f>CPS!J6*100</f>
        <v>81.239999999999995</v>
      </c>
      <c r="J152">
        <f>CPS!K6*100</f>
        <v>81.239999999999995</v>
      </c>
      <c r="K152">
        <f>CPS!L6*100</f>
        <v>75.59</v>
      </c>
      <c r="L152">
        <f>CPS!M6*100</f>
        <v>75.290000000000006</v>
      </c>
      <c r="M152">
        <f>CPS!N6*100</f>
        <v>75.290000000000006</v>
      </c>
      <c r="N152">
        <f>CPS!O6*100</f>
        <v>69.410000000000011</v>
      </c>
      <c r="O152">
        <f>CPS!P6*100</f>
        <v>69.410000000000011</v>
      </c>
      <c r="P152">
        <f>CPS!Q6*100</f>
        <v>69.410000000000011</v>
      </c>
    </row>
    <row r="153" spans="1:16" x14ac:dyDescent="0.2">
      <c r="A153" t="str">
        <f>CPS!B7</f>
        <v>Available FTE</v>
      </c>
      <c r="B153">
        <f>CPS!C7</f>
        <v>0</v>
      </c>
      <c r="C153">
        <f>CPS!D7</f>
        <v>-1</v>
      </c>
      <c r="D153">
        <f>CPS!E7</f>
        <v>-1</v>
      </c>
      <c r="E153">
        <f>CPS!F7</f>
        <v>2</v>
      </c>
      <c r="F153">
        <f>CPS!G7</f>
        <v>2</v>
      </c>
      <c r="G153">
        <f>CPS!H7</f>
        <v>3</v>
      </c>
      <c r="H153">
        <f>CPS!I7</f>
        <v>3</v>
      </c>
      <c r="I153">
        <f>CPS!J7</f>
        <v>3</v>
      </c>
      <c r="J153">
        <f>CPS!K7</f>
        <v>3</v>
      </c>
      <c r="K153">
        <f>CPS!L7</f>
        <v>4</v>
      </c>
      <c r="L153">
        <f>CPS!M7</f>
        <v>4</v>
      </c>
      <c r="M153">
        <f>CPS!N7</f>
        <v>4</v>
      </c>
      <c r="N153">
        <f>CPS!O7</f>
        <v>5</v>
      </c>
      <c r="O153">
        <f>CPS!P7</f>
        <v>5</v>
      </c>
      <c r="P153">
        <f>CPS!Q7</f>
        <v>5</v>
      </c>
    </row>
    <row r="155" spans="1:16" x14ac:dyDescent="0.2">
      <c r="B155" t="str">
        <f>CPS!C31</f>
        <v>Q2</v>
      </c>
      <c r="C155" t="str">
        <f>CPS!D31</f>
        <v>Q3</v>
      </c>
      <c r="D155" t="str">
        <f>CPS!E31</f>
        <v>Q4</v>
      </c>
      <c r="E155" t="str">
        <f>CPS!F31</f>
        <v>Q1'27</v>
      </c>
      <c r="F155" t="str">
        <f>CPS!G31</f>
        <v>Q2'27</v>
      </c>
    </row>
    <row r="156" spans="1:16" x14ac:dyDescent="0.2">
      <c r="A156" t="str">
        <f>CPS!B6</f>
        <v>% Plan</v>
      </c>
      <c r="B156">
        <f>CPS!C36*100</f>
        <v>104.02</v>
      </c>
      <c r="C156">
        <f>CPS!D36*100</f>
        <v>88.039999999999992</v>
      </c>
      <c r="D156">
        <f>CPS!E36*100</f>
        <v>81.53</v>
      </c>
      <c r="E156">
        <f>CPS!F36*100</f>
        <v>75.39</v>
      </c>
      <c r="F156">
        <f>CPS!G36*100</f>
        <v>69.410000000000011</v>
      </c>
    </row>
    <row r="157" spans="1:16" x14ac:dyDescent="0.2">
      <c r="A157" t="str">
        <f>CPS!B7</f>
        <v>Available FTE</v>
      </c>
      <c r="B157">
        <f>CPS!C37</f>
        <v>-1</v>
      </c>
      <c r="C157">
        <f>CPS!D37</f>
        <v>2</v>
      </c>
      <c r="D157">
        <f>CPS!E37</f>
        <v>3</v>
      </c>
      <c r="E157">
        <f>CPS!F37</f>
        <v>4</v>
      </c>
      <c r="F157">
        <f>CPS!G37</f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workbookViewId="0">
      <pane ySplit="1" topLeftCell="A2" activePane="bottomLeft" state="frozen"/>
      <selection pane="bottomLeft" activeCell="C61" sqref="C61:Q7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31</v>
      </c>
      <c r="B2" s="6" t="s">
        <v>16</v>
      </c>
      <c r="C2" s="7">
        <v>48</v>
      </c>
      <c r="D2" s="7">
        <v>48</v>
      </c>
      <c r="E2" s="7">
        <v>48</v>
      </c>
      <c r="F2" s="7">
        <v>48</v>
      </c>
      <c r="G2" s="7">
        <v>48</v>
      </c>
      <c r="H2" s="7">
        <v>48</v>
      </c>
      <c r="I2" s="7">
        <v>48</v>
      </c>
      <c r="J2" s="7">
        <v>48</v>
      </c>
      <c r="K2" s="7">
        <v>48</v>
      </c>
      <c r="L2" s="7">
        <v>48</v>
      </c>
      <c r="M2" s="7">
        <v>48</v>
      </c>
      <c r="N2" s="7">
        <v>48</v>
      </c>
      <c r="O2" s="7">
        <v>48</v>
      </c>
      <c r="P2" s="7">
        <v>48</v>
      </c>
      <c r="Q2" s="7">
        <v>48</v>
      </c>
    </row>
    <row r="3" spans="1:17" x14ac:dyDescent="0.2">
      <c r="A3" s="11" t="s">
        <v>31</v>
      </c>
      <c r="B3" s="8" t="s">
        <v>17</v>
      </c>
      <c r="C3" s="7">
        <v>48</v>
      </c>
      <c r="D3" s="7">
        <v>48</v>
      </c>
      <c r="E3" s="7">
        <v>48</v>
      </c>
      <c r="F3" s="7">
        <v>48</v>
      </c>
      <c r="G3" s="7">
        <v>48</v>
      </c>
      <c r="H3" s="7">
        <v>48</v>
      </c>
      <c r="I3" s="7">
        <v>48</v>
      </c>
      <c r="J3" s="7">
        <v>48</v>
      </c>
      <c r="K3" s="7">
        <v>48</v>
      </c>
      <c r="L3" s="7">
        <v>48</v>
      </c>
      <c r="M3" s="7">
        <v>48</v>
      </c>
      <c r="N3" s="7">
        <v>48</v>
      </c>
      <c r="O3" s="7">
        <v>48</v>
      </c>
      <c r="P3" s="7">
        <v>48</v>
      </c>
      <c r="Q3" s="7">
        <v>48</v>
      </c>
    </row>
    <row r="4" spans="1:17" x14ac:dyDescent="0.2">
      <c r="A4" s="12" t="s">
        <v>31</v>
      </c>
      <c r="B4" s="9" t="s">
        <v>18</v>
      </c>
      <c r="C4" s="7">
        <v>45</v>
      </c>
      <c r="D4" s="7">
        <v>47</v>
      </c>
      <c r="E4" s="7">
        <v>43</v>
      </c>
      <c r="F4" s="7">
        <v>41</v>
      </c>
      <c r="G4" s="7">
        <v>41</v>
      </c>
      <c r="H4" s="7">
        <v>38</v>
      </c>
      <c r="I4" s="7">
        <v>36</v>
      </c>
      <c r="J4" s="7">
        <v>35</v>
      </c>
      <c r="K4" s="7">
        <v>35</v>
      </c>
      <c r="L4" s="7">
        <v>25</v>
      </c>
      <c r="M4" s="7">
        <v>25</v>
      </c>
      <c r="N4" s="7">
        <v>26</v>
      </c>
      <c r="O4" s="7">
        <v>23.774999999999999</v>
      </c>
      <c r="P4" s="7">
        <v>22.574999999999999</v>
      </c>
      <c r="Q4" s="7">
        <v>21.9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0.94650000000000001</v>
      </c>
      <c r="D6" s="18">
        <v>0.97150000000000003</v>
      </c>
      <c r="E6" s="18">
        <v>0.88680000000000003</v>
      </c>
      <c r="F6" s="18">
        <v>0.8639</v>
      </c>
      <c r="G6" s="18">
        <v>0.84789999999999999</v>
      </c>
      <c r="H6" s="18">
        <v>0.7974</v>
      </c>
      <c r="I6" s="18">
        <v>0.74429999999999996</v>
      </c>
      <c r="J6" s="18">
        <v>0.73440000000000005</v>
      </c>
      <c r="K6" s="18">
        <v>0.72919999999999996</v>
      </c>
      <c r="L6" s="18">
        <v>0.51039999999999996</v>
      </c>
      <c r="M6" s="18">
        <v>0.51039999999999996</v>
      </c>
      <c r="N6" s="18">
        <v>0.53910000000000002</v>
      </c>
      <c r="O6" s="18">
        <v>0.49530000000000002</v>
      </c>
      <c r="P6" s="18">
        <v>0.4703</v>
      </c>
      <c r="Q6" s="18">
        <v>0.45629999999999998</v>
      </c>
    </row>
    <row r="7" spans="1:17" x14ac:dyDescent="0.2">
      <c r="A7" s="16"/>
      <c r="B7" s="17" t="s">
        <v>24</v>
      </c>
      <c r="C7" s="19">
        <v>3</v>
      </c>
      <c r="D7" s="19">
        <v>1</v>
      </c>
      <c r="E7" s="19">
        <v>5</v>
      </c>
      <c r="F7" s="19">
        <v>7</v>
      </c>
      <c r="G7" s="19">
        <v>7</v>
      </c>
      <c r="H7" s="19">
        <v>10</v>
      </c>
      <c r="I7" s="19">
        <v>12</v>
      </c>
      <c r="J7" s="19">
        <v>13</v>
      </c>
      <c r="K7" s="19">
        <v>13</v>
      </c>
      <c r="L7" s="19">
        <v>24</v>
      </c>
      <c r="M7" s="19">
        <v>24</v>
      </c>
      <c r="N7" s="19">
        <v>22</v>
      </c>
      <c r="O7" s="19">
        <v>24</v>
      </c>
      <c r="P7" s="19">
        <v>25</v>
      </c>
      <c r="Q7" s="19">
        <v>26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>
        <v>28</v>
      </c>
      <c r="J9" s="7">
        <v>28</v>
      </c>
      <c r="K9" s="7">
        <v>28</v>
      </c>
      <c r="L9" s="7">
        <v>28</v>
      </c>
      <c r="M9" s="7">
        <v>28</v>
      </c>
      <c r="N9" s="7">
        <v>28</v>
      </c>
      <c r="O9" s="7">
        <v>28</v>
      </c>
      <c r="P9" s="7">
        <v>28</v>
      </c>
      <c r="Q9" s="7">
        <v>28</v>
      </c>
    </row>
    <row r="10" spans="1:17" x14ac:dyDescent="0.2">
      <c r="A10" s="8" t="s">
        <v>17</v>
      </c>
      <c r="B10" s="11" t="s">
        <v>19</v>
      </c>
      <c r="C10" s="7">
        <v>28</v>
      </c>
      <c r="D10" s="7">
        <v>28</v>
      </c>
      <c r="E10" s="7">
        <v>28</v>
      </c>
      <c r="F10" s="7">
        <v>28</v>
      </c>
      <c r="G10" s="7">
        <v>28</v>
      </c>
      <c r="H10" s="7">
        <v>28</v>
      </c>
      <c r="I10" s="7">
        <v>28</v>
      </c>
      <c r="J10" s="7">
        <v>28</v>
      </c>
      <c r="K10" s="7">
        <v>28</v>
      </c>
      <c r="L10" s="7">
        <v>28</v>
      </c>
      <c r="M10" s="7">
        <v>28</v>
      </c>
      <c r="N10" s="7">
        <v>28</v>
      </c>
      <c r="O10" s="7">
        <v>28</v>
      </c>
      <c r="P10" s="7">
        <v>28</v>
      </c>
      <c r="Q10" s="7">
        <v>28</v>
      </c>
    </row>
    <row r="11" spans="1:17" x14ac:dyDescent="0.2">
      <c r="A11" s="15" t="s">
        <v>18</v>
      </c>
      <c r="B11" s="12" t="s">
        <v>19</v>
      </c>
      <c r="C11" s="7">
        <v>27</v>
      </c>
      <c r="D11" s="7">
        <v>27</v>
      </c>
      <c r="E11" s="7">
        <v>24</v>
      </c>
      <c r="F11" s="7">
        <v>24</v>
      </c>
      <c r="G11" s="7">
        <v>23</v>
      </c>
      <c r="H11" s="7">
        <v>21</v>
      </c>
      <c r="I11" s="7">
        <v>21</v>
      </c>
      <c r="J11" s="7">
        <v>20</v>
      </c>
      <c r="K11" s="7">
        <v>20</v>
      </c>
      <c r="L11" s="7">
        <v>16</v>
      </c>
      <c r="M11" s="7">
        <v>16</v>
      </c>
      <c r="N11" s="7">
        <v>18</v>
      </c>
      <c r="O11" s="7">
        <v>15.4</v>
      </c>
      <c r="P11" s="7">
        <v>14.2</v>
      </c>
      <c r="Q11" s="7">
        <v>13.525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17</v>
      </c>
      <c r="D13" s="7">
        <v>17</v>
      </c>
      <c r="E13" s="7">
        <v>17</v>
      </c>
      <c r="F13" s="7">
        <v>17</v>
      </c>
      <c r="G13" s="7">
        <v>17</v>
      </c>
      <c r="H13" s="7">
        <v>17</v>
      </c>
      <c r="I13" s="7">
        <v>17</v>
      </c>
      <c r="J13" s="7">
        <v>17</v>
      </c>
      <c r="K13" s="7">
        <v>17</v>
      </c>
      <c r="L13" s="7">
        <v>17</v>
      </c>
      <c r="M13" s="7">
        <v>17</v>
      </c>
      <c r="N13" s="7">
        <v>17</v>
      </c>
      <c r="O13" s="7">
        <v>17</v>
      </c>
      <c r="P13" s="7">
        <v>17</v>
      </c>
      <c r="Q13" s="7">
        <v>17</v>
      </c>
    </row>
    <row r="14" spans="1:17" x14ac:dyDescent="0.2">
      <c r="A14" s="8" t="s">
        <v>17</v>
      </c>
      <c r="B14" s="11" t="s">
        <v>20</v>
      </c>
      <c r="C14" s="7">
        <v>17</v>
      </c>
      <c r="D14" s="7">
        <v>17</v>
      </c>
      <c r="E14" s="7">
        <v>17</v>
      </c>
      <c r="F14" s="7">
        <v>17</v>
      </c>
      <c r="G14" s="7">
        <v>17</v>
      </c>
      <c r="H14" s="7">
        <v>17</v>
      </c>
      <c r="I14" s="7">
        <v>17</v>
      </c>
      <c r="J14" s="7">
        <v>17</v>
      </c>
      <c r="K14" s="7">
        <v>17</v>
      </c>
      <c r="L14" s="7">
        <v>17</v>
      </c>
      <c r="M14" s="7">
        <v>17</v>
      </c>
      <c r="N14" s="7">
        <v>17</v>
      </c>
      <c r="O14" s="7">
        <v>17</v>
      </c>
      <c r="P14" s="7">
        <v>17</v>
      </c>
      <c r="Q14" s="7">
        <v>17</v>
      </c>
    </row>
    <row r="15" spans="1:17" x14ac:dyDescent="0.2">
      <c r="A15" s="15" t="s">
        <v>18</v>
      </c>
      <c r="B15" s="12" t="s">
        <v>20</v>
      </c>
      <c r="C15" s="7">
        <v>17</v>
      </c>
      <c r="D15" s="7">
        <v>17</v>
      </c>
      <c r="E15" s="7">
        <v>16</v>
      </c>
      <c r="F15" s="7">
        <v>15</v>
      </c>
      <c r="G15" s="7">
        <v>15</v>
      </c>
      <c r="H15" s="7">
        <v>15</v>
      </c>
      <c r="I15" s="7">
        <v>14</v>
      </c>
      <c r="J15" s="7">
        <v>14</v>
      </c>
      <c r="K15" s="7">
        <v>14</v>
      </c>
      <c r="L15" s="7">
        <v>8</v>
      </c>
      <c r="M15" s="7">
        <v>8</v>
      </c>
      <c r="N15" s="7">
        <v>8</v>
      </c>
      <c r="O15" s="7">
        <v>7.625</v>
      </c>
      <c r="P15" s="7">
        <v>7.625</v>
      </c>
      <c r="Q15" s="7">
        <v>7.625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3</v>
      </c>
      <c r="D17" s="7">
        <v>3</v>
      </c>
      <c r="E17" s="7">
        <v>3</v>
      </c>
      <c r="F17" s="7">
        <v>3</v>
      </c>
      <c r="G17" s="7">
        <v>3</v>
      </c>
      <c r="H17" s="7">
        <v>3</v>
      </c>
      <c r="I17" s="7">
        <v>3</v>
      </c>
      <c r="J17" s="7">
        <v>3</v>
      </c>
      <c r="K17" s="7">
        <v>3</v>
      </c>
      <c r="L17" s="7">
        <v>3</v>
      </c>
      <c r="M17" s="7">
        <v>3</v>
      </c>
      <c r="N17" s="7">
        <v>3</v>
      </c>
      <c r="O17" s="7">
        <v>3</v>
      </c>
      <c r="P17" s="7">
        <v>3</v>
      </c>
      <c r="Q17" s="7">
        <v>3</v>
      </c>
    </row>
    <row r="18" spans="1:17" x14ac:dyDescent="0.2">
      <c r="A18" s="8" t="s">
        <v>17</v>
      </c>
      <c r="B18" s="11" t="s">
        <v>21</v>
      </c>
      <c r="C18" s="7">
        <v>2</v>
      </c>
      <c r="D18" s="7">
        <v>2</v>
      </c>
      <c r="E18" s="7">
        <v>2</v>
      </c>
      <c r="F18" s="7">
        <v>2</v>
      </c>
      <c r="G18" s="7">
        <v>2</v>
      </c>
      <c r="H18" s="7">
        <v>2</v>
      </c>
      <c r="I18" s="7">
        <v>2</v>
      </c>
      <c r="J18" s="7">
        <v>2</v>
      </c>
      <c r="K18" s="7">
        <v>2</v>
      </c>
      <c r="L18" s="7">
        <v>2</v>
      </c>
      <c r="M18" s="7">
        <v>2</v>
      </c>
      <c r="N18" s="7">
        <v>2</v>
      </c>
      <c r="O18" s="7">
        <v>2</v>
      </c>
      <c r="P18" s="7">
        <v>2</v>
      </c>
      <c r="Q18" s="7">
        <v>2</v>
      </c>
    </row>
    <row r="19" spans="1:17" x14ac:dyDescent="0.2">
      <c r="A19" s="15" t="s">
        <v>18</v>
      </c>
      <c r="B19" s="12" t="s">
        <v>21</v>
      </c>
      <c r="C19" s="7">
        <v>1</v>
      </c>
      <c r="D19" s="7">
        <v>3</v>
      </c>
      <c r="E19" s="7">
        <v>3</v>
      </c>
      <c r="F19" s="7">
        <v>3</v>
      </c>
      <c r="G19" s="7">
        <v>3</v>
      </c>
      <c r="H19" s="7">
        <v>3</v>
      </c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31</v>
      </c>
      <c r="B32" s="6" t="s">
        <v>16</v>
      </c>
      <c r="C32" s="20">
        <v>48</v>
      </c>
      <c r="D32" s="20">
        <v>48</v>
      </c>
      <c r="E32" s="20">
        <v>48</v>
      </c>
      <c r="F32" s="20">
        <v>48</v>
      </c>
      <c r="G32" s="20">
        <v>48</v>
      </c>
    </row>
    <row r="33" spans="1:7" x14ac:dyDescent="0.2">
      <c r="A33" s="11" t="s">
        <v>31</v>
      </c>
      <c r="B33" s="8" t="s">
        <v>17</v>
      </c>
      <c r="C33" s="20">
        <v>48</v>
      </c>
      <c r="D33" s="20">
        <v>48</v>
      </c>
      <c r="E33" s="20">
        <v>48</v>
      </c>
      <c r="F33" s="20">
        <v>48</v>
      </c>
      <c r="G33" s="20">
        <v>48</v>
      </c>
    </row>
    <row r="34" spans="1:7" x14ac:dyDescent="0.2">
      <c r="A34" s="12" t="s">
        <v>31</v>
      </c>
      <c r="B34" s="9" t="s">
        <v>18</v>
      </c>
      <c r="C34" s="20">
        <v>45</v>
      </c>
      <c r="D34" s="20">
        <v>40</v>
      </c>
      <c r="E34" s="20">
        <v>35</v>
      </c>
      <c r="F34" s="20">
        <v>25</v>
      </c>
      <c r="G34" s="20">
        <v>23</v>
      </c>
    </row>
    <row r="35" spans="1:7" x14ac:dyDescent="0.2">
      <c r="A35" s="16"/>
      <c r="B35" s="7"/>
      <c r="C35" s="24">
        <v>6.5100000000000005E-2</v>
      </c>
      <c r="D35" s="24">
        <v>0.1636</v>
      </c>
      <c r="E35" s="24">
        <v>0.2641</v>
      </c>
      <c r="F35" s="24">
        <v>0.48</v>
      </c>
      <c r="G35" s="24">
        <v>0.52600000000000002</v>
      </c>
    </row>
    <row r="36" spans="1:7" x14ac:dyDescent="0.2">
      <c r="A36" s="7"/>
      <c r="B36" s="17" t="s">
        <v>23</v>
      </c>
      <c r="C36" s="18">
        <v>0.93489999999999995</v>
      </c>
      <c r="D36" s="18">
        <v>0.83640000000000003</v>
      </c>
      <c r="E36" s="18">
        <v>0.7359</v>
      </c>
      <c r="F36" s="18">
        <v>0.52</v>
      </c>
      <c r="G36" s="18">
        <v>0.47399999999999998</v>
      </c>
    </row>
    <row r="37" spans="1:7" x14ac:dyDescent="0.2">
      <c r="A37" s="16"/>
      <c r="B37" s="17" t="s">
        <v>24</v>
      </c>
      <c r="C37" s="19">
        <v>3</v>
      </c>
      <c r="D37" s="19">
        <v>8</v>
      </c>
      <c r="E37" s="19">
        <v>13</v>
      </c>
      <c r="F37" s="19">
        <v>16</v>
      </c>
      <c r="G37" s="19">
        <v>25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28</v>
      </c>
      <c r="D39" s="20">
        <v>28</v>
      </c>
      <c r="E39" s="20">
        <v>28</v>
      </c>
      <c r="F39" s="20">
        <v>28</v>
      </c>
      <c r="G39" s="20">
        <v>28</v>
      </c>
    </row>
    <row r="40" spans="1:7" x14ac:dyDescent="0.2">
      <c r="A40" s="8" t="s">
        <v>17</v>
      </c>
      <c r="B40" s="11" t="s">
        <v>19</v>
      </c>
      <c r="C40" s="20">
        <v>28</v>
      </c>
      <c r="D40" s="20">
        <v>28</v>
      </c>
      <c r="E40" s="20">
        <v>28</v>
      </c>
      <c r="F40" s="20">
        <v>28</v>
      </c>
      <c r="G40" s="20">
        <v>28</v>
      </c>
    </row>
    <row r="41" spans="1:7" x14ac:dyDescent="0.2">
      <c r="A41" s="15" t="s">
        <v>18</v>
      </c>
      <c r="B41" s="12" t="s">
        <v>19</v>
      </c>
      <c r="C41" s="20">
        <v>26</v>
      </c>
      <c r="D41" s="20">
        <v>23</v>
      </c>
      <c r="E41" s="20">
        <v>20</v>
      </c>
      <c r="F41" s="20">
        <v>17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17</v>
      </c>
      <c r="D43" s="20">
        <v>17</v>
      </c>
      <c r="E43" s="20">
        <v>17</v>
      </c>
      <c r="F43" s="20">
        <v>17</v>
      </c>
      <c r="G43" s="20">
        <v>17</v>
      </c>
    </row>
    <row r="44" spans="1:7" x14ac:dyDescent="0.2">
      <c r="A44" s="8" t="s">
        <v>17</v>
      </c>
      <c r="B44" s="11" t="s">
        <v>20</v>
      </c>
      <c r="C44" s="20">
        <v>17</v>
      </c>
      <c r="D44" s="20">
        <v>17</v>
      </c>
      <c r="E44" s="20">
        <v>17</v>
      </c>
      <c r="F44" s="20">
        <v>17</v>
      </c>
      <c r="G44" s="20">
        <v>17</v>
      </c>
    </row>
    <row r="45" spans="1:7" x14ac:dyDescent="0.2">
      <c r="A45" s="15" t="s">
        <v>18</v>
      </c>
      <c r="B45" s="12" t="s">
        <v>20</v>
      </c>
      <c r="C45" s="20">
        <v>17</v>
      </c>
      <c r="D45" s="20">
        <v>15</v>
      </c>
      <c r="E45" s="20">
        <v>14</v>
      </c>
      <c r="F45" s="20">
        <v>8</v>
      </c>
      <c r="G45" s="20">
        <v>8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3</v>
      </c>
      <c r="D47" s="20">
        <v>3</v>
      </c>
      <c r="E47" s="20">
        <v>3</v>
      </c>
      <c r="F47" s="20">
        <v>3</v>
      </c>
      <c r="G47" s="20">
        <v>3</v>
      </c>
    </row>
    <row r="48" spans="1:7" x14ac:dyDescent="0.2">
      <c r="A48" s="8" t="s">
        <v>17</v>
      </c>
      <c r="B48" s="11" t="s">
        <v>21</v>
      </c>
      <c r="C48" s="20">
        <v>2</v>
      </c>
      <c r="D48" s="20">
        <v>2</v>
      </c>
      <c r="E48" s="20">
        <v>2</v>
      </c>
      <c r="F48" s="20">
        <v>2</v>
      </c>
      <c r="G48" s="20">
        <v>2</v>
      </c>
    </row>
    <row r="49" spans="1:17" x14ac:dyDescent="0.2">
      <c r="A49" s="15" t="s">
        <v>18</v>
      </c>
      <c r="B49" s="12" t="s">
        <v>21</v>
      </c>
      <c r="C49" s="20">
        <v>2</v>
      </c>
      <c r="D49" s="20">
        <v>3</v>
      </c>
      <c r="E49" s="20">
        <v>1</v>
      </c>
      <c r="F49" s="20">
        <v>1</v>
      </c>
      <c r="G49" s="20">
        <v>1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48</v>
      </c>
      <c r="D62" s="27">
        <v>48</v>
      </c>
      <c r="E62" s="27">
        <v>48</v>
      </c>
      <c r="F62" s="27">
        <v>48</v>
      </c>
      <c r="G62" s="27">
        <v>48</v>
      </c>
      <c r="H62" s="27">
        <v>48</v>
      </c>
      <c r="I62" s="27">
        <v>48</v>
      </c>
      <c r="J62" s="27">
        <v>48</v>
      </c>
      <c r="K62" s="27">
        <v>48</v>
      </c>
      <c r="L62" s="27">
        <v>48</v>
      </c>
      <c r="M62" s="27">
        <v>48</v>
      </c>
      <c r="N62" s="27">
        <v>48</v>
      </c>
      <c r="O62" s="27">
        <v>48</v>
      </c>
      <c r="P62" s="27">
        <v>48</v>
      </c>
      <c r="Q62" s="27">
        <v>48</v>
      </c>
    </row>
    <row r="63" spans="1:17" x14ac:dyDescent="0.2">
      <c r="A63" s="28"/>
      <c r="B63" s="29" t="s">
        <v>18</v>
      </c>
      <c r="C63" s="30">
        <v>45.43</v>
      </c>
      <c r="D63" s="30">
        <v>46.63</v>
      </c>
      <c r="E63" s="30">
        <v>42.564999999999998</v>
      </c>
      <c r="F63" s="30">
        <v>41.465000000000003</v>
      </c>
      <c r="G63" s="30">
        <v>40.700000000000003</v>
      </c>
      <c r="H63" s="30">
        <v>38.274999999999999</v>
      </c>
      <c r="I63" s="30">
        <v>35.725000000000001</v>
      </c>
      <c r="J63" s="30">
        <v>35.25</v>
      </c>
      <c r="K63" s="30">
        <v>35</v>
      </c>
      <c r="L63" s="30">
        <v>24.5</v>
      </c>
      <c r="M63" s="30">
        <v>24.5</v>
      </c>
      <c r="N63" s="30">
        <v>25.875</v>
      </c>
      <c r="O63" s="30">
        <v>23.774999999999999</v>
      </c>
      <c r="P63" s="30">
        <v>22.574999999999999</v>
      </c>
      <c r="Q63" s="30">
        <v>21.9</v>
      </c>
    </row>
    <row r="64" spans="1:17" x14ac:dyDescent="0.2">
      <c r="A64" s="14" t="s">
        <v>38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38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39</v>
      </c>
      <c r="B66" s="6" t="s">
        <v>16</v>
      </c>
      <c r="C66" s="14">
        <v>6</v>
      </c>
      <c r="D66" s="14">
        <v>6</v>
      </c>
      <c r="E66" s="14">
        <v>6</v>
      </c>
      <c r="F66" s="14">
        <v>6</v>
      </c>
      <c r="G66" s="14">
        <v>6</v>
      </c>
      <c r="H66" s="14">
        <v>6</v>
      </c>
      <c r="I66" s="14">
        <v>6</v>
      </c>
      <c r="J66" s="14">
        <v>6</v>
      </c>
      <c r="K66" s="14">
        <v>6</v>
      </c>
      <c r="L66" s="14">
        <v>6</v>
      </c>
      <c r="M66" s="14">
        <v>6</v>
      </c>
      <c r="N66" s="14">
        <v>6</v>
      </c>
      <c r="O66" s="14">
        <v>6</v>
      </c>
      <c r="P66" s="14">
        <v>6</v>
      </c>
      <c r="Q66" s="14">
        <v>6</v>
      </c>
    </row>
    <row r="67" spans="1:17" x14ac:dyDescent="0.2">
      <c r="A67" s="31" t="s">
        <v>39</v>
      </c>
      <c r="B67" s="9" t="s">
        <v>18</v>
      </c>
      <c r="C67" s="7">
        <v>6</v>
      </c>
      <c r="D67" s="7">
        <v>6</v>
      </c>
      <c r="E67" s="7">
        <v>6</v>
      </c>
      <c r="F67" s="7">
        <v>5.9249999999999998</v>
      </c>
      <c r="G67" s="7">
        <v>5.625</v>
      </c>
      <c r="H67" s="7">
        <v>5.6749999999999998</v>
      </c>
      <c r="I67" s="7">
        <v>5.85</v>
      </c>
      <c r="J67" s="7">
        <v>5.85</v>
      </c>
      <c r="K67" s="7">
        <v>6</v>
      </c>
      <c r="L67" s="7">
        <v>6</v>
      </c>
      <c r="M67" s="7">
        <v>6</v>
      </c>
      <c r="N67" s="7">
        <v>6</v>
      </c>
      <c r="O67" s="7">
        <v>6</v>
      </c>
      <c r="P67" s="7">
        <v>6</v>
      </c>
      <c r="Q67" s="7">
        <v>6</v>
      </c>
    </row>
    <row r="68" spans="1:17" x14ac:dyDescent="0.2">
      <c r="A68" s="33" t="s">
        <v>40</v>
      </c>
      <c r="B68" s="34" t="s">
        <v>16</v>
      </c>
      <c r="C68" s="34">
        <v>5</v>
      </c>
      <c r="D68" s="34">
        <v>5</v>
      </c>
      <c r="E68" s="34">
        <v>5</v>
      </c>
      <c r="F68" s="34">
        <v>5</v>
      </c>
      <c r="G68" s="34">
        <v>5</v>
      </c>
      <c r="H68" s="34">
        <v>5</v>
      </c>
      <c r="I68" s="34">
        <v>5</v>
      </c>
      <c r="J68" s="34">
        <v>5</v>
      </c>
      <c r="K68" s="34">
        <v>5</v>
      </c>
      <c r="L68" s="34">
        <v>5</v>
      </c>
      <c r="M68" s="34">
        <v>5</v>
      </c>
      <c r="N68" s="34">
        <v>5</v>
      </c>
      <c r="O68" s="34">
        <v>5</v>
      </c>
      <c r="P68" s="34">
        <v>5</v>
      </c>
      <c r="Q68" s="34">
        <v>5</v>
      </c>
    </row>
    <row r="69" spans="1:17" x14ac:dyDescent="0.2">
      <c r="A69" s="35" t="s">
        <v>41</v>
      </c>
      <c r="B69" s="36" t="s">
        <v>18</v>
      </c>
      <c r="C69" s="32">
        <v>5</v>
      </c>
      <c r="D69" s="32">
        <v>5</v>
      </c>
      <c r="E69" s="32">
        <v>5</v>
      </c>
      <c r="F69" s="32">
        <v>4.9249999999999998</v>
      </c>
      <c r="G69" s="32">
        <v>4.625</v>
      </c>
      <c r="H69" s="32">
        <v>4.6749999999999998</v>
      </c>
      <c r="I69" s="32">
        <v>4.8499999999999996</v>
      </c>
      <c r="J69" s="32">
        <v>4.8499999999999996</v>
      </c>
      <c r="K69" s="32">
        <v>5</v>
      </c>
      <c r="L69" s="32">
        <v>5</v>
      </c>
      <c r="M69" s="32">
        <v>5</v>
      </c>
      <c r="N69" s="32">
        <v>5</v>
      </c>
      <c r="O69" s="32">
        <v>5</v>
      </c>
      <c r="P69" s="32">
        <v>5</v>
      </c>
      <c r="Q69" s="32">
        <v>5</v>
      </c>
    </row>
    <row r="70" spans="1:17" x14ac:dyDescent="0.2">
      <c r="A70" s="33" t="s">
        <v>42</v>
      </c>
      <c r="B70" s="34" t="s">
        <v>16</v>
      </c>
      <c r="C70" s="34">
        <v>1</v>
      </c>
      <c r="D70" s="34">
        <v>1</v>
      </c>
      <c r="E70" s="34">
        <v>1</v>
      </c>
      <c r="F70" s="34">
        <v>1</v>
      </c>
      <c r="G70" s="34">
        <v>1</v>
      </c>
      <c r="H70" s="34">
        <v>1</v>
      </c>
      <c r="I70" s="34">
        <v>1</v>
      </c>
      <c r="J70" s="34">
        <v>1</v>
      </c>
      <c r="K70" s="34">
        <v>1</v>
      </c>
      <c r="L70" s="34">
        <v>1</v>
      </c>
      <c r="M70" s="34">
        <v>1</v>
      </c>
      <c r="N70" s="34">
        <v>1</v>
      </c>
      <c r="O70" s="34">
        <v>1</v>
      </c>
      <c r="P70" s="34">
        <v>1</v>
      </c>
      <c r="Q70" s="34">
        <v>1</v>
      </c>
    </row>
    <row r="71" spans="1:17" x14ac:dyDescent="0.2">
      <c r="A71" s="35" t="s">
        <v>43</v>
      </c>
      <c r="B71" s="36" t="s">
        <v>18</v>
      </c>
      <c r="C71" s="32">
        <v>1</v>
      </c>
      <c r="D71" s="32">
        <v>1</v>
      </c>
      <c r="E71" s="32">
        <v>1</v>
      </c>
      <c r="F71" s="32">
        <v>1</v>
      </c>
      <c r="G71" s="32">
        <v>1</v>
      </c>
      <c r="H71" s="32">
        <v>1</v>
      </c>
      <c r="I71" s="32">
        <v>1</v>
      </c>
      <c r="J71" s="32">
        <v>1</v>
      </c>
      <c r="K71" s="32">
        <v>1</v>
      </c>
      <c r="L71" s="32">
        <v>1</v>
      </c>
      <c r="M71" s="32">
        <v>1</v>
      </c>
      <c r="N71" s="32">
        <v>1</v>
      </c>
      <c r="O71" s="32">
        <v>1</v>
      </c>
      <c r="P71" s="32">
        <v>1</v>
      </c>
      <c r="Q71" s="32">
        <v>1</v>
      </c>
    </row>
    <row r="72" spans="1:17" x14ac:dyDescent="0.2">
      <c r="A72" s="14" t="s">
        <v>44</v>
      </c>
      <c r="B72" s="6" t="s">
        <v>16</v>
      </c>
      <c r="C72" s="14">
        <v>41</v>
      </c>
      <c r="D72" s="14">
        <v>41</v>
      </c>
      <c r="E72" s="14">
        <v>41</v>
      </c>
      <c r="F72" s="14">
        <v>41</v>
      </c>
      <c r="G72" s="14">
        <v>41</v>
      </c>
      <c r="H72" s="14">
        <v>41</v>
      </c>
      <c r="I72" s="14">
        <v>41</v>
      </c>
      <c r="J72" s="14">
        <v>41</v>
      </c>
      <c r="K72" s="14">
        <v>41</v>
      </c>
      <c r="L72" s="14">
        <v>41</v>
      </c>
      <c r="M72" s="14">
        <v>41</v>
      </c>
      <c r="N72" s="14">
        <v>41</v>
      </c>
      <c r="O72" s="14">
        <v>41</v>
      </c>
      <c r="P72" s="14">
        <v>41</v>
      </c>
      <c r="Q72" s="14">
        <v>41</v>
      </c>
    </row>
    <row r="73" spans="1:17" x14ac:dyDescent="0.2">
      <c r="A73" s="31" t="s">
        <v>44</v>
      </c>
      <c r="B73" s="9" t="s">
        <v>18</v>
      </c>
      <c r="C73" s="7">
        <v>38.43</v>
      </c>
      <c r="D73" s="7">
        <v>39.630000000000003</v>
      </c>
      <c r="E73" s="7">
        <v>35.564999999999998</v>
      </c>
      <c r="F73" s="7">
        <v>34.54</v>
      </c>
      <c r="G73" s="7">
        <v>34.075000000000003</v>
      </c>
      <c r="H73" s="7">
        <v>31.6</v>
      </c>
      <c r="I73" s="7">
        <v>28.875</v>
      </c>
      <c r="J73" s="7">
        <v>28.4</v>
      </c>
      <c r="K73" s="7">
        <v>28</v>
      </c>
      <c r="L73" s="7">
        <v>17.5</v>
      </c>
      <c r="M73" s="7">
        <v>17.5</v>
      </c>
      <c r="N73" s="7">
        <v>18.875</v>
      </c>
      <c r="O73" s="7">
        <v>16.774999999999999</v>
      </c>
      <c r="P73" s="7">
        <v>15.574999999999999</v>
      </c>
      <c r="Q73" s="7">
        <v>14.9</v>
      </c>
    </row>
    <row r="74" spans="1:17" x14ac:dyDescent="0.2">
      <c r="A74" s="33" t="s">
        <v>45</v>
      </c>
      <c r="B74" s="34" t="s">
        <v>16</v>
      </c>
      <c r="C74" s="34">
        <v>22</v>
      </c>
      <c r="D74" s="34">
        <v>22</v>
      </c>
      <c r="E74" s="34">
        <v>22</v>
      </c>
      <c r="F74" s="34">
        <v>22</v>
      </c>
      <c r="G74" s="34">
        <v>22</v>
      </c>
      <c r="H74" s="34">
        <v>22</v>
      </c>
      <c r="I74" s="34">
        <v>22</v>
      </c>
      <c r="J74" s="34">
        <v>22</v>
      </c>
      <c r="K74" s="34">
        <v>22</v>
      </c>
      <c r="L74" s="34">
        <v>22</v>
      </c>
      <c r="M74" s="34">
        <v>22</v>
      </c>
      <c r="N74" s="34">
        <v>22</v>
      </c>
      <c r="O74" s="34">
        <v>22</v>
      </c>
      <c r="P74" s="34">
        <v>22</v>
      </c>
      <c r="Q74" s="34">
        <v>22</v>
      </c>
    </row>
    <row r="75" spans="1:17" x14ac:dyDescent="0.2">
      <c r="A75" s="35" t="s">
        <v>46</v>
      </c>
      <c r="B75" s="36" t="s">
        <v>18</v>
      </c>
      <c r="C75" s="32">
        <v>21.43</v>
      </c>
      <c r="D75" s="32">
        <v>21.13</v>
      </c>
      <c r="E75" s="32">
        <v>18.265000000000001</v>
      </c>
      <c r="F75" s="32">
        <v>18.29</v>
      </c>
      <c r="G75" s="32">
        <v>17.074999999999999</v>
      </c>
      <c r="H75" s="32">
        <v>15.225</v>
      </c>
      <c r="I75" s="32">
        <v>14.824999999999999</v>
      </c>
      <c r="J75" s="32">
        <v>14.35</v>
      </c>
      <c r="K75" s="32">
        <v>14.45</v>
      </c>
      <c r="L75" s="32">
        <v>10.125</v>
      </c>
      <c r="M75" s="32">
        <v>10.125</v>
      </c>
      <c r="N75" s="32">
        <v>11.5</v>
      </c>
      <c r="O75" s="32">
        <v>9.4</v>
      </c>
      <c r="P75" s="32">
        <v>8.1999999999999993</v>
      </c>
      <c r="Q75" s="32">
        <v>7.5250000000000004</v>
      </c>
    </row>
    <row r="76" spans="1:17" x14ac:dyDescent="0.2">
      <c r="A76" s="33" t="s">
        <v>47</v>
      </c>
      <c r="B76" s="34" t="s">
        <v>16</v>
      </c>
      <c r="C76" s="34">
        <v>16</v>
      </c>
      <c r="D76" s="34">
        <v>16</v>
      </c>
      <c r="E76" s="34">
        <v>16</v>
      </c>
      <c r="F76" s="34">
        <v>16</v>
      </c>
      <c r="G76" s="34">
        <v>16</v>
      </c>
      <c r="H76" s="34">
        <v>16</v>
      </c>
      <c r="I76" s="34">
        <v>16</v>
      </c>
      <c r="J76" s="34">
        <v>16</v>
      </c>
      <c r="K76" s="34">
        <v>16</v>
      </c>
      <c r="L76" s="34">
        <v>16</v>
      </c>
      <c r="M76" s="34">
        <v>16</v>
      </c>
      <c r="N76" s="34">
        <v>16</v>
      </c>
      <c r="O76" s="34">
        <v>16</v>
      </c>
      <c r="P76" s="34">
        <v>16</v>
      </c>
      <c r="Q76" s="34">
        <v>16</v>
      </c>
    </row>
    <row r="77" spans="1:17" x14ac:dyDescent="0.2">
      <c r="A77" s="35" t="s">
        <v>48</v>
      </c>
      <c r="B77" s="36" t="s">
        <v>18</v>
      </c>
      <c r="C77" s="32">
        <v>16</v>
      </c>
      <c r="D77" s="32">
        <v>16</v>
      </c>
      <c r="E77" s="32">
        <v>14.55</v>
      </c>
      <c r="F77" s="32">
        <v>13.5</v>
      </c>
      <c r="G77" s="32">
        <v>14.25</v>
      </c>
      <c r="H77" s="32">
        <v>13.625</v>
      </c>
      <c r="I77" s="32">
        <v>13.3</v>
      </c>
      <c r="J77" s="32">
        <v>13.3</v>
      </c>
      <c r="K77" s="32">
        <v>12.8</v>
      </c>
      <c r="L77" s="32">
        <v>6.625</v>
      </c>
      <c r="M77" s="32">
        <v>6.625</v>
      </c>
      <c r="N77" s="32">
        <v>6.625</v>
      </c>
      <c r="O77" s="32">
        <v>6.625</v>
      </c>
      <c r="P77" s="32">
        <v>6.625</v>
      </c>
      <c r="Q77" s="32">
        <v>6.625</v>
      </c>
    </row>
    <row r="78" spans="1:17" x14ac:dyDescent="0.2">
      <c r="A78" s="33" t="s">
        <v>49</v>
      </c>
      <c r="B78" s="34" t="s">
        <v>16</v>
      </c>
      <c r="C78" s="34">
        <v>3</v>
      </c>
      <c r="D78" s="34">
        <v>3</v>
      </c>
      <c r="E78" s="34">
        <v>3</v>
      </c>
      <c r="F78" s="34">
        <v>3</v>
      </c>
      <c r="G78" s="34">
        <v>3</v>
      </c>
      <c r="H78" s="34">
        <v>3</v>
      </c>
      <c r="I78" s="34">
        <v>3</v>
      </c>
      <c r="J78" s="34">
        <v>3</v>
      </c>
      <c r="K78" s="34">
        <v>3</v>
      </c>
      <c r="L78" s="34">
        <v>3</v>
      </c>
      <c r="M78" s="34">
        <v>3</v>
      </c>
      <c r="N78" s="34">
        <v>3</v>
      </c>
      <c r="O78" s="34">
        <v>3</v>
      </c>
      <c r="P78" s="34">
        <v>3</v>
      </c>
      <c r="Q78" s="34">
        <v>3</v>
      </c>
    </row>
    <row r="79" spans="1:17" x14ac:dyDescent="0.2">
      <c r="A79" s="35" t="s">
        <v>50</v>
      </c>
      <c r="B79" s="36" t="s">
        <v>18</v>
      </c>
      <c r="C79" s="32">
        <v>1</v>
      </c>
      <c r="D79" s="32">
        <v>2.5</v>
      </c>
      <c r="E79" s="32">
        <v>2.75</v>
      </c>
      <c r="F79" s="32">
        <v>2.75</v>
      </c>
      <c r="G79" s="32">
        <v>2.75</v>
      </c>
      <c r="H79" s="32">
        <v>2.75</v>
      </c>
      <c r="I79" s="32">
        <v>0.75</v>
      </c>
      <c r="J79" s="32">
        <v>0.75</v>
      </c>
      <c r="K79" s="32">
        <v>0.75</v>
      </c>
      <c r="L79" s="32">
        <v>0.75</v>
      </c>
      <c r="M79" s="32">
        <v>0.75</v>
      </c>
      <c r="N79" s="32">
        <v>0.75</v>
      </c>
      <c r="O79" s="32">
        <v>0.75</v>
      </c>
      <c r="P79" s="32">
        <v>0.75</v>
      </c>
      <c r="Q79" s="32">
        <v>0.75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51" workbookViewId="0">
      <selection activeCell="G51" sqref="G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APR</v>
      </c>
      <c r="C1" t="str">
        <f>IF(PSE!D1&gt;0,PSE!D1,"")</f>
        <v>MAY</v>
      </c>
      <c r="D1" t="str">
        <f>IF(PSE!E1&gt;0,PSE!E1,"")</f>
        <v>JUN</v>
      </c>
      <c r="E1" t="str">
        <f>IF(PSE!F1&gt;0,PSE!F1,"")</f>
        <v>JUL</v>
      </c>
      <c r="F1" t="str">
        <f>IF(PSE!G1&gt;0,PSE!G1,"")</f>
        <v>AUG</v>
      </c>
      <c r="G1" t="str">
        <f>IF(PSE!H1&gt;0,PSE!H1,"")</f>
        <v>SEP</v>
      </c>
      <c r="H1" t="str">
        <f>IF(PSE!I1&gt;0,PSE!I1,"")</f>
        <v>OCT</v>
      </c>
      <c r="I1" t="str">
        <f>IF(PSE!J1&gt;0,PSE!J1,"")</f>
        <v>NOV</v>
      </c>
      <c r="J1" t="str">
        <f>IF(PSE!K1&gt;0,PSE!K1,"")</f>
        <v>DEC</v>
      </c>
      <c r="K1" t="str">
        <f>IF(PSE!L1&gt;0,PSE!L1,"")</f>
        <v>JAN'27</v>
      </c>
      <c r="L1" t="str">
        <f>IF(PSE!M1&gt;0,PSE!M1,"")</f>
        <v>FEB'27</v>
      </c>
      <c r="M1" t="str">
        <f>IF(PSE!N1&gt;0,PSE!N1,"")</f>
        <v>MAR'27</v>
      </c>
      <c r="N1" t="str">
        <f>IF(PSE!O1&gt;0,PSE!O1,"")</f>
        <v>APR'27</v>
      </c>
      <c r="O1" t="str">
        <f>IF(PSE!P1&gt;0,PSE!P1,"")</f>
        <v>MAY'27</v>
      </c>
      <c r="P1" t="str">
        <f>IF(PSE!Q1&gt;0,PSE!Q1,"")</f>
        <v>JUN'27</v>
      </c>
    </row>
    <row r="2" spans="1:16" x14ac:dyDescent="0.2">
      <c r="A2" t="str">
        <f>IF(PSE!B2&gt;0,PSE!B2,"")</f>
        <v>Staff</v>
      </c>
      <c r="B2">
        <f>IF(PSE!C2&gt;0,PSE!C2,"")</f>
        <v>48</v>
      </c>
      <c r="C2">
        <f>IF(PSE!D2&gt;0,PSE!D2,"")</f>
        <v>48</v>
      </c>
      <c r="D2">
        <f>IF(PSE!E2&gt;0,PSE!E2,"")</f>
        <v>48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48</v>
      </c>
      <c r="C3">
        <f>IF(PSE!D3&gt;0,PSE!D3,"")</f>
        <v>48</v>
      </c>
      <c r="D3">
        <f>IF(PSE!E3&gt;0,PSE!E3,"")</f>
        <v>48</v>
      </c>
      <c r="E3">
        <f>IF(PSE!F3&gt;0,PSE!F3,"")</f>
        <v>48</v>
      </c>
      <c r="F3">
        <f>IF(PSE!G3&gt;0,PSE!G3,"")</f>
        <v>48</v>
      </c>
      <c r="G3">
        <f>IF(PSE!H3&gt;0,PSE!H3,"")</f>
        <v>48</v>
      </c>
      <c r="H3">
        <f>IF(PSE!I3&gt;0,PSE!I3,"")</f>
        <v>48</v>
      </c>
      <c r="I3">
        <f>IF(PSE!J3&gt;0,PSE!J3,"")</f>
        <v>48</v>
      </c>
      <c r="J3">
        <f>IF(PSE!K3&gt;0,PSE!K3,"")</f>
        <v>48</v>
      </c>
      <c r="K3">
        <f>IF(PSE!L3&gt;0,PSE!L3,"")</f>
        <v>48</v>
      </c>
      <c r="L3">
        <f>IF(PSE!M3&gt;0,PSE!M3,"")</f>
        <v>48</v>
      </c>
      <c r="M3">
        <f>IF(PSE!N3&gt;0,PSE!N3,"")</f>
        <v>48</v>
      </c>
      <c r="N3">
        <f>IF(PSE!O3&gt;0,PSE!O3,"")</f>
        <v>48</v>
      </c>
      <c r="O3">
        <f>IF(PSE!P3&gt;0,PSE!P3,"")</f>
        <v>48</v>
      </c>
      <c r="P3">
        <f>IF(PSE!Q3&gt;0,PSE!Q3,"")</f>
        <v>48</v>
      </c>
    </row>
    <row r="4" spans="1:16" x14ac:dyDescent="0.2">
      <c r="A4" t="str">
        <f>IF(PSE!B4&gt;0,PSE!B4,"")</f>
        <v>Plan</v>
      </c>
      <c r="B4">
        <f>IF(PSE!C4&gt;0,PSE!C4,"")</f>
        <v>45</v>
      </c>
      <c r="C4">
        <f>IF(PSE!D4&gt;0,PSE!D4,"")</f>
        <v>47</v>
      </c>
      <c r="D4">
        <f>IF(PSE!E4&gt;0,PSE!E4,"")</f>
        <v>43</v>
      </c>
      <c r="E4">
        <f>IF(PSE!F4&gt;0,PSE!F4,"")</f>
        <v>41</v>
      </c>
      <c r="F4">
        <f>IF(PSE!G4&gt;0,PSE!G4,"")</f>
        <v>41</v>
      </c>
      <c r="G4">
        <f>IF(PSE!H4&gt;0,PSE!H4,"")</f>
        <v>38</v>
      </c>
      <c r="H4">
        <f>IF(PSE!I4&gt;0,PSE!I4,"")</f>
        <v>36</v>
      </c>
      <c r="I4">
        <f>IF(PSE!J4&gt;0,PSE!J4,"")</f>
        <v>35</v>
      </c>
      <c r="J4">
        <f>IF(PSE!K4&gt;0,PSE!K4,"")</f>
        <v>35</v>
      </c>
      <c r="K4">
        <f>IF(PSE!L4&gt;0,PSE!L4,"")</f>
        <v>25</v>
      </c>
      <c r="L4">
        <f>IF(PSE!M4&gt;0,PSE!M4,"")</f>
        <v>25</v>
      </c>
      <c r="M4">
        <f>IF(PSE!N4&gt;0,PSE!N4,"")</f>
        <v>26</v>
      </c>
      <c r="N4">
        <f>IF(PSE!O4&gt;0,PSE!O4,"")</f>
        <v>23.774999999999999</v>
      </c>
      <c r="O4">
        <f>IF(PSE!P4&gt;0,PSE!P4,"")</f>
        <v>22.574999999999999</v>
      </c>
      <c r="P4">
        <f>IF(PSE!Q4&gt;0,PSE!Q4,"")</f>
        <v>21.9</v>
      </c>
    </row>
    <row r="5" spans="1:16" x14ac:dyDescent="0.2">
      <c r="A5" t="str">
        <f>IF(PSE!B11&gt;0,PSE!B11,"")</f>
        <v>PAYROLL</v>
      </c>
      <c r="B5">
        <f>IF(PSE!C11&gt;0,PSE!C11,"")</f>
        <v>27</v>
      </c>
      <c r="C5">
        <f>IF(PSE!D11&gt;0,PSE!D11,"")</f>
        <v>27</v>
      </c>
      <c r="D5">
        <f>IF(PSE!E11&gt;0,PSE!E11,"")</f>
        <v>24</v>
      </c>
      <c r="E5">
        <f>IF(PSE!F11&gt;0,PSE!F11,"")</f>
        <v>24</v>
      </c>
      <c r="F5">
        <f>IF(PSE!G11&gt;0,PSE!G11,"")</f>
        <v>23</v>
      </c>
      <c r="G5">
        <f>IF(PSE!H11&gt;0,PSE!H11,"")</f>
        <v>21</v>
      </c>
      <c r="H5">
        <f>IF(PSE!I11&gt;0,PSE!I11,"")</f>
        <v>21</v>
      </c>
      <c r="I5">
        <f>IF(PSE!J11&gt;0,PSE!J11,"")</f>
        <v>20</v>
      </c>
      <c r="J5">
        <f>IF(PSE!K11&gt;0,PSE!K11,"")</f>
        <v>20</v>
      </c>
      <c r="K5">
        <f>IF(PSE!L11&gt;0,PSE!L11,"")</f>
        <v>16</v>
      </c>
      <c r="L5">
        <f>IF(PSE!M11&gt;0,PSE!M11,"")</f>
        <v>16</v>
      </c>
      <c r="M5">
        <f>IF(PSE!N11&gt;0,PSE!N11,"")</f>
        <v>18</v>
      </c>
      <c r="N5">
        <f>IF(PSE!O11&gt;0,PSE!O11,"")</f>
        <v>15.4</v>
      </c>
      <c r="O5">
        <f>IF(PSE!P11&gt;0,PSE!P11,"")</f>
        <v>14.2</v>
      </c>
      <c r="P5">
        <f>IF(PSE!Q11&gt;0,PSE!Q11,"")</f>
        <v>13.525</v>
      </c>
    </row>
    <row r="6" spans="1:16" x14ac:dyDescent="0.2">
      <c r="A6" t="str">
        <f>IF(PSE!B15&gt;0,PSE!B15,"")</f>
        <v>CONTRACTOR</v>
      </c>
      <c r="B6">
        <f>IF(PSE!C15&gt;0,PSE!C15,"")</f>
        <v>17</v>
      </c>
      <c r="C6">
        <f>IF(PSE!D15&gt;0,PSE!D15,"")</f>
        <v>17</v>
      </c>
      <c r="D6">
        <f>IF(PSE!E15&gt;0,PSE!E15,"")</f>
        <v>16</v>
      </c>
      <c r="E6">
        <f>IF(PSE!F15&gt;0,PSE!F15,"")</f>
        <v>15</v>
      </c>
      <c r="F6">
        <f>IF(PSE!G15&gt;0,PSE!G15,"")</f>
        <v>15</v>
      </c>
      <c r="G6">
        <f>IF(PSE!H15&gt;0,PSE!H15,"")</f>
        <v>15</v>
      </c>
      <c r="H6">
        <f>IF(PSE!I15&gt;0,PSE!I15,"")</f>
        <v>14</v>
      </c>
      <c r="I6">
        <f>IF(PSE!J15&gt;0,PSE!J15,"")</f>
        <v>14</v>
      </c>
      <c r="J6">
        <f>IF(PSE!K15&gt;0,PSE!K15,"")</f>
        <v>14</v>
      </c>
      <c r="K6">
        <f>IF(PSE!L15&gt;0,PSE!L15,"")</f>
        <v>8</v>
      </c>
      <c r="L6">
        <f>IF(PSE!M15&gt;0,PSE!M15,"")</f>
        <v>8</v>
      </c>
      <c r="M6">
        <f>IF(PSE!N15&gt;0,PSE!N15,"")</f>
        <v>8</v>
      </c>
      <c r="N6">
        <f>IF(PSE!O15&gt;0,PSE!O15,"")</f>
        <v>7.625</v>
      </c>
      <c r="O6">
        <f>IF(PSE!P15&gt;0,PSE!P15,"")</f>
        <v>7.625</v>
      </c>
      <c r="P6">
        <f>IF(PSE!Q15&gt;0,PSE!Q15,"")</f>
        <v>7.625</v>
      </c>
    </row>
    <row r="7" spans="1:16" x14ac:dyDescent="0.2">
      <c r="A7" t="str">
        <f>IF(PSE!B19&gt;0,PSE!B19,"")</f>
        <v>OUTSOURCE</v>
      </c>
      <c r="B7">
        <f>IF(PSE!C19&gt;0,PSE!C19,"")</f>
        <v>1</v>
      </c>
      <c r="C7">
        <f>IF(PSE!D19&gt;0,PSE!D19,"")</f>
        <v>3</v>
      </c>
      <c r="D7">
        <f>IF(PSE!E19&gt;0,PSE!E19,"")</f>
        <v>3</v>
      </c>
      <c r="E7">
        <f>IF(PSE!F19&gt;0,PSE!F19,"")</f>
        <v>3</v>
      </c>
      <c r="F7">
        <f>IF(PSE!G19&gt;0,PSE!G19,"")</f>
        <v>3</v>
      </c>
      <c r="G7">
        <f>IF(PSE!H19&gt;0,PSE!H19,"")</f>
        <v>3</v>
      </c>
      <c r="H7">
        <f>IF(PSE!I19&gt;0,PSE!I19,"")</f>
        <v>1</v>
      </c>
      <c r="I7">
        <f>IF(PSE!J19&gt;0,PSE!J19,"")</f>
        <v>1</v>
      </c>
      <c r="J7">
        <f>IF(PSE!K19&gt;0,PSE!K19,"")</f>
        <v>1</v>
      </c>
      <c r="K7">
        <f>IF(PSE!L19&gt;0,PSE!L19,"")</f>
        <v>1</v>
      </c>
      <c r="L7">
        <f>IF(PSE!M19&gt;0,PSE!M19,"")</f>
        <v>1</v>
      </c>
      <c r="M7">
        <f>IF(PSE!N19&gt;0,PSE!N19,"")</f>
        <v>1</v>
      </c>
      <c r="N7">
        <f>IF(PSE!O19&gt;0,PSE!O19,"")</f>
        <v>1</v>
      </c>
      <c r="O7">
        <f>IF(PSE!P19&gt;0,PSE!P19,"")</f>
        <v>1</v>
      </c>
      <c r="P7">
        <f>IF(PSE!Q19&gt;0,PSE!Q19,"")</f>
        <v>1</v>
      </c>
    </row>
    <row r="11" spans="1:16" x14ac:dyDescent="0.2">
      <c r="B11" t="str">
        <f>IF(PSE!C1&gt;0,PSE!C1,"")</f>
        <v>APR</v>
      </c>
      <c r="C11" t="str">
        <f>IF(PSE!D1&gt;0,PSE!D1,"")</f>
        <v>MAY</v>
      </c>
      <c r="D11" t="str">
        <f>IF(PSE!E1&gt;0,PSE!E1,"")</f>
        <v>JUN</v>
      </c>
      <c r="E11" t="str">
        <f>IF(PSE!F1&gt;0,PSE!F1,"")</f>
        <v>JUL</v>
      </c>
      <c r="F11" t="str">
        <f>IF(PSE!G1&gt;0,PSE!G1,"")</f>
        <v>AUG</v>
      </c>
      <c r="G11" t="str">
        <f>IF(PSE!H1&gt;0,PSE!H1,"")</f>
        <v>SEP</v>
      </c>
      <c r="H11" t="str">
        <f>IF(PSE!I1&gt;0,PSE!I1,"")</f>
        <v>OCT</v>
      </c>
      <c r="I11" t="str">
        <f>IF(PSE!J1&gt;0,PSE!J1,"")</f>
        <v>NOV</v>
      </c>
      <c r="J11" t="str">
        <f>IF(PSE!K1&gt;0,PSE!K1,"")</f>
        <v>DEC</v>
      </c>
      <c r="K11" t="str">
        <f>IF(PSE!L1&gt;0,PSE!L1,"")</f>
        <v>JAN'27</v>
      </c>
      <c r="L11" t="str">
        <f>IF(PSE!M1&gt;0,PSE!M1,"")</f>
        <v>FEB'27</v>
      </c>
      <c r="M11" t="str">
        <f>IF(PSE!N1&gt;0,PSE!N1,"")</f>
        <v>MAR'27</v>
      </c>
      <c r="N11" t="str">
        <f>IF(PSE!O1&gt;0,PSE!O1,"")</f>
        <v>APR'27</v>
      </c>
      <c r="O11" t="str">
        <f>IF(PSE!P1&gt;0,PSE!P1,"")</f>
        <v>MAY'27</v>
      </c>
      <c r="P11" t="str">
        <f>IF(PSE!Q1&gt;0,PSE!Q1,"")</f>
        <v>JUN'27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28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27</v>
      </c>
      <c r="C14">
        <f>IF(PSE!D11&gt;0,PSE!D11,"")</f>
        <v>27</v>
      </c>
      <c r="D14">
        <f>IF(PSE!E11&gt;0,PSE!E11,"")</f>
        <v>24</v>
      </c>
      <c r="E14">
        <f>IF(PSE!F11&gt;0,PSE!F11,"")</f>
        <v>24</v>
      </c>
      <c r="F14">
        <f>IF(PSE!G11&gt;0,PSE!G11,"")</f>
        <v>23</v>
      </c>
      <c r="G14">
        <f>IF(PSE!H11&gt;0,PSE!H11,"")</f>
        <v>21</v>
      </c>
      <c r="H14">
        <f>IF(PSE!I11&gt;0,PSE!I11,"")</f>
        <v>21</v>
      </c>
      <c r="I14">
        <f>IF(PSE!J11&gt;0,PSE!J11,"")</f>
        <v>20</v>
      </c>
      <c r="J14">
        <f>IF(PSE!K11&gt;0,PSE!K11,"")</f>
        <v>20</v>
      </c>
      <c r="K14">
        <f>IF(PSE!L11&gt;0,PSE!L11,"")</f>
        <v>16</v>
      </c>
      <c r="L14">
        <f>IF(PSE!M11&gt;0,PSE!M11,"")</f>
        <v>16</v>
      </c>
      <c r="M14">
        <f>IF(PSE!N11&gt;0,PSE!N11,"")</f>
        <v>18</v>
      </c>
      <c r="N14">
        <f>IF(PSE!O11&gt;0,PSE!O11,"")</f>
        <v>15.4</v>
      </c>
      <c r="O14">
        <f>IF(PSE!P11&gt;0,PSE!P11,"")</f>
        <v>14.2</v>
      </c>
      <c r="P14">
        <f>IF(PSE!Q11&gt;0,PSE!Q11,"")</f>
        <v>13.525</v>
      </c>
    </row>
    <row r="21" spans="1:16" x14ac:dyDescent="0.2">
      <c r="B21" t="str">
        <f>IF(PSE!C1&gt;0,PSE!C1,"")</f>
        <v>APR</v>
      </c>
      <c r="C21" t="str">
        <f>IF(PSE!D1&gt;0,PSE!D1,"")</f>
        <v>MAY</v>
      </c>
      <c r="D21" t="str">
        <f>IF(PSE!E1&gt;0,PSE!E1,"")</f>
        <v>JUN</v>
      </c>
      <c r="E21" t="str">
        <f>IF(PSE!F1&gt;0,PSE!F1,"")</f>
        <v>JUL</v>
      </c>
      <c r="F21" t="str">
        <f>IF(PSE!G1&gt;0,PSE!G1,"")</f>
        <v>AUG</v>
      </c>
      <c r="G21" t="str">
        <f>IF(PSE!H1&gt;0,PSE!H1,"")</f>
        <v>SEP</v>
      </c>
      <c r="H21" t="str">
        <f>IF(PSE!I1&gt;0,PSE!I1,"")</f>
        <v>OCT</v>
      </c>
      <c r="I21" t="str">
        <f>IF(PSE!J1&gt;0,PSE!J1,"")</f>
        <v>NOV</v>
      </c>
      <c r="J21" t="str">
        <f>IF(PSE!K1&gt;0,PSE!K1,"")</f>
        <v>DEC</v>
      </c>
      <c r="K21" t="str">
        <f>IF(PSE!L1&gt;0,PSE!L1,"")</f>
        <v>JAN'27</v>
      </c>
      <c r="L21" t="str">
        <f>IF(PSE!M1&gt;0,PSE!M1,"")</f>
        <v>FEB'27</v>
      </c>
      <c r="M21" t="str">
        <f>IF(PSE!N1&gt;0,PSE!N1,"")</f>
        <v>MAR'27</v>
      </c>
      <c r="N21" t="str">
        <f>IF(PSE!O1&gt;0,PSE!O1,"")</f>
        <v>APR'27</v>
      </c>
      <c r="O21" t="str">
        <f>IF(PSE!P1&gt;0,PSE!P1,"")</f>
        <v>MAY'27</v>
      </c>
      <c r="P21" t="str">
        <f>IF(PSE!Q1&gt;0,PSE!Q1,"")</f>
        <v>JUN'27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17</v>
      </c>
      <c r="C24">
        <f>PSE!D15</f>
        <v>17</v>
      </c>
      <c r="D24">
        <f>PSE!E15</f>
        <v>16</v>
      </c>
      <c r="E24">
        <f>PSE!F15</f>
        <v>15</v>
      </c>
      <c r="F24">
        <f>PSE!G15</f>
        <v>15</v>
      </c>
      <c r="G24">
        <f>PSE!H15</f>
        <v>15</v>
      </c>
      <c r="H24">
        <f>PSE!I15</f>
        <v>14</v>
      </c>
      <c r="I24">
        <f>PSE!J15</f>
        <v>14</v>
      </c>
      <c r="J24">
        <f>PSE!K15</f>
        <v>14</v>
      </c>
      <c r="K24">
        <f>PSE!L15</f>
        <v>8</v>
      </c>
      <c r="L24">
        <f>PSE!M15</f>
        <v>8</v>
      </c>
      <c r="M24">
        <f>PSE!N15</f>
        <v>8</v>
      </c>
      <c r="N24">
        <f>PSE!O15</f>
        <v>7.625</v>
      </c>
      <c r="O24">
        <f>PSE!P15</f>
        <v>7.625</v>
      </c>
      <c r="P24">
        <f>PSE!Q15</f>
        <v>7.625</v>
      </c>
    </row>
    <row r="31" spans="1:16" x14ac:dyDescent="0.2">
      <c r="B31" t="str">
        <f>IF(PSE!C1&gt;0,PSE!C1,"")</f>
        <v>APR</v>
      </c>
      <c r="C31" t="str">
        <f>IF(PSE!D1&gt;0,PSE!D1,"")</f>
        <v>MAY</v>
      </c>
      <c r="D31" t="str">
        <f>IF(PSE!E1&gt;0,PSE!E1,"")</f>
        <v>JUN</v>
      </c>
      <c r="E31" t="str">
        <f>IF(PSE!F1&gt;0,PSE!F1,"")</f>
        <v>JUL</v>
      </c>
      <c r="F31" t="str">
        <f>IF(PSE!G1&gt;0,PSE!G1,"")</f>
        <v>AUG</v>
      </c>
      <c r="G31" t="str">
        <f>IF(PSE!H1&gt;0,PSE!H1,"")</f>
        <v>SEP</v>
      </c>
      <c r="H31" t="str">
        <f>IF(PSE!I1&gt;0,PSE!I1,"")</f>
        <v>OCT</v>
      </c>
      <c r="I31" t="str">
        <f>IF(PSE!J1&gt;0,PSE!J1,"")</f>
        <v>NOV</v>
      </c>
      <c r="J31" t="str">
        <f>IF(PSE!K1&gt;0,PSE!K1,"")</f>
        <v>DEC</v>
      </c>
      <c r="K31" t="str">
        <f>IF(PSE!L1&gt;0,PSE!L1,"")</f>
        <v>JAN'27</v>
      </c>
      <c r="L31" t="str">
        <f>IF(PSE!M1&gt;0,PSE!M1,"")</f>
        <v>FEB'27</v>
      </c>
      <c r="M31" t="str">
        <f>IF(PSE!N1&gt;0,PSE!N1,"")</f>
        <v>MAR'27</v>
      </c>
      <c r="N31" t="str">
        <f>IF(PSE!O1&gt;0,PSE!O1,"")</f>
        <v>APR'27</v>
      </c>
      <c r="O31" t="str">
        <f>IF(PSE!P1&gt;0,PSE!P1,"")</f>
        <v>MAY'27</v>
      </c>
      <c r="P31" t="str">
        <f>IF(PSE!Q1&gt;0,PSE!Q1,"")</f>
        <v>JUN'27</v>
      </c>
    </row>
    <row r="32" spans="1:16" x14ac:dyDescent="0.2">
      <c r="A32" t="str">
        <f>IF(PSE!B2&gt;0,PSE!B2,"")</f>
        <v>Staff</v>
      </c>
      <c r="B32">
        <f>PSE!C17</f>
        <v>3</v>
      </c>
      <c r="C32">
        <f>PSE!D17</f>
        <v>3</v>
      </c>
      <c r="D32">
        <f>PSE!E17</f>
        <v>3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1</v>
      </c>
      <c r="C34">
        <f>PSE!D19</f>
        <v>3</v>
      </c>
      <c r="D34">
        <f>PSE!E19</f>
        <v>3</v>
      </c>
      <c r="E34">
        <f>PSE!F19</f>
        <v>3</v>
      </c>
      <c r="F34">
        <f>PSE!G19</f>
        <v>3</v>
      </c>
      <c r="G34">
        <f>PSE!H19</f>
        <v>3</v>
      </c>
      <c r="H34">
        <f>PSE!I19</f>
        <v>1</v>
      </c>
      <c r="I34">
        <f>PSE!J19</f>
        <v>1</v>
      </c>
      <c r="J34">
        <f>PSE!K19</f>
        <v>1</v>
      </c>
      <c r="K34">
        <f>PSE!L19</f>
        <v>1</v>
      </c>
      <c r="L34">
        <f>PSE!M19</f>
        <v>1</v>
      </c>
      <c r="M34">
        <f>PSE!N19</f>
        <v>1</v>
      </c>
      <c r="N34">
        <f>PSE!O19</f>
        <v>1</v>
      </c>
      <c r="O34">
        <f>PSE!P19</f>
        <v>1</v>
      </c>
      <c r="P34">
        <f>PSE!Q19</f>
        <v>1</v>
      </c>
    </row>
    <row r="41" spans="1:16" x14ac:dyDescent="0.2">
      <c r="B41" t="str">
        <f>IF(PSE!C31&gt;0,PSE!C31,"")</f>
        <v>Q2</v>
      </c>
      <c r="C41" t="str">
        <f>IF(PSE!D31&gt;0,PSE!D31,"")</f>
        <v>Q3</v>
      </c>
      <c r="D41" t="str">
        <f>IF(PSE!E31&gt;0,PSE!E31,"")</f>
        <v>Q4</v>
      </c>
      <c r="E41" t="str">
        <f>IF(PSE!F31&gt;0,PSE!F31,"")</f>
        <v>Q1'27</v>
      </c>
      <c r="F41" t="str">
        <f>IF(PSE!G31&gt;0,PSE!G31,"")</f>
        <v>Q2'27</v>
      </c>
    </row>
    <row r="42" spans="1:16" x14ac:dyDescent="0.2">
      <c r="A42" t="str">
        <f>IF(PSE!B32&gt;0,PSE!B32,"")</f>
        <v>Staff</v>
      </c>
      <c r="B42">
        <f>IF(PSE!C32&gt;0,PSE!C32,"")</f>
        <v>48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48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45</v>
      </c>
      <c r="C44">
        <f>IF(PSE!D34&gt;0,PSE!D34,"")</f>
        <v>40</v>
      </c>
      <c r="D44">
        <f>IF(PSE!E34&gt;0,PSE!E34,"")</f>
        <v>35</v>
      </c>
      <c r="E44">
        <f>IF(PSE!F34&gt;0,PSE!F34,"")</f>
        <v>25</v>
      </c>
      <c r="F44">
        <f>IF(PSE!G34&gt;0,PSE!G34,"")</f>
        <v>23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23</v>
      </c>
      <c r="D45">
        <f>IF(PSE!E41&gt;0,PSE!E41,"")</f>
        <v>20</v>
      </c>
      <c r="E45">
        <f>IF(PSE!F41&gt;0,PSE!F41,"")</f>
        <v>17</v>
      </c>
      <c r="F45">
        <f>IF(PSE!G41&gt;0,PSE!G41,"")</f>
        <v>14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15</v>
      </c>
      <c r="D46">
        <f>IF(PSE!E45&gt;0,PSE!E45,"")</f>
        <v>14</v>
      </c>
      <c r="E46">
        <f>IF(PSE!F45&gt;0,PSE!F45,"")</f>
        <v>8</v>
      </c>
      <c r="F46">
        <f>IF(PSE!G45&gt;0,PSE!G45,"")</f>
        <v>8</v>
      </c>
    </row>
    <row r="47" spans="1:16" x14ac:dyDescent="0.2">
      <c r="A47" t="str">
        <f>IF(PSE!B49&gt;0,PSE!B49,"")</f>
        <v>OUTSOURCE</v>
      </c>
      <c r="B47">
        <f>IF(PSE!C49&gt;0,PSE!C49,"")</f>
        <v>2</v>
      </c>
      <c r="C47">
        <f>IF(PSE!D49&gt;0,PSE!D49,"")</f>
        <v>3</v>
      </c>
      <c r="D47">
        <f>IF(PSE!E49&gt;0,PSE!E49,"")</f>
        <v>1</v>
      </c>
      <c r="E47">
        <f>IF(PSE!F49&gt;0,PSE!F49,"")</f>
        <v>1</v>
      </c>
      <c r="F47">
        <f>IF(PSE!G49&gt;0,PSE!G49,"")</f>
        <v>1</v>
      </c>
    </row>
    <row r="51" spans="1:16" x14ac:dyDescent="0.2">
      <c r="A51" s="49" t="str">
        <f>PSE!A66</f>
        <v>Platform Engineering</v>
      </c>
      <c r="B51" t="str">
        <f>PSE!C61</f>
        <v>APR</v>
      </c>
      <c r="C51" t="str">
        <f>PSE!D61</f>
        <v>MAY</v>
      </c>
      <c r="D51" t="str">
        <f>PSE!E61</f>
        <v>JUN</v>
      </c>
      <c r="E51" t="str">
        <f>PSE!F61</f>
        <v>JUL</v>
      </c>
      <c r="F51" t="str">
        <f>PSE!G61</f>
        <v>AUG</v>
      </c>
      <c r="G51" t="str">
        <f>PSE!H61</f>
        <v>SEP</v>
      </c>
      <c r="H51" t="str">
        <f>PSE!I61</f>
        <v>OCT</v>
      </c>
      <c r="I51" t="str">
        <f>PSE!J61</f>
        <v>NOV</v>
      </c>
      <c r="J51" t="str">
        <f>PSE!K61</f>
        <v>DEC</v>
      </c>
      <c r="K51" t="str">
        <f>PSE!L61</f>
        <v>JAN'27</v>
      </c>
      <c r="L51" t="str">
        <f>PSE!M61</f>
        <v>FEB'27</v>
      </c>
      <c r="M51" t="str">
        <f>PSE!N61</f>
        <v>MAR'27</v>
      </c>
      <c r="N51" t="str">
        <f>PSE!O61</f>
        <v>APR'27</v>
      </c>
      <c r="O51" t="str">
        <f>PSE!P61</f>
        <v>MAY'27</v>
      </c>
      <c r="P51" t="str">
        <f>PSE!Q61</f>
        <v>JUN'27</v>
      </c>
    </row>
    <row r="52" spans="1:16" x14ac:dyDescent="0.2">
      <c r="A52" t="str">
        <f>PSE!B66</f>
        <v>Staff</v>
      </c>
      <c r="B52">
        <f>PSE!C66</f>
        <v>6</v>
      </c>
      <c r="C52">
        <f>PSE!D66</f>
        <v>6</v>
      </c>
      <c r="D52">
        <f>PSE!E66</f>
        <v>6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6</v>
      </c>
      <c r="C53">
        <f>PSE!D67</f>
        <v>6</v>
      </c>
      <c r="D53">
        <f>PSE!E67</f>
        <v>6</v>
      </c>
      <c r="E53">
        <f>PSE!F67</f>
        <v>5.9249999999999998</v>
      </c>
      <c r="F53">
        <f>PSE!G67</f>
        <v>5.625</v>
      </c>
      <c r="G53">
        <f>PSE!H67</f>
        <v>5.6749999999999998</v>
      </c>
      <c r="H53">
        <f>PSE!I67</f>
        <v>5.85</v>
      </c>
      <c r="I53">
        <f>PSE!J67</f>
        <v>5.85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57" customFormat="1" x14ac:dyDescent="0.2">
      <c r="A54" s="57" t="s">
        <v>24</v>
      </c>
      <c r="B54" s="58">
        <f>B52-B53</f>
        <v>0</v>
      </c>
      <c r="C54" s="58">
        <f t="shared" ref="C54:P54" si="0">C52-C53</f>
        <v>0</v>
      </c>
      <c r="D54" s="58">
        <f t="shared" si="0"/>
        <v>0</v>
      </c>
      <c r="E54" s="58">
        <f t="shared" si="0"/>
        <v>7.5000000000000178E-2</v>
      </c>
      <c r="F54" s="58">
        <f t="shared" si="0"/>
        <v>0.375</v>
      </c>
      <c r="G54" s="58">
        <f t="shared" si="0"/>
        <v>0.32500000000000018</v>
      </c>
      <c r="H54" s="58">
        <f t="shared" si="0"/>
        <v>0.15000000000000036</v>
      </c>
      <c r="I54" s="58">
        <f t="shared" si="0"/>
        <v>0.15000000000000036</v>
      </c>
      <c r="J54" s="58">
        <f t="shared" si="0"/>
        <v>0</v>
      </c>
      <c r="K54" s="58">
        <f t="shared" si="0"/>
        <v>0</v>
      </c>
      <c r="L54" s="58">
        <f t="shared" si="0"/>
        <v>0</v>
      </c>
      <c r="M54" s="58">
        <f t="shared" si="0"/>
        <v>0</v>
      </c>
      <c r="N54" s="58">
        <f t="shared" si="0"/>
        <v>0</v>
      </c>
      <c r="O54" s="58">
        <f t="shared" si="0"/>
        <v>0</v>
      </c>
      <c r="P54" s="58">
        <f t="shared" si="0"/>
        <v>0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100</v>
      </c>
      <c r="C56" s="50">
        <f>(AVERAGE(E53:G53)/AVERAGE(E52:G52))*100</f>
        <v>95.694444444444443</v>
      </c>
      <c r="D56" s="50">
        <f>(AVERAGE(H53:J53)/AVERAGE(H52:J52))*100</f>
        <v>98.333333333333329</v>
      </c>
      <c r="E56" s="50">
        <f>(AVERAGE(K53:M53)/AVERAGE(K52:M52))*100</f>
        <v>100</v>
      </c>
      <c r="F56" s="50">
        <f>(AVERAGE(N53:P53)/AVERAGE(N52:P52))*100</f>
        <v>100</v>
      </c>
    </row>
    <row r="61" spans="1:16" x14ac:dyDescent="0.2">
      <c r="A61" s="49" t="str">
        <f>PSE!A72</f>
        <v>Software Engineering</v>
      </c>
      <c r="B61" t="str">
        <f>PSE!C61</f>
        <v>APR</v>
      </c>
      <c r="C61" t="str">
        <f>PSE!D61</f>
        <v>MAY</v>
      </c>
      <c r="D61" t="str">
        <f>PSE!E61</f>
        <v>JUN</v>
      </c>
      <c r="E61" t="str">
        <f>PSE!F61</f>
        <v>JUL</v>
      </c>
      <c r="F61" t="str">
        <f>PSE!G61</f>
        <v>AUG</v>
      </c>
      <c r="G61" t="str">
        <f>PSE!H61</f>
        <v>SEP</v>
      </c>
      <c r="H61" t="str">
        <f>PSE!I61</f>
        <v>OCT</v>
      </c>
      <c r="I61" t="str">
        <f>PSE!J61</f>
        <v>NOV</v>
      </c>
      <c r="J61" t="str">
        <f>PSE!K61</f>
        <v>DEC</v>
      </c>
      <c r="K61" t="str">
        <f>PSE!L61</f>
        <v>JAN'27</v>
      </c>
      <c r="L61" t="str">
        <f>PSE!M61</f>
        <v>FEB'27</v>
      </c>
      <c r="M61" t="str">
        <f>PSE!N61</f>
        <v>MAR'27</v>
      </c>
      <c r="N61" t="str">
        <f>PSE!O61</f>
        <v>APR'27</v>
      </c>
      <c r="O61" t="str">
        <f>PSE!P61</f>
        <v>MAY'27</v>
      </c>
      <c r="P61" t="str">
        <f>PSE!Q61</f>
        <v>JUN'27</v>
      </c>
    </row>
    <row r="62" spans="1:16" x14ac:dyDescent="0.2">
      <c r="A62" t="str">
        <f>PSE!B72</f>
        <v>Staff</v>
      </c>
      <c r="B62">
        <f>PSE!C72</f>
        <v>41</v>
      </c>
      <c r="C62">
        <f>PSE!D72</f>
        <v>41</v>
      </c>
      <c r="D62">
        <f>PSE!E72</f>
        <v>41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38.43</v>
      </c>
      <c r="C63">
        <f>PSE!D73</f>
        <v>39.630000000000003</v>
      </c>
      <c r="D63">
        <f>PSE!E73</f>
        <v>35.564999999999998</v>
      </c>
      <c r="E63">
        <f>PSE!F73</f>
        <v>34.54</v>
      </c>
      <c r="F63">
        <f>PSE!G73</f>
        <v>34.075000000000003</v>
      </c>
      <c r="G63">
        <f>PSE!H73</f>
        <v>31.6</v>
      </c>
      <c r="H63">
        <f>PSE!I73</f>
        <v>28.875</v>
      </c>
      <c r="I63">
        <f>PSE!J73</f>
        <v>28.4</v>
      </c>
      <c r="J63">
        <f>PSE!K73</f>
        <v>28</v>
      </c>
      <c r="K63">
        <f>PSE!L73</f>
        <v>17.5</v>
      </c>
      <c r="L63">
        <f>PSE!M73</f>
        <v>17.5</v>
      </c>
      <c r="M63">
        <f>PSE!N73</f>
        <v>18.875</v>
      </c>
      <c r="N63">
        <f>PSE!O73</f>
        <v>16.774999999999999</v>
      </c>
      <c r="O63">
        <f>PSE!P73</f>
        <v>15.574999999999999</v>
      </c>
      <c r="P63">
        <f>PSE!Q73</f>
        <v>14.9</v>
      </c>
    </row>
    <row r="64" spans="1:16" s="57" customFormat="1" x14ac:dyDescent="0.2">
      <c r="A64" s="57" t="s">
        <v>24</v>
      </c>
      <c r="B64" s="58">
        <f>B62-B63</f>
        <v>2.5700000000000003</v>
      </c>
      <c r="C64" s="58">
        <f t="shared" ref="C64:P64" si="2">C62-C63</f>
        <v>1.3699999999999974</v>
      </c>
      <c r="D64" s="58">
        <f t="shared" si="2"/>
        <v>5.4350000000000023</v>
      </c>
      <c r="E64" s="58">
        <f t="shared" si="2"/>
        <v>6.4600000000000009</v>
      </c>
      <c r="F64" s="58">
        <f t="shared" si="2"/>
        <v>6.9249999999999972</v>
      </c>
      <c r="G64" s="58">
        <f t="shared" si="2"/>
        <v>9.3999999999999986</v>
      </c>
      <c r="H64" s="58">
        <f t="shared" si="2"/>
        <v>12.125</v>
      </c>
      <c r="I64" s="58">
        <f t="shared" si="2"/>
        <v>12.600000000000001</v>
      </c>
      <c r="J64" s="58">
        <f t="shared" si="2"/>
        <v>13</v>
      </c>
      <c r="K64" s="58">
        <f t="shared" si="2"/>
        <v>23.5</v>
      </c>
      <c r="L64" s="58">
        <f t="shared" si="2"/>
        <v>23.5</v>
      </c>
      <c r="M64" s="58">
        <f t="shared" si="2"/>
        <v>22.125</v>
      </c>
      <c r="N64" s="58">
        <f t="shared" si="2"/>
        <v>24.225000000000001</v>
      </c>
      <c r="O64" s="58">
        <f t="shared" si="2"/>
        <v>25.425000000000001</v>
      </c>
      <c r="P64" s="58">
        <f t="shared" si="2"/>
        <v>26.1</v>
      </c>
    </row>
    <row r="65" spans="1: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6" s="50" customFormat="1" x14ac:dyDescent="0.2">
      <c r="A66" s="50" t="str">
        <f>$A$156</f>
        <v>% Plan</v>
      </c>
      <c r="B66" s="50">
        <f>(AVERAGE(B63:D63)/AVERAGE(B62:D62))*100</f>
        <v>92.378048780487802</v>
      </c>
      <c r="C66" s="50">
        <f>(AVERAGE(E63:G63)/AVERAGE(E62:G62))*100</f>
        <v>81.475609756097569</v>
      </c>
      <c r="D66" s="50">
        <f>(AVERAGE(H63:J63)/AVERAGE(H62:J62))*100</f>
        <v>69.32926829268294</v>
      </c>
      <c r="E66" s="50">
        <f>(AVERAGE(K63:M63)/AVERAGE(K62:M62))*100</f>
        <v>43.800813008130078</v>
      </c>
      <c r="F66" s="50">
        <f>(AVERAGE(N63:P63)/AVERAGE(N62:P62))*100</f>
        <v>38.414634146341456</v>
      </c>
    </row>
    <row r="151" spans="1:16" x14ac:dyDescent="0.2">
      <c r="B151" t="str">
        <f>PSE!C1</f>
        <v>APR</v>
      </c>
      <c r="C151" t="str">
        <f>PSE!D1</f>
        <v>MAY</v>
      </c>
      <c r="D151" t="str">
        <f>PSE!E1</f>
        <v>JUN</v>
      </c>
      <c r="E151" t="str">
        <f>PSE!F1</f>
        <v>JUL</v>
      </c>
      <c r="F151" t="str">
        <f>PSE!G1</f>
        <v>AUG</v>
      </c>
      <c r="G151" t="str">
        <f>PSE!H1</f>
        <v>SEP</v>
      </c>
      <c r="H151" t="str">
        <f>PSE!I1</f>
        <v>OCT</v>
      </c>
      <c r="I151" t="str">
        <f>PSE!J1</f>
        <v>NOV</v>
      </c>
      <c r="J151" t="str">
        <f>PSE!K1</f>
        <v>DEC</v>
      </c>
      <c r="K151" t="str">
        <f>PSE!L1</f>
        <v>JAN'27</v>
      </c>
      <c r="L151" t="str">
        <f>PSE!M1</f>
        <v>FEB'27</v>
      </c>
      <c r="M151" t="str">
        <f>PSE!N1</f>
        <v>MAR'27</v>
      </c>
      <c r="N151" t="str">
        <f>PSE!O1</f>
        <v>APR'27</v>
      </c>
      <c r="O151" t="str">
        <f>PSE!P1</f>
        <v>MAY'27</v>
      </c>
      <c r="P151" t="str">
        <f>PSE!Q1</f>
        <v>JUN'27</v>
      </c>
    </row>
    <row r="152" spans="1:16" x14ac:dyDescent="0.2">
      <c r="A152" t="str">
        <f>PSE!B6</f>
        <v>% Plan</v>
      </c>
      <c r="B152">
        <f>PSE!C6*100</f>
        <v>94.65</v>
      </c>
      <c r="C152">
        <f>PSE!D6*100</f>
        <v>97.15</v>
      </c>
      <c r="D152">
        <f>PSE!E6*100</f>
        <v>88.68</v>
      </c>
      <c r="E152">
        <f>PSE!F6*100</f>
        <v>86.39</v>
      </c>
      <c r="F152">
        <f>PSE!G6*100</f>
        <v>84.789999999999992</v>
      </c>
      <c r="G152">
        <f>PSE!H6*100</f>
        <v>79.739999999999995</v>
      </c>
      <c r="H152">
        <f>PSE!I6*100</f>
        <v>74.429999999999993</v>
      </c>
      <c r="I152">
        <f>PSE!J6*100</f>
        <v>73.440000000000012</v>
      </c>
      <c r="J152">
        <f>PSE!K6*100</f>
        <v>72.92</v>
      </c>
      <c r="K152">
        <f>PSE!L6*100</f>
        <v>51.04</v>
      </c>
      <c r="L152">
        <f>PSE!M6*100</f>
        <v>51.04</v>
      </c>
      <c r="M152">
        <f>PSE!N6*100</f>
        <v>53.910000000000004</v>
      </c>
      <c r="N152">
        <f>PSE!O6*100</f>
        <v>49.53</v>
      </c>
      <c r="O152">
        <f>PSE!P6*100</f>
        <v>47.03</v>
      </c>
      <c r="P152">
        <f>PSE!Q6*100</f>
        <v>45.629999999999995</v>
      </c>
    </row>
    <row r="153" spans="1:16" x14ac:dyDescent="0.2">
      <c r="A153" t="str">
        <f>PSE!B7</f>
        <v>Available FTE</v>
      </c>
      <c r="B153">
        <f>PSE!C7</f>
        <v>3</v>
      </c>
      <c r="C153">
        <f>PSE!D7</f>
        <v>1</v>
      </c>
      <c r="D153">
        <f>PSE!E7</f>
        <v>5</v>
      </c>
      <c r="E153">
        <f>PSE!F7</f>
        <v>7</v>
      </c>
      <c r="F153">
        <f>PSE!G7</f>
        <v>7</v>
      </c>
      <c r="G153">
        <f>PSE!H7</f>
        <v>10</v>
      </c>
      <c r="H153">
        <f>PSE!I7</f>
        <v>12</v>
      </c>
      <c r="I153">
        <f>PSE!J7</f>
        <v>13</v>
      </c>
      <c r="J153">
        <f>PSE!K7</f>
        <v>13</v>
      </c>
      <c r="K153">
        <f>PSE!L7</f>
        <v>24</v>
      </c>
      <c r="L153">
        <f>PSE!M7</f>
        <v>24</v>
      </c>
      <c r="M153">
        <f>PSE!N7</f>
        <v>22</v>
      </c>
      <c r="N153">
        <f>PSE!O7</f>
        <v>24</v>
      </c>
      <c r="O153">
        <f>PSE!P7</f>
        <v>25</v>
      </c>
      <c r="P153">
        <f>PSE!Q7</f>
        <v>26</v>
      </c>
    </row>
    <row r="155" spans="1:16" x14ac:dyDescent="0.2">
      <c r="B155" t="str">
        <f>PSE!C31</f>
        <v>Q2</v>
      </c>
      <c r="C155" t="str">
        <f>PSE!D31</f>
        <v>Q3</v>
      </c>
      <c r="D155" t="str">
        <f>PSE!E31</f>
        <v>Q4</v>
      </c>
      <c r="E155" t="str">
        <f>PSE!F31</f>
        <v>Q1'27</v>
      </c>
      <c r="F155" t="str">
        <f>PSE!G31</f>
        <v>Q2'27</v>
      </c>
    </row>
    <row r="156" spans="1:16" x14ac:dyDescent="0.2">
      <c r="A156" t="str">
        <f>PSE!B6</f>
        <v>% Plan</v>
      </c>
      <c r="B156">
        <f>PSE!C36*100</f>
        <v>93.49</v>
      </c>
      <c r="C156">
        <f>PSE!D36*100</f>
        <v>83.64</v>
      </c>
      <c r="D156">
        <f>PSE!E36*100</f>
        <v>73.59</v>
      </c>
      <c r="E156">
        <f>PSE!F36*100</f>
        <v>52</v>
      </c>
      <c r="F156">
        <f>PSE!G36*100</f>
        <v>47.4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8</v>
      </c>
      <c r="D157">
        <f>PSE!E37</f>
        <v>13</v>
      </c>
      <c r="E157">
        <f>PSE!F37</f>
        <v>16</v>
      </c>
      <c r="F157">
        <f>PSE!G37</f>
        <v>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pane ySplit="1" topLeftCell="A48" activePane="bottomLeft" state="frozen"/>
      <selection pane="bottomLeft" activeCell="C61" sqref="C6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32</v>
      </c>
      <c r="B2" s="6" t="s">
        <v>16</v>
      </c>
      <c r="C2" s="7">
        <v>46</v>
      </c>
      <c r="D2" s="7">
        <v>49</v>
      </c>
      <c r="E2" s="7">
        <v>51</v>
      </c>
      <c r="F2" s="7">
        <v>53</v>
      </c>
      <c r="G2" s="7">
        <v>53</v>
      </c>
      <c r="H2" s="7">
        <v>53</v>
      </c>
      <c r="I2" s="7">
        <v>53</v>
      </c>
      <c r="J2" s="7">
        <v>53</v>
      </c>
      <c r="K2" s="7">
        <v>53</v>
      </c>
      <c r="L2" s="7">
        <v>53</v>
      </c>
      <c r="M2" s="7">
        <v>53</v>
      </c>
      <c r="N2" s="7">
        <v>53</v>
      </c>
      <c r="O2" s="7">
        <v>53</v>
      </c>
      <c r="P2" s="7">
        <v>53</v>
      </c>
      <c r="Q2" s="7">
        <v>53</v>
      </c>
    </row>
    <row r="3" spans="1:17" x14ac:dyDescent="0.2">
      <c r="A3" s="11" t="s">
        <v>32</v>
      </c>
      <c r="B3" s="8" t="s">
        <v>17</v>
      </c>
      <c r="C3" s="7">
        <v>52</v>
      </c>
      <c r="D3" s="7">
        <v>52</v>
      </c>
      <c r="E3" s="7">
        <v>52</v>
      </c>
      <c r="F3" s="7">
        <v>52</v>
      </c>
      <c r="G3" s="7">
        <v>52</v>
      </c>
      <c r="H3" s="7">
        <v>52</v>
      </c>
      <c r="I3" s="7">
        <v>52</v>
      </c>
      <c r="J3" s="7">
        <v>52</v>
      </c>
      <c r="K3" s="7">
        <v>52</v>
      </c>
      <c r="L3" s="7">
        <v>52</v>
      </c>
      <c r="M3" s="7">
        <v>52</v>
      </c>
      <c r="N3" s="7">
        <v>52</v>
      </c>
      <c r="O3" s="7">
        <v>52.133333329999999</v>
      </c>
      <c r="P3" s="7">
        <v>52.133333329999999</v>
      </c>
      <c r="Q3" s="7">
        <v>52.133333329999999</v>
      </c>
    </row>
    <row r="4" spans="1:17" x14ac:dyDescent="0.2">
      <c r="A4" s="12" t="s">
        <v>32</v>
      </c>
      <c r="B4" s="9" t="s">
        <v>18</v>
      </c>
      <c r="C4" s="7">
        <v>42</v>
      </c>
      <c r="D4" s="7">
        <v>45</v>
      </c>
      <c r="E4" s="7">
        <v>46</v>
      </c>
      <c r="F4" s="7">
        <v>45</v>
      </c>
      <c r="G4" s="7">
        <v>49</v>
      </c>
      <c r="H4" s="7">
        <v>48</v>
      </c>
      <c r="I4" s="7">
        <v>50</v>
      </c>
      <c r="J4" s="7">
        <v>46</v>
      </c>
      <c r="K4" s="7">
        <v>45</v>
      </c>
      <c r="L4" s="7">
        <v>36</v>
      </c>
      <c r="M4" s="7">
        <v>35</v>
      </c>
      <c r="N4" s="7">
        <v>35</v>
      </c>
      <c r="O4" s="7">
        <v>20.07</v>
      </c>
      <c r="P4" s="7">
        <v>19.68</v>
      </c>
      <c r="Q4" s="7">
        <v>19.68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0.90329999999999999</v>
      </c>
      <c r="D6" s="18">
        <v>0.91690000000000005</v>
      </c>
      <c r="E6" s="18">
        <v>0.89239999999999997</v>
      </c>
      <c r="F6" s="18">
        <v>0.8579</v>
      </c>
      <c r="G6" s="18">
        <v>0.93210000000000004</v>
      </c>
      <c r="H6" s="18">
        <v>0.91490000000000005</v>
      </c>
      <c r="I6" s="18">
        <v>0.93469999999999998</v>
      </c>
      <c r="J6" s="18">
        <v>0.86719999999999997</v>
      </c>
      <c r="K6" s="18">
        <v>0.84330000000000005</v>
      </c>
      <c r="L6" s="18">
        <v>0.68269999999999997</v>
      </c>
      <c r="M6" s="18">
        <v>0.66490000000000005</v>
      </c>
      <c r="N6" s="18">
        <v>0.65649999999999997</v>
      </c>
      <c r="O6" s="18">
        <v>0.37869999999999998</v>
      </c>
      <c r="P6" s="18">
        <v>0.37130000000000002</v>
      </c>
      <c r="Q6" s="18">
        <v>0.37130000000000002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8</v>
      </c>
      <c r="G7" s="19">
        <v>4</v>
      </c>
      <c r="H7" s="19">
        <v>5</v>
      </c>
      <c r="I7" s="19">
        <v>3</v>
      </c>
      <c r="J7" s="19">
        <v>7</v>
      </c>
      <c r="K7" s="19">
        <v>8</v>
      </c>
      <c r="L7" s="19">
        <v>17</v>
      </c>
      <c r="M7" s="19">
        <v>18</v>
      </c>
      <c r="N7" s="19">
        <v>18</v>
      </c>
      <c r="O7" s="19">
        <v>33</v>
      </c>
      <c r="P7" s="19">
        <v>33</v>
      </c>
      <c r="Q7" s="19">
        <v>33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35</v>
      </c>
      <c r="D9" s="7">
        <v>36</v>
      </c>
      <c r="E9" s="7">
        <v>35</v>
      </c>
      <c r="F9" s="7">
        <v>36</v>
      </c>
      <c r="G9" s="7">
        <v>36</v>
      </c>
      <c r="H9" s="7">
        <v>36</v>
      </c>
      <c r="I9" s="7">
        <v>36</v>
      </c>
      <c r="J9" s="7">
        <v>36</v>
      </c>
      <c r="K9" s="7">
        <v>36</v>
      </c>
      <c r="L9" s="7">
        <v>36</v>
      </c>
      <c r="M9" s="7">
        <v>36</v>
      </c>
      <c r="N9" s="7">
        <v>36</v>
      </c>
      <c r="O9" s="7">
        <v>36</v>
      </c>
      <c r="P9" s="7">
        <v>36</v>
      </c>
      <c r="Q9" s="7">
        <v>36</v>
      </c>
    </row>
    <row r="10" spans="1:17" x14ac:dyDescent="0.2">
      <c r="A10" s="8" t="s">
        <v>17</v>
      </c>
      <c r="B10" s="11" t="s">
        <v>19</v>
      </c>
      <c r="C10" s="7">
        <v>36</v>
      </c>
      <c r="D10" s="7">
        <v>36</v>
      </c>
      <c r="E10" s="7">
        <v>36</v>
      </c>
      <c r="F10" s="7">
        <v>36</v>
      </c>
      <c r="G10" s="7">
        <v>36</v>
      </c>
      <c r="H10" s="7">
        <v>36</v>
      </c>
      <c r="I10" s="7">
        <v>36</v>
      </c>
      <c r="J10" s="7">
        <v>36</v>
      </c>
      <c r="K10" s="7">
        <v>36</v>
      </c>
      <c r="L10" s="7">
        <v>36</v>
      </c>
      <c r="M10" s="7">
        <v>36</v>
      </c>
      <c r="N10" s="7">
        <v>36</v>
      </c>
      <c r="O10" s="7">
        <v>35.833333330000002</v>
      </c>
      <c r="P10" s="7">
        <v>35.833333330000002</v>
      </c>
      <c r="Q10" s="7">
        <v>35.833333330000002</v>
      </c>
    </row>
    <row r="11" spans="1:17" x14ac:dyDescent="0.2">
      <c r="A11" s="15" t="s">
        <v>18</v>
      </c>
      <c r="B11" s="12" t="s">
        <v>19</v>
      </c>
      <c r="C11" s="7">
        <v>31</v>
      </c>
      <c r="D11" s="7">
        <v>32</v>
      </c>
      <c r="E11" s="7">
        <v>32</v>
      </c>
      <c r="F11" s="7">
        <v>31</v>
      </c>
      <c r="G11" s="7">
        <v>33</v>
      </c>
      <c r="H11" s="7">
        <v>32</v>
      </c>
      <c r="I11" s="7">
        <v>33</v>
      </c>
      <c r="J11" s="7">
        <v>31</v>
      </c>
      <c r="K11" s="7">
        <v>30</v>
      </c>
      <c r="L11" s="7">
        <v>24</v>
      </c>
      <c r="M11" s="7">
        <v>23</v>
      </c>
      <c r="N11" s="7">
        <v>23</v>
      </c>
      <c r="O11" s="7">
        <v>17.495000000000001</v>
      </c>
      <c r="P11" s="7">
        <v>17.105</v>
      </c>
      <c r="Q11" s="7">
        <v>17.105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0.85</v>
      </c>
      <c r="P15" s="7">
        <v>0.85</v>
      </c>
      <c r="Q15" s="7">
        <v>0.85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9</v>
      </c>
      <c r="D17" s="7">
        <v>11</v>
      </c>
      <c r="E17" s="7">
        <v>14</v>
      </c>
      <c r="F17" s="7">
        <v>15</v>
      </c>
      <c r="G17" s="7">
        <v>15</v>
      </c>
      <c r="H17" s="7">
        <v>15</v>
      </c>
      <c r="I17" s="7">
        <v>15</v>
      </c>
      <c r="J17" s="7">
        <v>15</v>
      </c>
      <c r="K17" s="7">
        <v>15</v>
      </c>
      <c r="L17" s="7">
        <v>15</v>
      </c>
      <c r="M17" s="7">
        <v>15</v>
      </c>
      <c r="N17" s="7">
        <v>15</v>
      </c>
      <c r="O17" s="7">
        <v>15</v>
      </c>
      <c r="P17" s="7">
        <v>15</v>
      </c>
      <c r="Q17" s="7">
        <v>15</v>
      </c>
    </row>
    <row r="18" spans="1:17" x14ac:dyDescent="0.2">
      <c r="A18" s="8" t="s">
        <v>17</v>
      </c>
      <c r="B18" s="11" t="s">
        <v>21</v>
      </c>
      <c r="C18" s="7">
        <v>12</v>
      </c>
      <c r="D18" s="7">
        <v>12</v>
      </c>
      <c r="E18" s="7">
        <v>12</v>
      </c>
      <c r="F18" s="7">
        <v>12</v>
      </c>
      <c r="G18" s="7">
        <v>12</v>
      </c>
      <c r="H18" s="7">
        <v>12</v>
      </c>
      <c r="I18" s="7">
        <v>12</v>
      </c>
      <c r="J18" s="7">
        <v>12</v>
      </c>
      <c r="K18" s="7">
        <v>12</v>
      </c>
      <c r="L18" s="7">
        <v>12</v>
      </c>
      <c r="M18" s="7">
        <v>12</v>
      </c>
      <c r="N18" s="7">
        <v>12</v>
      </c>
      <c r="O18" s="7">
        <v>12</v>
      </c>
      <c r="P18" s="7">
        <v>12</v>
      </c>
      <c r="Q18" s="7">
        <v>12</v>
      </c>
    </row>
    <row r="19" spans="1:17" x14ac:dyDescent="0.2">
      <c r="A19" s="15" t="s">
        <v>18</v>
      </c>
      <c r="B19" s="12" t="s">
        <v>21</v>
      </c>
      <c r="C19" s="7">
        <v>8</v>
      </c>
      <c r="D19" s="7">
        <v>11</v>
      </c>
      <c r="E19" s="7">
        <v>12</v>
      </c>
      <c r="F19" s="7">
        <v>13</v>
      </c>
      <c r="G19" s="7">
        <v>15</v>
      </c>
      <c r="H19" s="7">
        <v>15</v>
      </c>
      <c r="I19" s="7">
        <v>15</v>
      </c>
      <c r="J19" s="7">
        <v>13</v>
      </c>
      <c r="K19" s="7">
        <v>13</v>
      </c>
      <c r="L19" s="7">
        <v>10</v>
      </c>
      <c r="M19" s="7">
        <v>10</v>
      </c>
      <c r="N19" s="7">
        <v>10</v>
      </c>
      <c r="O19" s="7">
        <v>2</v>
      </c>
      <c r="P19" s="7">
        <v>2</v>
      </c>
      <c r="Q19" s="7">
        <v>2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32</v>
      </c>
      <c r="B32" s="6" t="s">
        <v>16</v>
      </c>
      <c r="C32" s="20">
        <v>49</v>
      </c>
      <c r="D32" s="20">
        <v>53</v>
      </c>
      <c r="E32" s="20">
        <v>53</v>
      </c>
      <c r="F32" s="20">
        <v>53</v>
      </c>
      <c r="G32" s="20">
        <v>53</v>
      </c>
    </row>
    <row r="33" spans="1:7" x14ac:dyDescent="0.2">
      <c r="A33" s="11" t="s">
        <v>32</v>
      </c>
      <c r="B33" s="8" t="s">
        <v>17</v>
      </c>
      <c r="C33" s="20">
        <v>52</v>
      </c>
      <c r="D33" s="20">
        <v>52</v>
      </c>
      <c r="E33" s="20">
        <v>52</v>
      </c>
      <c r="F33" s="20">
        <v>52</v>
      </c>
      <c r="G33" s="20">
        <v>52</v>
      </c>
    </row>
    <row r="34" spans="1:7" x14ac:dyDescent="0.2">
      <c r="A34" s="12" t="s">
        <v>32</v>
      </c>
      <c r="B34" s="9" t="s">
        <v>18</v>
      </c>
      <c r="C34" s="20">
        <v>44</v>
      </c>
      <c r="D34" s="20">
        <v>48</v>
      </c>
      <c r="E34" s="20">
        <v>47</v>
      </c>
      <c r="F34" s="20">
        <v>35</v>
      </c>
      <c r="G34" s="20">
        <v>20</v>
      </c>
    </row>
    <row r="35" spans="1:7" x14ac:dyDescent="0.2">
      <c r="A35" s="16"/>
      <c r="B35" s="7"/>
      <c r="C35" s="24">
        <v>9.6000000000000002E-2</v>
      </c>
      <c r="D35" s="24">
        <v>9.8400000000000001E-2</v>
      </c>
      <c r="E35" s="24">
        <v>0.1183</v>
      </c>
      <c r="F35" s="24">
        <v>0.33200000000000002</v>
      </c>
      <c r="G35" s="24">
        <v>0.62619999999999998</v>
      </c>
    </row>
    <row r="36" spans="1:7" x14ac:dyDescent="0.2">
      <c r="A36" s="7"/>
      <c r="B36" s="17" t="s">
        <v>23</v>
      </c>
      <c r="C36" s="18">
        <v>0.90400000000000003</v>
      </c>
      <c r="D36" s="18">
        <v>0.90159999999999996</v>
      </c>
      <c r="E36" s="18">
        <v>0.88170000000000004</v>
      </c>
      <c r="F36" s="18">
        <v>0.66800000000000004</v>
      </c>
      <c r="G36" s="18">
        <v>0.37380000000000002</v>
      </c>
    </row>
    <row r="37" spans="1:7" x14ac:dyDescent="0.2">
      <c r="A37" s="16"/>
      <c r="B37" s="17" t="s">
        <v>24</v>
      </c>
      <c r="C37" s="19">
        <v>5</v>
      </c>
      <c r="D37" s="19">
        <v>5</v>
      </c>
      <c r="E37" s="19">
        <v>6</v>
      </c>
      <c r="F37" s="19">
        <v>11</v>
      </c>
      <c r="G37" s="19">
        <v>33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35</v>
      </c>
      <c r="D39" s="20">
        <v>36</v>
      </c>
      <c r="E39" s="20">
        <v>36</v>
      </c>
      <c r="F39" s="20">
        <v>36</v>
      </c>
      <c r="G39" s="20">
        <v>36</v>
      </c>
    </row>
    <row r="40" spans="1:7" x14ac:dyDescent="0.2">
      <c r="A40" s="8" t="s">
        <v>17</v>
      </c>
      <c r="B40" s="11" t="s">
        <v>19</v>
      </c>
      <c r="C40" s="20">
        <v>36</v>
      </c>
      <c r="D40" s="20">
        <v>36</v>
      </c>
      <c r="E40" s="20">
        <v>36</v>
      </c>
      <c r="F40" s="20">
        <v>36</v>
      </c>
      <c r="G40" s="20">
        <v>36</v>
      </c>
    </row>
    <row r="41" spans="1:7" x14ac:dyDescent="0.2">
      <c r="A41" s="15" t="s">
        <v>18</v>
      </c>
      <c r="B41" s="12" t="s">
        <v>19</v>
      </c>
      <c r="C41" s="20">
        <v>32</v>
      </c>
      <c r="D41" s="20">
        <v>32</v>
      </c>
      <c r="E41" s="20">
        <v>31</v>
      </c>
      <c r="F41" s="20">
        <v>23</v>
      </c>
      <c r="G41" s="20">
        <v>17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1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11</v>
      </c>
      <c r="D47" s="20">
        <v>15</v>
      </c>
      <c r="E47" s="20">
        <v>15</v>
      </c>
      <c r="F47" s="20">
        <v>15</v>
      </c>
      <c r="G47" s="20">
        <v>15</v>
      </c>
    </row>
    <row r="48" spans="1:7" x14ac:dyDescent="0.2">
      <c r="A48" s="8" t="s">
        <v>17</v>
      </c>
      <c r="B48" s="11" t="s">
        <v>21</v>
      </c>
      <c r="C48" s="20">
        <v>12</v>
      </c>
      <c r="D48" s="20">
        <v>12</v>
      </c>
      <c r="E48" s="20">
        <v>12</v>
      </c>
      <c r="F48" s="20">
        <v>12</v>
      </c>
      <c r="G48" s="20">
        <v>12</v>
      </c>
    </row>
    <row r="49" spans="1:17" x14ac:dyDescent="0.2">
      <c r="A49" s="15" t="s">
        <v>18</v>
      </c>
      <c r="B49" s="12" t="s">
        <v>21</v>
      </c>
      <c r="C49" s="20">
        <v>10</v>
      </c>
      <c r="D49" s="20">
        <v>14</v>
      </c>
      <c r="E49" s="20">
        <v>14</v>
      </c>
      <c r="F49" s="20">
        <v>10</v>
      </c>
      <c r="G49" s="20">
        <v>2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46</v>
      </c>
      <c r="D62" s="11">
        <v>49</v>
      </c>
      <c r="E62" s="11">
        <v>51</v>
      </c>
      <c r="F62" s="11">
        <v>53</v>
      </c>
      <c r="G62" s="11">
        <v>53</v>
      </c>
      <c r="H62" s="11">
        <v>53</v>
      </c>
      <c r="I62" s="11">
        <v>53</v>
      </c>
      <c r="J62" s="11">
        <v>53</v>
      </c>
      <c r="K62" s="11">
        <v>53</v>
      </c>
      <c r="L62" s="11">
        <v>53</v>
      </c>
      <c r="M62" s="11">
        <v>53</v>
      </c>
      <c r="N62" s="11">
        <v>53</v>
      </c>
      <c r="O62" s="11">
        <v>53</v>
      </c>
      <c r="P62" s="11">
        <v>53</v>
      </c>
      <c r="Q62" s="11">
        <v>53</v>
      </c>
    </row>
    <row r="63" spans="1:17" x14ac:dyDescent="0.2">
      <c r="A63" s="28"/>
      <c r="B63" s="38" t="s">
        <v>18</v>
      </c>
      <c r="C63" s="39">
        <v>41.551250000000003</v>
      </c>
      <c r="D63" s="39">
        <v>44.926250000000003</v>
      </c>
      <c r="E63" s="39">
        <v>45.513750000000002</v>
      </c>
      <c r="F63" s="39">
        <v>45.47</v>
      </c>
      <c r="G63" s="39">
        <v>49.4</v>
      </c>
      <c r="H63" s="39">
        <v>48.49</v>
      </c>
      <c r="I63" s="39">
        <v>49.54</v>
      </c>
      <c r="J63" s="39">
        <v>45.96</v>
      </c>
      <c r="K63" s="39">
        <v>44.697499999999998</v>
      </c>
      <c r="L63" s="39">
        <v>36.181874999999998</v>
      </c>
      <c r="M63" s="39">
        <v>35.241875</v>
      </c>
      <c r="N63" s="39">
        <v>34.791874999999997</v>
      </c>
      <c r="O63" s="39">
        <v>20.07</v>
      </c>
      <c r="P63" s="39">
        <v>19.68</v>
      </c>
      <c r="Q63" s="39">
        <v>19.68</v>
      </c>
    </row>
    <row r="64" spans="1:17" x14ac:dyDescent="0.2">
      <c r="A64" s="40" t="s">
        <v>51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51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52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52</v>
      </c>
      <c r="B67" s="9" t="s">
        <v>18</v>
      </c>
      <c r="C67" s="7">
        <v>2.4562499999999998</v>
      </c>
      <c r="D67" s="7">
        <v>3.53125</v>
      </c>
      <c r="E67" s="7">
        <v>3.1937500000000001</v>
      </c>
      <c r="F67" s="7">
        <v>3.2</v>
      </c>
      <c r="G67" s="7">
        <v>4.0999999999999996</v>
      </c>
      <c r="H67" s="7">
        <v>4.1624999999999996</v>
      </c>
      <c r="I67" s="7">
        <v>5.2374999999999998</v>
      </c>
      <c r="J67" s="7">
        <v>4.4874999999999998</v>
      </c>
      <c r="K67" s="7">
        <v>4.4249999999999998</v>
      </c>
      <c r="L67" s="7">
        <v>3.609375</v>
      </c>
      <c r="M67" s="7">
        <v>3.1343749999999999</v>
      </c>
      <c r="N67" s="7">
        <v>3.1343749999999999</v>
      </c>
      <c r="O67" s="7">
        <v>2.9624999999999999</v>
      </c>
      <c r="P67" s="7">
        <v>2.9125000000000001</v>
      </c>
      <c r="Q67" s="7">
        <v>2.9125000000000001</v>
      </c>
    </row>
    <row r="68" spans="1:17" x14ac:dyDescent="0.2">
      <c r="A68" s="40" t="s">
        <v>53</v>
      </c>
      <c r="B68" s="41" t="s">
        <v>16</v>
      </c>
      <c r="C68" s="40">
        <v>7</v>
      </c>
      <c r="D68" s="40">
        <v>7</v>
      </c>
      <c r="E68" s="40">
        <v>7</v>
      </c>
      <c r="F68" s="40">
        <v>7</v>
      </c>
      <c r="G68" s="40">
        <v>7</v>
      </c>
      <c r="H68" s="40">
        <v>7</v>
      </c>
      <c r="I68" s="40">
        <v>7</v>
      </c>
      <c r="J68" s="40">
        <v>7</v>
      </c>
      <c r="K68" s="40">
        <v>7</v>
      </c>
      <c r="L68" s="40">
        <v>7</v>
      </c>
      <c r="M68" s="40">
        <v>7</v>
      </c>
      <c r="N68" s="40">
        <v>7</v>
      </c>
      <c r="O68" s="40">
        <v>7</v>
      </c>
      <c r="P68" s="40">
        <v>7</v>
      </c>
      <c r="Q68" s="40">
        <v>7</v>
      </c>
    </row>
    <row r="69" spans="1:17" x14ac:dyDescent="0.2">
      <c r="A69" s="31" t="s">
        <v>53</v>
      </c>
      <c r="B69" s="9" t="s">
        <v>18</v>
      </c>
      <c r="C69" s="7">
        <v>6.12</v>
      </c>
      <c r="D69" s="7">
        <v>5.7149999999999999</v>
      </c>
      <c r="E69" s="7">
        <v>6.3825000000000003</v>
      </c>
      <c r="F69" s="7">
        <v>5.89</v>
      </c>
      <c r="G69" s="7">
        <v>5.72</v>
      </c>
      <c r="H69" s="7">
        <v>5.5949999999999998</v>
      </c>
      <c r="I69" s="7">
        <v>5.2450000000000001</v>
      </c>
      <c r="J69" s="7">
        <v>5.07</v>
      </c>
      <c r="K69" s="7">
        <v>5.0199999999999996</v>
      </c>
      <c r="L69" s="7">
        <v>4.7050000000000001</v>
      </c>
      <c r="M69" s="7">
        <v>4.5650000000000004</v>
      </c>
      <c r="N69" s="7">
        <v>4.4649999999999999</v>
      </c>
      <c r="O69" s="7">
        <v>4.6050000000000004</v>
      </c>
      <c r="P69" s="7">
        <v>4.4649999999999999</v>
      </c>
      <c r="Q69" s="7">
        <v>4.4649999999999999</v>
      </c>
    </row>
    <row r="70" spans="1:17" x14ac:dyDescent="0.2">
      <c r="A70" s="33" t="s">
        <v>54</v>
      </c>
      <c r="B70" s="34" t="s">
        <v>16</v>
      </c>
      <c r="C70" s="34">
        <v>6</v>
      </c>
      <c r="D70" s="34">
        <v>6</v>
      </c>
      <c r="E70" s="34">
        <v>6</v>
      </c>
      <c r="F70" s="34">
        <v>6</v>
      </c>
      <c r="G70" s="34">
        <v>6</v>
      </c>
      <c r="H70" s="34">
        <v>6</v>
      </c>
      <c r="I70" s="34">
        <v>6</v>
      </c>
      <c r="J70" s="34">
        <v>6</v>
      </c>
      <c r="K70" s="34">
        <v>6</v>
      </c>
      <c r="L70" s="34">
        <v>6</v>
      </c>
      <c r="M70" s="34">
        <v>6</v>
      </c>
      <c r="N70" s="34">
        <v>6</v>
      </c>
      <c r="O70" s="34">
        <v>6</v>
      </c>
      <c r="P70" s="34">
        <v>6</v>
      </c>
      <c r="Q70" s="34">
        <v>6</v>
      </c>
    </row>
    <row r="71" spans="1:17" x14ac:dyDescent="0.2">
      <c r="A71" s="35" t="s">
        <v>55</v>
      </c>
      <c r="B71" s="36" t="s">
        <v>18</v>
      </c>
      <c r="C71" s="32">
        <v>5.12</v>
      </c>
      <c r="D71" s="32">
        <v>4.7149999999999999</v>
      </c>
      <c r="E71" s="32">
        <v>5.3825000000000003</v>
      </c>
      <c r="F71" s="32">
        <v>5.04</v>
      </c>
      <c r="G71" s="32">
        <v>4.87</v>
      </c>
      <c r="H71" s="32">
        <v>4.7450000000000001</v>
      </c>
      <c r="I71" s="32">
        <v>4.3949999999999996</v>
      </c>
      <c r="J71" s="32">
        <v>4.22</v>
      </c>
      <c r="K71" s="32">
        <v>4.17</v>
      </c>
      <c r="L71" s="32">
        <v>3.855</v>
      </c>
      <c r="M71" s="32">
        <v>3.7149999999999999</v>
      </c>
      <c r="N71" s="32">
        <v>3.6150000000000002</v>
      </c>
      <c r="O71" s="32">
        <v>3.7549999999999999</v>
      </c>
      <c r="P71" s="32">
        <v>3.6150000000000002</v>
      </c>
      <c r="Q71" s="32">
        <v>3.6150000000000002</v>
      </c>
    </row>
    <row r="72" spans="1:17" x14ac:dyDescent="0.2">
      <c r="A72" s="33" t="s">
        <v>56</v>
      </c>
      <c r="B72" s="34" t="s">
        <v>16</v>
      </c>
      <c r="C72" s="34">
        <v>1</v>
      </c>
      <c r="D72" s="34">
        <v>1</v>
      </c>
      <c r="E72" s="34">
        <v>1</v>
      </c>
      <c r="F72" s="34">
        <v>1</v>
      </c>
      <c r="G72" s="34">
        <v>1</v>
      </c>
      <c r="H72" s="34">
        <v>1</v>
      </c>
      <c r="I72" s="34">
        <v>1</v>
      </c>
      <c r="J72" s="34">
        <v>1</v>
      </c>
      <c r="K72" s="34">
        <v>1</v>
      </c>
      <c r="L72" s="34">
        <v>1</v>
      </c>
      <c r="M72" s="34">
        <v>1</v>
      </c>
      <c r="N72" s="34">
        <v>1</v>
      </c>
      <c r="O72" s="34">
        <v>1</v>
      </c>
      <c r="P72" s="34">
        <v>1</v>
      </c>
      <c r="Q72" s="34">
        <v>1</v>
      </c>
    </row>
    <row r="73" spans="1:17" x14ac:dyDescent="0.2">
      <c r="A73" s="35" t="s">
        <v>57</v>
      </c>
      <c r="B73" s="36" t="s">
        <v>18</v>
      </c>
      <c r="C73" s="32">
        <v>1</v>
      </c>
      <c r="D73" s="32">
        <v>1</v>
      </c>
      <c r="E73" s="32">
        <v>1</v>
      </c>
      <c r="F73" s="32">
        <v>0.85</v>
      </c>
      <c r="G73" s="32">
        <v>0.85</v>
      </c>
      <c r="H73" s="32">
        <v>0.85</v>
      </c>
      <c r="I73" s="32">
        <v>0.85</v>
      </c>
      <c r="J73" s="32">
        <v>0.85</v>
      </c>
      <c r="K73" s="32">
        <v>0.85</v>
      </c>
      <c r="L73" s="32">
        <v>0.85</v>
      </c>
      <c r="M73" s="32">
        <v>0.85</v>
      </c>
      <c r="N73" s="32">
        <v>0.85</v>
      </c>
      <c r="O73" s="32">
        <v>0.85</v>
      </c>
      <c r="P73" s="32">
        <v>0.85</v>
      </c>
      <c r="Q73" s="32">
        <v>0.85</v>
      </c>
    </row>
    <row r="74" spans="1:17" x14ac:dyDescent="0.2">
      <c r="A74" s="40" t="s">
        <v>58</v>
      </c>
      <c r="B74" s="41" t="s">
        <v>16</v>
      </c>
      <c r="C74" s="40">
        <v>4</v>
      </c>
      <c r="D74" s="40">
        <v>4</v>
      </c>
      <c r="E74" s="40">
        <v>4</v>
      </c>
      <c r="F74" s="40">
        <v>4</v>
      </c>
      <c r="G74" s="40">
        <v>4</v>
      </c>
      <c r="H74" s="40">
        <v>4</v>
      </c>
      <c r="I74" s="40">
        <v>4</v>
      </c>
      <c r="J74" s="40">
        <v>4</v>
      </c>
      <c r="K74" s="40">
        <v>4</v>
      </c>
      <c r="L74" s="40">
        <v>4</v>
      </c>
      <c r="M74" s="40">
        <v>4</v>
      </c>
      <c r="N74" s="40">
        <v>4</v>
      </c>
      <c r="O74" s="40">
        <v>4</v>
      </c>
      <c r="P74" s="40">
        <v>4</v>
      </c>
      <c r="Q74" s="40">
        <v>4</v>
      </c>
    </row>
    <row r="75" spans="1:17" x14ac:dyDescent="0.2">
      <c r="A75" s="31" t="s">
        <v>58</v>
      </c>
      <c r="B75" s="9" t="s">
        <v>18</v>
      </c>
      <c r="C75" s="7">
        <v>3.8650000000000002</v>
      </c>
      <c r="D75" s="7">
        <v>3.38</v>
      </c>
      <c r="E75" s="7">
        <v>3.68</v>
      </c>
      <c r="F75" s="7">
        <v>3.81</v>
      </c>
      <c r="G75" s="7">
        <v>3.9874999999999998</v>
      </c>
      <c r="H75" s="7">
        <v>3.5</v>
      </c>
      <c r="I75" s="7">
        <v>3.55</v>
      </c>
      <c r="J75" s="7">
        <v>3.55</v>
      </c>
      <c r="K75" s="7">
        <v>3.4750000000000001</v>
      </c>
      <c r="L75" s="7">
        <v>2.76</v>
      </c>
      <c r="M75" s="7">
        <v>2.76</v>
      </c>
      <c r="N75" s="7">
        <v>2.71</v>
      </c>
      <c r="O75" s="7">
        <v>0.27</v>
      </c>
      <c r="P75" s="7">
        <v>0.22</v>
      </c>
      <c r="Q75" s="7">
        <v>0.22</v>
      </c>
    </row>
    <row r="76" spans="1:17" x14ac:dyDescent="0.2">
      <c r="A76" s="40" t="s">
        <v>59</v>
      </c>
      <c r="B76" s="41" t="s">
        <v>16</v>
      </c>
      <c r="C76" s="40">
        <v>2</v>
      </c>
      <c r="D76" s="40">
        <v>2</v>
      </c>
      <c r="E76" s="40">
        <v>2</v>
      </c>
      <c r="F76" s="40">
        <v>3</v>
      </c>
      <c r="G76" s="40">
        <v>3</v>
      </c>
      <c r="H76" s="40">
        <v>3</v>
      </c>
      <c r="I76" s="40">
        <v>3</v>
      </c>
      <c r="J76" s="40">
        <v>3</v>
      </c>
      <c r="K76" s="40">
        <v>3</v>
      </c>
      <c r="L76" s="40">
        <v>3</v>
      </c>
      <c r="M76" s="40">
        <v>3</v>
      </c>
      <c r="N76" s="40">
        <v>3</v>
      </c>
      <c r="O76" s="40">
        <v>3</v>
      </c>
      <c r="P76" s="40">
        <v>3</v>
      </c>
      <c r="Q76" s="40">
        <v>3</v>
      </c>
    </row>
    <row r="77" spans="1:17" x14ac:dyDescent="0.2">
      <c r="A77" s="31" t="s">
        <v>59</v>
      </c>
      <c r="B77" s="9" t="s">
        <v>18</v>
      </c>
      <c r="C77" s="7">
        <v>2.5550000000000002</v>
      </c>
      <c r="D77" s="7">
        <v>2.585</v>
      </c>
      <c r="E77" s="7">
        <v>2.2149999999999999</v>
      </c>
      <c r="F77" s="7">
        <v>2.2625000000000002</v>
      </c>
      <c r="G77" s="7">
        <v>2.2625000000000002</v>
      </c>
      <c r="H77" s="7">
        <v>2.2925</v>
      </c>
      <c r="I77" s="7">
        <v>2.355</v>
      </c>
      <c r="J77" s="7">
        <v>2.2050000000000001</v>
      </c>
      <c r="K77" s="7">
        <v>2.2050000000000001</v>
      </c>
      <c r="L77" s="7">
        <v>0.82499999999999996</v>
      </c>
      <c r="M77" s="7">
        <v>0.82499999999999996</v>
      </c>
      <c r="N77" s="7">
        <v>0.82499999999999996</v>
      </c>
      <c r="O77" s="7">
        <v>0.57499999999999996</v>
      </c>
      <c r="P77" s="7">
        <v>0.57499999999999996</v>
      </c>
      <c r="Q77" s="7">
        <v>0.57499999999999996</v>
      </c>
    </row>
    <row r="78" spans="1:17" x14ac:dyDescent="0.2">
      <c r="A78" s="40" t="s">
        <v>60</v>
      </c>
      <c r="B78" s="41" t="s">
        <v>16</v>
      </c>
      <c r="C78" s="40">
        <v>3</v>
      </c>
      <c r="D78" s="40">
        <v>3</v>
      </c>
      <c r="E78" s="40">
        <v>3</v>
      </c>
      <c r="F78" s="40">
        <v>3</v>
      </c>
      <c r="G78" s="40">
        <v>3</v>
      </c>
      <c r="H78" s="40">
        <v>3</v>
      </c>
      <c r="I78" s="40">
        <v>3</v>
      </c>
      <c r="J78" s="40">
        <v>3</v>
      </c>
      <c r="K78" s="40">
        <v>3</v>
      </c>
      <c r="L78" s="40">
        <v>3</v>
      </c>
      <c r="M78" s="40">
        <v>3</v>
      </c>
      <c r="N78" s="40">
        <v>3</v>
      </c>
      <c r="O78" s="40">
        <v>3</v>
      </c>
      <c r="P78" s="40">
        <v>3</v>
      </c>
      <c r="Q78" s="40">
        <v>3</v>
      </c>
    </row>
    <row r="79" spans="1:17" x14ac:dyDescent="0.2">
      <c r="A79" s="31" t="s">
        <v>60</v>
      </c>
      <c r="B79" s="9" t="s">
        <v>18</v>
      </c>
      <c r="C79" s="7">
        <v>2.85</v>
      </c>
      <c r="D79" s="7">
        <v>3.35</v>
      </c>
      <c r="E79" s="7">
        <v>2.5125000000000002</v>
      </c>
      <c r="F79" s="7">
        <v>2.1575000000000002</v>
      </c>
      <c r="G79" s="7">
        <v>2.1324999999999998</v>
      </c>
      <c r="H79" s="7">
        <v>2.1324999999999998</v>
      </c>
      <c r="I79" s="7">
        <v>2.1324999999999998</v>
      </c>
      <c r="J79" s="7">
        <v>2.1324999999999998</v>
      </c>
      <c r="K79" s="7">
        <v>1.8325</v>
      </c>
      <c r="L79" s="7">
        <v>1.3125</v>
      </c>
      <c r="M79" s="7">
        <v>1.3125</v>
      </c>
      <c r="N79" s="7">
        <v>1.3125</v>
      </c>
      <c r="O79" s="7">
        <v>0.51249999999999996</v>
      </c>
      <c r="P79" s="7">
        <v>0.51249999999999996</v>
      </c>
      <c r="Q79" s="7">
        <v>0.51249999999999996</v>
      </c>
    </row>
    <row r="80" spans="1:17" x14ac:dyDescent="0.2">
      <c r="A80" s="40" t="s">
        <v>61</v>
      </c>
      <c r="B80" s="41" t="s">
        <v>16</v>
      </c>
      <c r="C80" s="40">
        <v>4</v>
      </c>
      <c r="D80" s="40">
        <v>4</v>
      </c>
      <c r="E80" s="40">
        <v>4</v>
      </c>
      <c r="F80" s="40">
        <v>4</v>
      </c>
      <c r="G80" s="40">
        <v>4</v>
      </c>
      <c r="H80" s="40">
        <v>4</v>
      </c>
      <c r="I80" s="40">
        <v>4</v>
      </c>
      <c r="J80" s="40">
        <v>4</v>
      </c>
      <c r="K80" s="40">
        <v>4</v>
      </c>
      <c r="L80" s="40">
        <v>4</v>
      </c>
      <c r="M80" s="40">
        <v>4</v>
      </c>
      <c r="N80" s="40">
        <v>4</v>
      </c>
      <c r="O80" s="40">
        <v>4</v>
      </c>
      <c r="P80" s="40">
        <v>4</v>
      </c>
      <c r="Q80" s="40">
        <v>4</v>
      </c>
    </row>
    <row r="81" spans="1:17" x14ac:dyDescent="0.2">
      <c r="A81" s="31" t="s">
        <v>61</v>
      </c>
      <c r="B81" s="9" t="s">
        <v>18</v>
      </c>
      <c r="C81" s="7">
        <v>3.5</v>
      </c>
      <c r="D81" s="7">
        <v>3.53</v>
      </c>
      <c r="E81" s="7">
        <v>3.48</v>
      </c>
      <c r="F81" s="7">
        <v>3.0550000000000002</v>
      </c>
      <c r="G81" s="7">
        <v>3.9049999999999998</v>
      </c>
      <c r="H81" s="7">
        <v>3.9925000000000002</v>
      </c>
      <c r="I81" s="7">
        <v>4.4450000000000003</v>
      </c>
      <c r="J81" s="7">
        <v>4.0949999999999998</v>
      </c>
      <c r="K81" s="7">
        <v>3.57</v>
      </c>
      <c r="L81" s="7">
        <v>2.1124999999999998</v>
      </c>
      <c r="M81" s="7">
        <v>1.7875000000000001</v>
      </c>
      <c r="N81" s="7">
        <v>1.4875</v>
      </c>
      <c r="O81" s="7">
        <v>0.9375</v>
      </c>
      <c r="P81" s="7">
        <v>0.78749999999999998</v>
      </c>
      <c r="Q81" s="7">
        <v>0.78749999999999998</v>
      </c>
    </row>
    <row r="82" spans="1:17" x14ac:dyDescent="0.2">
      <c r="A82" s="40" t="s">
        <v>62</v>
      </c>
      <c r="B82" s="41" t="s">
        <v>16</v>
      </c>
      <c r="C82" s="40">
        <v>5</v>
      </c>
      <c r="D82" s="40">
        <v>6</v>
      </c>
      <c r="E82" s="40">
        <v>5</v>
      </c>
      <c r="F82" s="40">
        <v>5</v>
      </c>
      <c r="G82" s="40">
        <v>5</v>
      </c>
      <c r="H82" s="40">
        <v>5</v>
      </c>
      <c r="I82" s="40">
        <v>5</v>
      </c>
      <c r="J82" s="40">
        <v>5</v>
      </c>
      <c r="K82" s="40">
        <v>5</v>
      </c>
      <c r="L82" s="40">
        <v>5</v>
      </c>
      <c r="M82" s="40">
        <v>5</v>
      </c>
      <c r="N82" s="40">
        <v>5</v>
      </c>
      <c r="O82" s="40">
        <v>5</v>
      </c>
      <c r="P82" s="40">
        <v>5</v>
      </c>
      <c r="Q82" s="40">
        <v>5</v>
      </c>
    </row>
    <row r="83" spans="1:17" x14ac:dyDescent="0.2">
      <c r="A83" s="31" t="s">
        <v>62</v>
      </c>
      <c r="B83" s="9" t="s">
        <v>18</v>
      </c>
      <c r="C83" s="7">
        <v>4.9000000000000004</v>
      </c>
      <c r="D83" s="7">
        <v>5.2750000000000004</v>
      </c>
      <c r="E83" s="7">
        <v>4.95</v>
      </c>
      <c r="F83" s="7">
        <v>4.9050000000000002</v>
      </c>
      <c r="G83" s="7">
        <v>5.4024999999999999</v>
      </c>
      <c r="H83" s="7">
        <v>5.04</v>
      </c>
      <c r="I83" s="7">
        <v>4.6150000000000002</v>
      </c>
      <c r="J83" s="7">
        <v>4.6150000000000002</v>
      </c>
      <c r="K83" s="7">
        <v>4.6150000000000002</v>
      </c>
      <c r="L83" s="7">
        <v>3.3025000000000002</v>
      </c>
      <c r="M83" s="7">
        <v>3.3025000000000002</v>
      </c>
      <c r="N83" s="7">
        <v>3.3025000000000002</v>
      </c>
      <c r="O83" s="7">
        <v>3.1524999999999999</v>
      </c>
      <c r="P83" s="7">
        <v>3.1524999999999999</v>
      </c>
      <c r="Q83" s="7">
        <v>3.1524999999999999</v>
      </c>
    </row>
    <row r="84" spans="1:17" x14ac:dyDescent="0.2">
      <c r="A84" s="40" t="s">
        <v>63</v>
      </c>
      <c r="B84" s="41" t="s">
        <v>16</v>
      </c>
      <c r="C84" s="40">
        <v>12</v>
      </c>
      <c r="D84" s="40">
        <v>14</v>
      </c>
      <c r="E84" s="40">
        <v>17</v>
      </c>
      <c r="F84" s="40">
        <v>18</v>
      </c>
      <c r="G84" s="40">
        <v>18</v>
      </c>
      <c r="H84" s="40">
        <v>18</v>
      </c>
      <c r="I84" s="40">
        <v>18</v>
      </c>
      <c r="J84" s="40">
        <v>18</v>
      </c>
      <c r="K84" s="40">
        <v>18</v>
      </c>
      <c r="L84" s="40">
        <v>18</v>
      </c>
      <c r="M84" s="40">
        <v>18</v>
      </c>
      <c r="N84" s="40">
        <v>18</v>
      </c>
      <c r="O84" s="40">
        <v>18</v>
      </c>
      <c r="P84" s="40">
        <v>18</v>
      </c>
      <c r="Q84" s="40">
        <v>18</v>
      </c>
    </row>
    <row r="85" spans="1:17" x14ac:dyDescent="0.2">
      <c r="A85" s="31" t="s">
        <v>63</v>
      </c>
      <c r="B85" s="9" t="s">
        <v>18</v>
      </c>
      <c r="C85" s="7">
        <v>11.234999999999999</v>
      </c>
      <c r="D85" s="7">
        <v>13.49</v>
      </c>
      <c r="E85" s="7">
        <v>14.86</v>
      </c>
      <c r="F85" s="7">
        <v>16.059999999999999</v>
      </c>
      <c r="G85" s="7">
        <v>17.760000000000002</v>
      </c>
      <c r="H85" s="7">
        <v>17.434999999999999</v>
      </c>
      <c r="I85" s="7">
        <v>17.350000000000001</v>
      </c>
      <c r="J85" s="7">
        <v>15.074999999999999</v>
      </c>
      <c r="K85" s="7">
        <v>14.824999999999999</v>
      </c>
      <c r="L85" s="7">
        <v>12.824999999999999</v>
      </c>
      <c r="M85" s="7">
        <v>12.824999999999999</v>
      </c>
      <c r="N85" s="7">
        <v>12.824999999999999</v>
      </c>
      <c r="O85" s="7">
        <v>2.3250000000000002</v>
      </c>
      <c r="P85" s="7">
        <v>2.3250000000000002</v>
      </c>
      <c r="Q85" s="7">
        <v>2.3250000000000002</v>
      </c>
    </row>
    <row r="86" spans="1:17" x14ac:dyDescent="0.2">
      <c r="A86" s="33" t="s">
        <v>64</v>
      </c>
      <c r="B86" s="34" t="s">
        <v>16</v>
      </c>
      <c r="C86" s="34">
        <v>2</v>
      </c>
      <c r="D86" s="34">
        <v>2</v>
      </c>
      <c r="E86" s="34">
        <v>2</v>
      </c>
      <c r="F86" s="34">
        <v>2</v>
      </c>
      <c r="G86" s="34">
        <v>2</v>
      </c>
      <c r="H86" s="34">
        <v>2</v>
      </c>
      <c r="I86" s="34">
        <v>2</v>
      </c>
      <c r="J86" s="34">
        <v>2</v>
      </c>
      <c r="K86" s="34">
        <v>2</v>
      </c>
      <c r="L86" s="34">
        <v>2</v>
      </c>
      <c r="M86" s="34">
        <v>2</v>
      </c>
      <c r="N86" s="34">
        <v>2</v>
      </c>
      <c r="O86" s="34">
        <v>2</v>
      </c>
      <c r="P86" s="34">
        <v>2</v>
      </c>
      <c r="Q86" s="34">
        <v>2</v>
      </c>
    </row>
    <row r="87" spans="1:17" x14ac:dyDescent="0.2">
      <c r="A87" s="35" t="s">
        <v>65</v>
      </c>
      <c r="B87" s="36" t="s">
        <v>18</v>
      </c>
      <c r="C87" s="32">
        <v>1.885</v>
      </c>
      <c r="D87" s="32">
        <v>1.99</v>
      </c>
      <c r="E87" s="32">
        <v>1.96</v>
      </c>
      <c r="F87" s="32">
        <v>2.21</v>
      </c>
      <c r="G87" s="32">
        <v>1.91</v>
      </c>
      <c r="H87" s="32">
        <v>1.66</v>
      </c>
      <c r="I87" s="32">
        <v>1.45</v>
      </c>
      <c r="J87" s="32">
        <v>1.2</v>
      </c>
      <c r="K87" s="32">
        <v>1.1000000000000001</v>
      </c>
      <c r="L87" s="32">
        <v>1.6</v>
      </c>
      <c r="M87" s="32">
        <v>1.6</v>
      </c>
      <c r="N87" s="32">
        <v>1.6</v>
      </c>
      <c r="O87" s="32">
        <v>0.6</v>
      </c>
      <c r="P87" s="32">
        <v>0.6</v>
      </c>
      <c r="Q87" s="32">
        <v>0.6</v>
      </c>
    </row>
    <row r="88" spans="1:17" x14ac:dyDescent="0.2">
      <c r="A88" s="33" t="s">
        <v>66</v>
      </c>
      <c r="B88" s="34" t="s">
        <v>16</v>
      </c>
      <c r="C88" s="34">
        <v>1</v>
      </c>
      <c r="D88" s="34">
        <v>1</v>
      </c>
      <c r="E88" s="34">
        <v>1</v>
      </c>
      <c r="F88" s="34">
        <v>1</v>
      </c>
      <c r="G88" s="34">
        <v>1</v>
      </c>
      <c r="H88" s="34">
        <v>1</v>
      </c>
      <c r="I88" s="34">
        <v>1</v>
      </c>
      <c r="J88" s="34">
        <v>1</v>
      </c>
      <c r="K88" s="34">
        <v>1</v>
      </c>
      <c r="L88" s="34">
        <v>1</v>
      </c>
      <c r="M88" s="34">
        <v>1</v>
      </c>
      <c r="N88" s="34">
        <v>1</v>
      </c>
      <c r="O88" s="34">
        <v>1</v>
      </c>
      <c r="P88" s="34">
        <v>1</v>
      </c>
      <c r="Q88" s="34">
        <v>1</v>
      </c>
    </row>
    <row r="89" spans="1:17" x14ac:dyDescent="0.2">
      <c r="A89" s="35" t="s">
        <v>67</v>
      </c>
      <c r="B89" s="36" t="s">
        <v>18</v>
      </c>
      <c r="C89" s="32">
        <v>1</v>
      </c>
      <c r="D89" s="32">
        <v>1</v>
      </c>
      <c r="E89" s="32">
        <v>1</v>
      </c>
      <c r="F89" s="32">
        <v>1</v>
      </c>
      <c r="G89" s="32">
        <v>1</v>
      </c>
      <c r="H89" s="32">
        <v>1</v>
      </c>
      <c r="I89" s="32">
        <v>1</v>
      </c>
      <c r="J89" s="32">
        <v>1</v>
      </c>
      <c r="K89" s="32">
        <v>1</v>
      </c>
      <c r="L89" s="32">
        <v>1</v>
      </c>
      <c r="M89" s="32">
        <v>1</v>
      </c>
      <c r="N89" s="32">
        <v>1</v>
      </c>
      <c r="O89" s="32">
        <v>0</v>
      </c>
      <c r="P89" s="32">
        <v>0</v>
      </c>
      <c r="Q89" s="32">
        <v>0</v>
      </c>
    </row>
    <row r="90" spans="1:17" x14ac:dyDescent="0.2">
      <c r="A90" s="33" t="s">
        <v>68</v>
      </c>
      <c r="B90" s="34" t="s">
        <v>16</v>
      </c>
      <c r="C90" s="34">
        <v>9</v>
      </c>
      <c r="D90" s="34">
        <v>11</v>
      </c>
      <c r="E90" s="34">
        <v>14</v>
      </c>
      <c r="F90" s="34">
        <v>15</v>
      </c>
      <c r="G90" s="34">
        <v>15</v>
      </c>
      <c r="H90" s="34">
        <v>15</v>
      </c>
      <c r="I90" s="34">
        <v>15</v>
      </c>
      <c r="J90" s="34">
        <v>15</v>
      </c>
      <c r="K90" s="34">
        <v>15</v>
      </c>
      <c r="L90" s="34">
        <v>15</v>
      </c>
      <c r="M90" s="34">
        <v>15</v>
      </c>
      <c r="N90" s="34">
        <v>15</v>
      </c>
      <c r="O90" s="34">
        <v>15</v>
      </c>
      <c r="P90" s="34">
        <v>15</v>
      </c>
      <c r="Q90" s="34">
        <v>15</v>
      </c>
    </row>
    <row r="91" spans="1:17" x14ac:dyDescent="0.2">
      <c r="A91" s="35" t="s">
        <v>69</v>
      </c>
      <c r="B91" s="36" t="s">
        <v>18</v>
      </c>
      <c r="C91" s="32">
        <v>8.35</v>
      </c>
      <c r="D91" s="32">
        <v>10.5</v>
      </c>
      <c r="E91" s="32">
        <v>11.9</v>
      </c>
      <c r="F91" s="32">
        <v>12.85</v>
      </c>
      <c r="G91" s="32">
        <v>14.85</v>
      </c>
      <c r="H91" s="32">
        <v>14.775</v>
      </c>
      <c r="I91" s="32">
        <v>14.9</v>
      </c>
      <c r="J91" s="32">
        <v>12.875</v>
      </c>
      <c r="K91" s="32">
        <v>12.725</v>
      </c>
      <c r="L91" s="32">
        <v>10.225</v>
      </c>
      <c r="M91" s="32">
        <v>10.225</v>
      </c>
      <c r="N91" s="32">
        <v>10.225</v>
      </c>
      <c r="O91" s="32">
        <v>1.7250000000000001</v>
      </c>
      <c r="P91" s="32">
        <v>1.7250000000000001</v>
      </c>
      <c r="Q91" s="32">
        <v>1.7250000000000001</v>
      </c>
    </row>
    <row r="92" spans="1:17" x14ac:dyDescent="0.2">
      <c r="A92" s="40" t="s">
        <v>70</v>
      </c>
      <c r="B92" s="41" t="s">
        <v>16</v>
      </c>
      <c r="C92" s="40">
        <v>4</v>
      </c>
      <c r="D92" s="40">
        <v>4</v>
      </c>
      <c r="E92" s="40">
        <v>4</v>
      </c>
      <c r="F92" s="40">
        <v>4</v>
      </c>
      <c r="G92" s="40">
        <v>4</v>
      </c>
      <c r="H92" s="40">
        <v>4</v>
      </c>
      <c r="I92" s="40">
        <v>4</v>
      </c>
      <c r="J92" s="40">
        <v>4</v>
      </c>
      <c r="K92" s="40">
        <v>4</v>
      </c>
      <c r="L92" s="40">
        <v>4</v>
      </c>
      <c r="M92" s="40">
        <v>4</v>
      </c>
      <c r="N92" s="40">
        <v>4</v>
      </c>
      <c r="O92" s="40">
        <v>4</v>
      </c>
      <c r="P92" s="40">
        <v>4</v>
      </c>
      <c r="Q92" s="40">
        <v>4</v>
      </c>
    </row>
    <row r="93" spans="1:17" x14ac:dyDescent="0.2">
      <c r="A93" s="31" t="s">
        <v>70</v>
      </c>
      <c r="B93" s="9" t="s">
        <v>18</v>
      </c>
      <c r="C93" s="7">
        <v>3.07</v>
      </c>
      <c r="D93" s="7">
        <v>3.07</v>
      </c>
      <c r="E93" s="7">
        <v>3.24</v>
      </c>
      <c r="F93" s="7">
        <v>3.13</v>
      </c>
      <c r="G93" s="7">
        <v>3.13</v>
      </c>
      <c r="H93" s="7">
        <v>3.34</v>
      </c>
      <c r="I93" s="7">
        <v>3.61</v>
      </c>
      <c r="J93" s="7">
        <v>3.73</v>
      </c>
      <c r="K93" s="7">
        <v>3.73</v>
      </c>
      <c r="L93" s="7">
        <v>3.73</v>
      </c>
      <c r="M93" s="7">
        <v>3.73</v>
      </c>
      <c r="N93" s="7">
        <v>3.73</v>
      </c>
      <c r="O93" s="7">
        <v>3.73</v>
      </c>
      <c r="P93" s="7">
        <v>3.73</v>
      </c>
      <c r="Q93" s="7">
        <v>3.73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9" activePane="bottomLeft" state="frozen"/>
      <selection pane="bottomLeft" activeCell="H152" sqref="H152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APR</v>
      </c>
      <c r="C1" t="str">
        <f>IF(SD!D1&gt;0,SD!D1,"")</f>
        <v>MAY</v>
      </c>
      <c r="D1" t="str">
        <f>IF(SD!E1&gt;0,SD!E1,"")</f>
        <v>JUN</v>
      </c>
      <c r="E1" t="str">
        <f>IF(SD!F1&gt;0,SD!F1,"")</f>
        <v>JUL</v>
      </c>
      <c r="F1" t="str">
        <f>IF(SD!G1&gt;0,SD!G1,"")</f>
        <v>AUG</v>
      </c>
      <c r="G1" t="str">
        <f>IF(SD!H1&gt;0,SD!H1,"")</f>
        <v>SEP</v>
      </c>
      <c r="H1" t="str">
        <f>IF(SD!I1&gt;0,SD!I1,"")</f>
        <v>OCT</v>
      </c>
      <c r="I1" t="str">
        <f>IF(SD!J1&gt;0,SD!J1,"")</f>
        <v>NOV</v>
      </c>
      <c r="J1" t="str">
        <f>IF(SD!K1&gt;0,SD!K1,"")</f>
        <v>DEC</v>
      </c>
      <c r="K1" t="str">
        <f>IF(SD!L1&gt;0,SD!L1,"")</f>
        <v>JAN'27</v>
      </c>
      <c r="L1" t="str">
        <f>IF(SD!M1&gt;0,SD!M1,"")</f>
        <v>FEB'27</v>
      </c>
      <c r="M1" t="str">
        <f>IF(SD!N1&gt;0,SD!N1,"")</f>
        <v>MAR'27</v>
      </c>
      <c r="N1" t="str">
        <f>IF(SD!O1&gt;0,SD!O1,"")</f>
        <v>APR'27</v>
      </c>
      <c r="O1" t="str">
        <f>IF(SD!P1&gt;0,SD!P1,"")</f>
        <v>MAY'27</v>
      </c>
      <c r="P1" t="str">
        <f>IF(SD!Q1&gt;0,SD!Q1,"")</f>
        <v>JUN'27</v>
      </c>
    </row>
    <row r="2" spans="1:16" x14ac:dyDescent="0.2">
      <c r="A2" t="str">
        <f>IF(SD!B2&gt;0,SD!B2,"")</f>
        <v>Staff</v>
      </c>
      <c r="B2">
        <f>IF(SD!C2&gt;0,SD!C2,"")</f>
        <v>46</v>
      </c>
      <c r="C2">
        <f>IF(SD!D2&gt;0,SD!D2,"")</f>
        <v>49</v>
      </c>
      <c r="D2">
        <f>IF(SD!E2&gt;0,SD!E2,"")</f>
        <v>51</v>
      </c>
      <c r="E2">
        <f>IF(SD!F2&gt;0,SD!F2,"")</f>
        <v>53</v>
      </c>
      <c r="F2">
        <f>IF(SD!G2&gt;0,SD!G2,"")</f>
        <v>53</v>
      </c>
      <c r="G2">
        <f>IF(SD!H2&gt;0,SD!H2,"")</f>
        <v>53</v>
      </c>
      <c r="H2">
        <f>IF(SD!I2&gt;0,SD!I2,"")</f>
        <v>53</v>
      </c>
      <c r="I2">
        <f>IF(SD!J2&gt;0,SD!J2,"")</f>
        <v>53</v>
      </c>
      <c r="J2">
        <f>IF(SD!K2&gt;0,SD!K2,"")</f>
        <v>53</v>
      </c>
      <c r="K2">
        <f>IF(SD!L2&gt;0,SD!L2,"")</f>
        <v>53</v>
      </c>
      <c r="L2">
        <f>IF(SD!M2&gt;0,SD!M2,"")</f>
        <v>53</v>
      </c>
      <c r="M2">
        <f>IF(SD!N2&gt;0,SD!N2,"")</f>
        <v>53</v>
      </c>
      <c r="N2">
        <f>IF(SD!O2&gt;0,SD!O2,"")</f>
        <v>53</v>
      </c>
      <c r="O2">
        <f>IF(SD!P2&gt;0,SD!P2,"")</f>
        <v>53</v>
      </c>
      <c r="P2">
        <f>IF(SD!Q2&gt;0,SD!Q2,"")</f>
        <v>53</v>
      </c>
    </row>
    <row r="3" spans="1:16" x14ac:dyDescent="0.2">
      <c r="A3" t="str">
        <f>IF(SD!B3&gt;0,SD!B3,"")</f>
        <v>Staff AVG</v>
      </c>
      <c r="B3">
        <f>IF(SD!C3&gt;0,SD!C3,"")</f>
        <v>52</v>
      </c>
      <c r="C3">
        <f>IF(SD!D3&gt;0,SD!D3,"")</f>
        <v>52</v>
      </c>
      <c r="D3">
        <f>IF(SD!E3&gt;0,SD!E3,"")</f>
        <v>52</v>
      </c>
      <c r="E3">
        <f>IF(SD!F3&gt;0,SD!F3,"")</f>
        <v>52</v>
      </c>
      <c r="F3">
        <f>IF(SD!G3&gt;0,SD!G3,"")</f>
        <v>52</v>
      </c>
      <c r="G3">
        <f>IF(SD!H3&gt;0,SD!H3,"")</f>
        <v>52</v>
      </c>
      <c r="H3">
        <f>IF(SD!I3&gt;0,SD!I3,"")</f>
        <v>52</v>
      </c>
      <c r="I3">
        <f>IF(SD!J3&gt;0,SD!J3,"")</f>
        <v>52</v>
      </c>
      <c r="J3">
        <f>IF(SD!K3&gt;0,SD!K3,"")</f>
        <v>52</v>
      </c>
      <c r="K3">
        <f>IF(SD!L3&gt;0,SD!L3,"")</f>
        <v>52</v>
      </c>
      <c r="L3">
        <f>IF(SD!M3&gt;0,SD!M3,"")</f>
        <v>52</v>
      </c>
      <c r="M3">
        <f>IF(SD!N3&gt;0,SD!N3,"")</f>
        <v>52</v>
      </c>
      <c r="N3">
        <f>IF(SD!O3&gt;0,SD!O3,"")</f>
        <v>52.133333329999999</v>
      </c>
      <c r="O3">
        <f>IF(SD!P3&gt;0,SD!P3,"")</f>
        <v>52.133333329999999</v>
      </c>
      <c r="P3">
        <f>IF(SD!Q3&gt;0,SD!Q3,"")</f>
        <v>52.133333329999999</v>
      </c>
    </row>
    <row r="4" spans="1:16" x14ac:dyDescent="0.2">
      <c r="A4" t="str">
        <f>IF(SD!B4&gt;0,SD!B4,"")</f>
        <v>Plan</v>
      </c>
      <c r="B4">
        <f>IF(SD!C4&gt;0,SD!C4,"")</f>
        <v>42</v>
      </c>
      <c r="C4">
        <f>IF(SD!D4&gt;0,SD!D4,"")</f>
        <v>45</v>
      </c>
      <c r="D4">
        <f>IF(SD!E4&gt;0,SD!E4,"")</f>
        <v>46</v>
      </c>
      <c r="E4">
        <f>IF(SD!F4&gt;0,SD!F4,"")</f>
        <v>45</v>
      </c>
      <c r="F4">
        <f>IF(SD!G4&gt;0,SD!G4,"")</f>
        <v>49</v>
      </c>
      <c r="G4">
        <f>IF(SD!H4&gt;0,SD!H4,"")</f>
        <v>48</v>
      </c>
      <c r="H4">
        <f>IF(SD!I4&gt;0,SD!I4,"")</f>
        <v>50</v>
      </c>
      <c r="I4">
        <f>IF(SD!J4&gt;0,SD!J4,"")</f>
        <v>46</v>
      </c>
      <c r="J4">
        <f>IF(SD!K4&gt;0,SD!K4,"")</f>
        <v>45</v>
      </c>
      <c r="K4">
        <f>IF(SD!L4&gt;0,SD!L4,"")</f>
        <v>36</v>
      </c>
      <c r="L4">
        <f>IF(SD!M4&gt;0,SD!M4,"")</f>
        <v>35</v>
      </c>
      <c r="M4">
        <f>IF(SD!N4&gt;0,SD!N4,"")</f>
        <v>35</v>
      </c>
      <c r="N4">
        <f>IF(SD!O4&gt;0,SD!O4,"")</f>
        <v>20.07</v>
      </c>
      <c r="O4">
        <f>IF(SD!P4&gt;0,SD!P4,"")</f>
        <v>19.68</v>
      </c>
      <c r="P4">
        <f>IF(SD!Q4&gt;0,SD!Q4,"")</f>
        <v>19.68</v>
      </c>
    </row>
    <row r="5" spans="1:16" x14ac:dyDescent="0.2">
      <c r="A5" t="str">
        <f>IF(SD!B11&gt;0,SD!B11,"")</f>
        <v>PAYROLL</v>
      </c>
      <c r="B5">
        <f>IF(SD!C11&gt;0,SD!C11,"")</f>
        <v>31</v>
      </c>
      <c r="C5">
        <f>IF(SD!D11&gt;0,SD!D11,"")</f>
        <v>32</v>
      </c>
      <c r="D5">
        <f>IF(SD!E11&gt;0,SD!E11,"")</f>
        <v>32</v>
      </c>
      <c r="E5">
        <f>IF(SD!F11&gt;0,SD!F11,"")</f>
        <v>31</v>
      </c>
      <c r="F5">
        <f>IF(SD!G11&gt;0,SD!G11,"")</f>
        <v>33</v>
      </c>
      <c r="G5">
        <f>IF(SD!H11&gt;0,SD!H11,"")</f>
        <v>32</v>
      </c>
      <c r="H5">
        <f>IF(SD!I11&gt;0,SD!I11,"")</f>
        <v>33</v>
      </c>
      <c r="I5">
        <f>IF(SD!J11&gt;0,SD!J11,"")</f>
        <v>31</v>
      </c>
      <c r="J5">
        <f>IF(SD!K11&gt;0,SD!K11,"")</f>
        <v>30</v>
      </c>
      <c r="K5">
        <f>IF(SD!L11&gt;0,SD!L11,"")</f>
        <v>24</v>
      </c>
      <c r="L5">
        <f>IF(SD!M11&gt;0,SD!M11,"")</f>
        <v>23</v>
      </c>
      <c r="M5">
        <f>IF(SD!N11&gt;0,SD!N11,"")</f>
        <v>23</v>
      </c>
      <c r="N5">
        <f>IF(SD!O11&gt;0,SD!O11,"")</f>
        <v>17.495000000000001</v>
      </c>
      <c r="O5">
        <f>IF(SD!P11&gt;0,SD!P11,"")</f>
        <v>17.105</v>
      </c>
      <c r="P5">
        <f>IF(SD!Q11&gt;0,SD!Q11,"")</f>
        <v>17.105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0.85</v>
      </c>
      <c r="O6">
        <f>IF(SD!P15&gt;0,SD!P15,"")</f>
        <v>0.85</v>
      </c>
      <c r="P6">
        <f>IF(SD!Q15&gt;0,SD!Q15,"")</f>
        <v>0.85</v>
      </c>
    </row>
    <row r="7" spans="1:16" x14ac:dyDescent="0.2">
      <c r="A7" t="str">
        <f>IF(SD!B19&gt;0,SD!B19,"")</f>
        <v>OUTSOURCE</v>
      </c>
      <c r="B7">
        <f>IF(SD!C19&gt;0,SD!C19,"")</f>
        <v>8</v>
      </c>
      <c r="C7">
        <f>IF(SD!D19&gt;0,SD!D19,"")</f>
        <v>11</v>
      </c>
      <c r="D7">
        <f>IF(SD!E19&gt;0,SD!E19,"")</f>
        <v>12</v>
      </c>
      <c r="E7">
        <f>IF(SD!F19&gt;0,SD!F19,"")</f>
        <v>13</v>
      </c>
      <c r="F7">
        <f>IF(SD!G19&gt;0,SD!G19,"")</f>
        <v>15</v>
      </c>
      <c r="G7">
        <f>IF(SD!H19&gt;0,SD!H19,"")</f>
        <v>15</v>
      </c>
      <c r="H7">
        <f>IF(SD!I19&gt;0,SD!I19,"")</f>
        <v>15</v>
      </c>
      <c r="I7">
        <f>IF(SD!J19&gt;0,SD!J19,"")</f>
        <v>13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2</v>
      </c>
      <c r="O7">
        <f>IF(SD!P19&gt;0,SD!P19,"")</f>
        <v>2</v>
      </c>
      <c r="P7">
        <f>IF(SD!Q19&gt;0,SD!Q19,"")</f>
        <v>2</v>
      </c>
    </row>
    <row r="11" spans="1:16" x14ac:dyDescent="0.2">
      <c r="B11" t="str">
        <f>IF(SD!C1&gt;0,SD!C1,"")</f>
        <v>APR</v>
      </c>
      <c r="C11" t="str">
        <f>IF(SD!D1&gt;0,SD!D1,"")</f>
        <v>MAY</v>
      </c>
      <c r="D11" t="str">
        <f>IF(SD!E1&gt;0,SD!E1,"")</f>
        <v>JUN</v>
      </c>
      <c r="E11" t="str">
        <f>IF(SD!F1&gt;0,SD!F1,"")</f>
        <v>JUL</v>
      </c>
      <c r="F11" t="str">
        <f>IF(SD!G1&gt;0,SD!G1,"")</f>
        <v>AUG</v>
      </c>
      <c r="G11" t="str">
        <f>IF(SD!H1&gt;0,SD!H1,"")</f>
        <v>SEP</v>
      </c>
      <c r="H11" t="str">
        <f>IF(SD!I1&gt;0,SD!I1,"")</f>
        <v>OCT</v>
      </c>
      <c r="I11" t="str">
        <f>IF(SD!J1&gt;0,SD!J1,"")</f>
        <v>NOV</v>
      </c>
      <c r="J11" t="str">
        <f>IF(SD!K1&gt;0,SD!K1,"")</f>
        <v>DEC</v>
      </c>
      <c r="K11" t="str">
        <f>IF(SD!L1&gt;0,SD!L1,"")</f>
        <v>JAN'27</v>
      </c>
      <c r="L11" t="str">
        <f>IF(SD!M1&gt;0,SD!M1,"")</f>
        <v>FEB'27</v>
      </c>
      <c r="M11" t="str">
        <f>IF(SD!N1&gt;0,SD!N1,"")</f>
        <v>MAR'27</v>
      </c>
      <c r="N11" t="str">
        <f>IF(SD!O1&gt;0,SD!O1,"")</f>
        <v>APR'27</v>
      </c>
      <c r="O11" t="str">
        <f>IF(SD!P1&gt;0,SD!P1,"")</f>
        <v>MAY'27</v>
      </c>
      <c r="P11" t="str">
        <f>IF(SD!Q1&gt;0,SD!Q1,"")</f>
        <v>JUN'27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36</v>
      </c>
      <c r="D12">
        <f>IF(SD!E9&gt;0,SD!E9,"")</f>
        <v>35</v>
      </c>
      <c r="E12">
        <f>IF(SD!F9&gt;0,SD!F9,"")</f>
        <v>36</v>
      </c>
      <c r="F12">
        <f>IF(SD!G9&gt;0,SD!G9,"")</f>
        <v>36</v>
      </c>
      <c r="G12">
        <f>IF(SD!H9&gt;0,SD!H9,"")</f>
        <v>36</v>
      </c>
      <c r="H12">
        <f>IF(SD!I9&gt;0,SD!I9,"")</f>
        <v>36</v>
      </c>
      <c r="I12">
        <f>IF(SD!J9&gt;0,SD!J9,"")</f>
        <v>36</v>
      </c>
      <c r="J12">
        <f>IF(SD!K9&gt;0,SD!K9,"")</f>
        <v>36</v>
      </c>
      <c r="K12">
        <f>IF(SD!L9&gt;0,SD!L9,"")</f>
        <v>36</v>
      </c>
      <c r="L12">
        <f>IF(SD!M9&gt;0,SD!M9,"")</f>
        <v>36</v>
      </c>
      <c r="M12">
        <f>IF(SD!N9&gt;0,SD!N9,"")</f>
        <v>36</v>
      </c>
      <c r="N12">
        <f>IF(SD!O9&gt;0,SD!O9,"")</f>
        <v>36</v>
      </c>
      <c r="O12">
        <f>IF(SD!P9&gt;0,SD!P9,"")</f>
        <v>36</v>
      </c>
      <c r="P12">
        <f>IF(SD!Q9&gt;0,SD!Q9,"")</f>
        <v>36</v>
      </c>
    </row>
    <row r="13" spans="1:16" x14ac:dyDescent="0.2">
      <c r="A13" t="str">
        <f>IF(SD!B3&gt;0,SD!B3,"")</f>
        <v>Staff AVG</v>
      </c>
      <c r="B13">
        <f>IF(SD!C10&gt;0,SD!C10,"")</f>
        <v>36</v>
      </c>
      <c r="C13">
        <f>IF(SD!D10&gt;0,SD!D10,"")</f>
        <v>36</v>
      </c>
      <c r="D13">
        <f>IF(SD!E10&gt;0,SD!E10,"")</f>
        <v>36</v>
      </c>
      <c r="E13">
        <f>IF(SD!F10&gt;0,SD!F10,"")</f>
        <v>36</v>
      </c>
      <c r="F13">
        <f>IF(SD!G10&gt;0,SD!G10,"")</f>
        <v>36</v>
      </c>
      <c r="G13">
        <f>IF(SD!H10&gt;0,SD!H10,"")</f>
        <v>36</v>
      </c>
      <c r="H13">
        <f>IF(SD!I10&gt;0,SD!I10,"")</f>
        <v>36</v>
      </c>
      <c r="I13">
        <f>IF(SD!J10&gt;0,SD!J10,"")</f>
        <v>36</v>
      </c>
      <c r="J13">
        <f>IF(SD!K10&gt;0,SD!K10,"")</f>
        <v>36</v>
      </c>
      <c r="K13">
        <f>IF(SD!L10&gt;0,SD!L10,"")</f>
        <v>36</v>
      </c>
      <c r="L13">
        <f>IF(SD!M10&gt;0,SD!M10,"")</f>
        <v>36</v>
      </c>
      <c r="M13">
        <f>IF(SD!N10&gt;0,SD!N10,"")</f>
        <v>36</v>
      </c>
      <c r="N13">
        <f>IF(SD!O10&gt;0,SD!O10,"")</f>
        <v>35.833333330000002</v>
      </c>
      <c r="O13">
        <f>IF(SD!P10&gt;0,SD!P10,"")</f>
        <v>35.833333330000002</v>
      </c>
      <c r="P13">
        <f>IF(SD!Q10&gt;0,SD!Q10,"")</f>
        <v>35.833333330000002</v>
      </c>
    </row>
    <row r="14" spans="1:16" x14ac:dyDescent="0.2">
      <c r="A14" t="str">
        <f>IF(SD!B4&gt;0,SD!B4,"")</f>
        <v>Plan</v>
      </c>
      <c r="B14">
        <f>IF(SD!C11&gt;0,SD!C11,"")</f>
        <v>31</v>
      </c>
      <c r="C14">
        <f>IF(SD!D11&gt;0,SD!D11,"")</f>
        <v>32</v>
      </c>
      <c r="D14">
        <f>IF(SD!E11&gt;0,SD!E11,"")</f>
        <v>32</v>
      </c>
      <c r="E14">
        <f>IF(SD!F11&gt;0,SD!F11,"")</f>
        <v>31</v>
      </c>
      <c r="F14">
        <f>IF(SD!G11&gt;0,SD!G11,"")</f>
        <v>33</v>
      </c>
      <c r="G14">
        <f>IF(SD!H11&gt;0,SD!H11,"")</f>
        <v>32</v>
      </c>
      <c r="H14">
        <f>IF(SD!I11&gt;0,SD!I11,"")</f>
        <v>33</v>
      </c>
      <c r="I14">
        <f>IF(SD!J11&gt;0,SD!J11,"")</f>
        <v>31</v>
      </c>
      <c r="J14">
        <f>IF(SD!K11&gt;0,SD!K11,"")</f>
        <v>30</v>
      </c>
      <c r="K14">
        <f>IF(SD!L11&gt;0,SD!L11,"")</f>
        <v>24</v>
      </c>
      <c r="L14">
        <f>IF(SD!M11&gt;0,SD!M11,"")</f>
        <v>23</v>
      </c>
      <c r="M14">
        <f>IF(SD!N11&gt;0,SD!N11,"")</f>
        <v>23</v>
      </c>
      <c r="N14">
        <f>IF(SD!O11&gt;0,SD!O11,"")</f>
        <v>17.495000000000001</v>
      </c>
      <c r="O14">
        <f>IF(SD!P11&gt;0,SD!P11,"")</f>
        <v>17.105</v>
      </c>
      <c r="P14">
        <f>IF(SD!Q11&gt;0,SD!Q11,"")</f>
        <v>17.105</v>
      </c>
    </row>
    <row r="21" spans="1:16" x14ac:dyDescent="0.2">
      <c r="B21" t="str">
        <f>IF(SD!C1&gt;0,SD!C1,"")</f>
        <v>APR</v>
      </c>
      <c r="C21" t="str">
        <f>IF(SD!D1&gt;0,SD!D1,"")</f>
        <v>MAY</v>
      </c>
      <c r="D21" t="str">
        <f>IF(SD!E1&gt;0,SD!E1,"")</f>
        <v>JUN</v>
      </c>
      <c r="E21" t="str">
        <f>IF(SD!F1&gt;0,SD!F1,"")</f>
        <v>JUL</v>
      </c>
      <c r="F21" t="str">
        <f>IF(SD!G1&gt;0,SD!G1,"")</f>
        <v>AUG</v>
      </c>
      <c r="G21" t="str">
        <f>IF(SD!H1&gt;0,SD!H1,"")</f>
        <v>SEP</v>
      </c>
      <c r="H21" t="str">
        <f>IF(SD!I1&gt;0,SD!I1,"")</f>
        <v>OCT</v>
      </c>
      <c r="I21" t="str">
        <f>IF(SD!J1&gt;0,SD!J1,"")</f>
        <v>NOV</v>
      </c>
      <c r="J21" t="str">
        <f>IF(SD!K1&gt;0,SD!K1,"")</f>
        <v>DEC</v>
      </c>
      <c r="K21" t="str">
        <f>IF(SD!L1&gt;0,SD!L1,"")</f>
        <v>JAN'27</v>
      </c>
      <c r="L21" t="str">
        <f>IF(SD!M1&gt;0,SD!M1,"")</f>
        <v>FEB'27</v>
      </c>
      <c r="M21" t="str">
        <f>IF(SD!N1&gt;0,SD!N1,"")</f>
        <v>MAR'27</v>
      </c>
      <c r="N21" t="str">
        <f>IF(SD!O1&gt;0,SD!O1,"")</f>
        <v>APR'27</v>
      </c>
      <c r="O21" t="str">
        <f>IF(SD!P1&gt;0,SD!P1,"")</f>
        <v>MAY'27</v>
      </c>
      <c r="P21" t="str">
        <f>IF(SD!Q1&gt;0,SD!Q1,"")</f>
        <v>JUN'27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0.85</v>
      </c>
      <c r="O24">
        <f>IF(SD!P15&gt;0,SD!P15,"")</f>
        <v>0.85</v>
      </c>
      <c r="P24">
        <f>IF(SD!Q15&gt;0,SD!Q15,"")</f>
        <v>0.85</v>
      </c>
    </row>
    <row r="31" spans="1:16" x14ac:dyDescent="0.2">
      <c r="B31" t="str">
        <f>IF(SD!C1&gt;0,SD!C1,"")</f>
        <v>APR</v>
      </c>
      <c r="C31" t="str">
        <f>IF(SD!D1&gt;0,SD!D1,"")</f>
        <v>MAY</v>
      </c>
      <c r="D31" t="str">
        <f>IF(SD!E1&gt;0,SD!E1,"")</f>
        <v>JUN</v>
      </c>
      <c r="E31" t="str">
        <f>IF(SD!F1&gt;0,SD!F1,"")</f>
        <v>JUL</v>
      </c>
      <c r="F31" t="str">
        <f>IF(SD!G1&gt;0,SD!G1,"")</f>
        <v>AUG</v>
      </c>
      <c r="G31" t="str">
        <f>IF(SD!H1&gt;0,SD!H1,"")</f>
        <v>SEP</v>
      </c>
      <c r="H31" t="str">
        <f>IF(SD!I1&gt;0,SD!I1,"")</f>
        <v>OCT</v>
      </c>
      <c r="I31" t="str">
        <f>IF(SD!J1&gt;0,SD!J1,"")</f>
        <v>NOV</v>
      </c>
      <c r="J31" t="str">
        <f>IF(SD!K1&gt;0,SD!K1,"")</f>
        <v>DEC</v>
      </c>
      <c r="K31" t="str">
        <f>IF(SD!L1&gt;0,SD!L1,"")</f>
        <v>JAN'27</v>
      </c>
      <c r="L31" t="str">
        <f>IF(SD!M1&gt;0,SD!M1,"")</f>
        <v>FEB'27</v>
      </c>
      <c r="M31" t="str">
        <f>IF(SD!N1&gt;0,SD!N1,"")</f>
        <v>MAR'27</v>
      </c>
      <c r="N31" t="str">
        <f>IF(SD!O1&gt;0,SD!O1,"")</f>
        <v>APR'27</v>
      </c>
      <c r="O31" t="str">
        <f>IF(SD!P1&gt;0,SD!P1,"")</f>
        <v>MAY'27</v>
      </c>
      <c r="P31" t="str">
        <f>IF(SD!Q1&gt;0,SD!Q1,"")</f>
        <v>JUN'27</v>
      </c>
    </row>
    <row r="32" spans="1:16" x14ac:dyDescent="0.2">
      <c r="A32" t="str">
        <f>IF(SD!B2&gt;0,SD!B2,"")</f>
        <v>Staff</v>
      </c>
      <c r="B32">
        <f>IF(SD!C17&gt;0,SD!C17,"")</f>
        <v>9</v>
      </c>
      <c r="C32">
        <f>IF(SD!D17&gt;0,SD!D17,"")</f>
        <v>11</v>
      </c>
      <c r="D32">
        <f>IF(SD!E17&gt;0,SD!E17,"")</f>
        <v>14</v>
      </c>
      <c r="E32">
        <f>IF(SD!F17&gt;0,SD!F17,"")</f>
        <v>15</v>
      </c>
      <c r="F32">
        <f>IF(SD!G17&gt;0,SD!G17,"")</f>
        <v>15</v>
      </c>
      <c r="G32">
        <f>IF(SD!H17&gt;0,SD!H17,"")</f>
        <v>15</v>
      </c>
      <c r="H32">
        <f>IF(SD!I17&gt;0,SD!I17,"")</f>
        <v>15</v>
      </c>
      <c r="I32">
        <f>IF(SD!J17&gt;0,SD!J17,"")</f>
        <v>15</v>
      </c>
      <c r="J32">
        <f>IF(SD!K17&gt;0,SD!K17,"")</f>
        <v>15</v>
      </c>
      <c r="K32">
        <f>IF(SD!L17&gt;0,SD!L17,"")</f>
        <v>15</v>
      </c>
      <c r="L32">
        <f>IF(SD!M17&gt;0,SD!M17,"")</f>
        <v>15</v>
      </c>
      <c r="M32">
        <f>IF(SD!N17&gt;0,SD!N17,"")</f>
        <v>15</v>
      </c>
      <c r="N32">
        <f>IF(SD!O17&gt;0,SD!O17,"")</f>
        <v>15</v>
      </c>
      <c r="O32">
        <f>IF(SD!P17&gt;0,SD!P17,"")</f>
        <v>15</v>
      </c>
      <c r="P32">
        <f>IF(SD!Q17&gt;0,SD!Q17,"")</f>
        <v>15</v>
      </c>
    </row>
    <row r="33" spans="1:16" x14ac:dyDescent="0.2">
      <c r="A33" t="str">
        <f>IF(SD!B3&gt;0,SD!B3,"")</f>
        <v>Staff AVG</v>
      </c>
      <c r="B33">
        <f>IF(SD!C18&gt;0,SD!C18,"")</f>
        <v>12</v>
      </c>
      <c r="C33">
        <f>IF(SD!D18&gt;0,SD!D18,"")</f>
        <v>12</v>
      </c>
      <c r="D33">
        <f>IF(SD!E18&gt;0,SD!E18,"")</f>
        <v>12</v>
      </c>
      <c r="E33">
        <f>IF(SD!F18&gt;0,SD!F18,"")</f>
        <v>12</v>
      </c>
      <c r="F33">
        <f>IF(SD!G18&gt;0,SD!G18,"")</f>
        <v>12</v>
      </c>
      <c r="G33">
        <f>IF(SD!H18&gt;0,SD!H18,"")</f>
        <v>12</v>
      </c>
      <c r="H33">
        <f>IF(SD!I18&gt;0,SD!I18,"")</f>
        <v>12</v>
      </c>
      <c r="I33">
        <f>IF(SD!J18&gt;0,SD!J18,"")</f>
        <v>12</v>
      </c>
      <c r="J33">
        <f>IF(SD!K18&gt;0,SD!K18,"")</f>
        <v>12</v>
      </c>
      <c r="K33">
        <f>IF(SD!L18&gt;0,SD!L18,"")</f>
        <v>12</v>
      </c>
      <c r="L33">
        <f>IF(SD!M18&gt;0,SD!M18,"")</f>
        <v>12</v>
      </c>
      <c r="M33">
        <f>IF(SD!N18&gt;0,SD!N18,"")</f>
        <v>12</v>
      </c>
      <c r="N33">
        <f>IF(SD!O18&gt;0,SD!O18,"")</f>
        <v>12</v>
      </c>
      <c r="O33">
        <f>IF(SD!P18&gt;0,SD!P18,"")</f>
        <v>12</v>
      </c>
      <c r="P33">
        <f>IF(SD!Q18&gt;0,SD!Q18,"")</f>
        <v>12</v>
      </c>
    </row>
    <row r="34" spans="1:16" x14ac:dyDescent="0.2">
      <c r="A34" t="str">
        <f>IF(SD!B4&gt;0,SD!B4,"")</f>
        <v>Plan</v>
      </c>
      <c r="B34">
        <f>IF(SD!C19&gt;0,SD!C19,"")</f>
        <v>8</v>
      </c>
      <c r="C34">
        <f>IF(SD!D19&gt;0,SD!D19,"")</f>
        <v>11</v>
      </c>
      <c r="D34">
        <f>IF(SD!E19&gt;0,SD!E19,"")</f>
        <v>12</v>
      </c>
      <c r="E34">
        <f>IF(SD!F19&gt;0,SD!F19,"")</f>
        <v>13</v>
      </c>
      <c r="F34">
        <f>IF(SD!G19&gt;0,SD!G19,"")</f>
        <v>15</v>
      </c>
      <c r="G34">
        <f>IF(SD!H19&gt;0,SD!H19,"")</f>
        <v>15</v>
      </c>
      <c r="H34">
        <f>IF(SD!I19&gt;0,SD!I19,"")</f>
        <v>15</v>
      </c>
      <c r="I34">
        <f>IF(SD!J19&gt;0,SD!J19,"")</f>
        <v>13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2</v>
      </c>
      <c r="O34">
        <f>IF(SD!P19&gt;0,SD!P19,"")</f>
        <v>2</v>
      </c>
      <c r="P34">
        <f>IF(SD!Q19&gt;0,SD!Q19,"")</f>
        <v>2</v>
      </c>
    </row>
    <row r="41" spans="1:16" x14ac:dyDescent="0.2">
      <c r="B41" t="str">
        <f>IF(SD!C31&gt;0,SD!C31,"")</f>
        <v>Q2</v>
      </c>
      <c r="C41" t="str">
        <f>IF(SD!D31&gt;0,SD!D31,"")</f>
        <v>Q3</v>
      </c>
      <c r="D41" t="str">
        <f>IF(SD!E31&gt;0,SD!E31,"")</f>
        <v>Q4</v>
      </c>
      <c r="E41" t="str">
        <f>IF(SD!F31&gt;0,SD!F31,"")</f>
        <v>Q1'27</v>
      </c>
      <c r="F41" t="str">
        <f>IF(SD!G31&gt;0,SD!G31,"")</f>
        <v>Q2'27</v>
      </c>
    </row>
    <row r="42" spans="1:16" x14ac:dyDescent="0.2">
      <c r="A42" t="str">
        <f>IF(SD!B32&gt;0,SD!B32,"")</f>
        <v>Staff</v>
      </c>
      <c r="B42">
        <f>IF(SD!C32&gt;0,SD!C32,"")</f>
        <v>49</v>
      </c>
      <c r="C42">
        <f>IF(SD!D32&gt;0,SD!D32,"")</f>
        <v>53</v>
      </c>
      <c r="D42">
        <f>IF(SD!E32&gt;0,SD!E32,"")</f>
        <v>53</v>
      </c>
      <c r="E42">
        <f>IF(SD!F32&gt;0,SD!F32,"")</f>
        <v>53</v>
      </c>
      <c r="F42">
        <f>IF(SD!G32&gt;0,SD!G32,"")</f>
        <v>53</v>
      </c>
    </row>
    <row r="43" spans="1:16" x14ac:dyDescent="0.2">
      <c r="A43" t="str">
        <f>IF(SD!B33&gt;0,SD!B33,"")</f>
        <v>Staff AVG</v>
      </c>
      <c r="B43">
        <f>IF(SD!C33&gt;0,SD!C33,"")</f>
        <v>52</v>
      </c>
      <c r="C43">
        <f>IF(SD!D33&gt;0,SD!D33,"")</f>
        <v>52</v>
      </c>
      <c r="D43">
        <f>IF(SD!E33&gt;0,SD!E33,"")</f>
        <v>52</v>
      </c>
      <c r="E43">
        <f>IF(SD!F33&gt;0,SD!F33,"")</f>
        <v>52</v>
      </c>
      <c r="F43">
        <f>IF(SD!G33&gt;0,SD!G33,"")</f>
        <v>52</v>
      </c>
    </row>
    <row r="44" spans="1:16" x14ac:dyDescent="0.2">
      <c r="A44" t="str">
        <f>IF(SD!B34&gt;0,SD!B34,"")</f>
        <v>Plan</v>
      </c>
      <c r="B44">
        <f>IF(SD!C34&gt;0,SD!C34,"")</f>
        <v>44</v>
      </c>
      <c r="C44">
        <f>IF(SD!D34&gt;0,SD!D34,"")</f>
        <v>48</v>
      </c>
      <c r="D44">
        <f>IF(SD!E34&gt;0,SD!E34,"")</f>
        <v>47</v>
      </c>
      <c r="E44">
        <f>IF(SD!F34&gt;0,SD!F34,"")</f>
        <v>35</v>
      </c>
      <c r="F44">
        <f>IF(SD!G34&gt;0,SD!G34,"")</f>
        <v>20</v>
      </c>
    </row>
    <row r="45" spans="1:16" x14ac:dyDescent="0.2">
      <c r="A45" t="str">
        <f>IF(SD!B41&gt;0,SD!B41,"")</f>
        <v>PAYROLL</v>
      </c>
      <c r="B45">
        <f>IF(SD!C41&gt;0,SD!C41,"")</f>
        <v>32</v>
      </c>
      <c r="C45">
        <f>IF(SD!D41&gt;0,SD!D41,"")</f>
        <v>32</v>
      </c>
      <c r="D45">
        <f>IF(SD!E41&gt;0,SD!E41,"")</f>
        <v>31</v>
      </c>
      <c r="E45">
        <f>IF(SD!F41&gt;0,SD!F41,"")</f>
        <v>23</v>
      </c>
      <c r="F45">
        <f>IF(SD!G41&gt;0,SD!G41,"")</f>
        <v>17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1</v>
      </c>
    </row>
    <row r="47" spans="1:16" x14ac:dyDescent="0.2">
      <c r="A47" t="str">
        <f>IF(SD!B49&gt;0,SD!B49,"")</f>
        <v>OUTSOURCE</v>
      </c>
      <c r="B47">
        <f>IF(SD!C49&gt;0,SD!C49,"")</f>
        <v>10</v>
      </c>
      <c r="C47">
        <f>IF(SD!D49&gt;0,SD!D49,"")</f>
        <v>14</v>
      </c>
      <c r="D47">
        <f>IF(SD!E49&gt;0,SD!E49,"")</f>
        <v>14</v>
      </c>
      <c r="E47">
        <f>IF(SD!F49&gt;0,SD!F49,"")</f>
        <v>10</v>
      </c>
      <c r="F47">
        <f>IF(SD!G49&gt;0,SD!G49,"")</f>
        <v>2</v>
      </c>
    </row>
    <row r="51" spans="1:16" x14ac:dyDescent="0.2">
      <c r="A51" s="49" t="str">
        <f>SD!A66</f>
        <v>Design</v>
      </c>
      <c r="B51" t="str">
        <f>SD!C$61</f>
        <v>APR</v>
      </c>
      <c r="C51" t="str">
        <f>SD!D$61</f>
        <v>MAY</v>
      </c>
      <c r="D51" t="str">
        <f>SD!E$61</f>
        <v>JUN</v>
      </c>
      <c r="E51" t="str">
        <f>SD!F$61</f>
        <v>JUL</v>
      </c>
      <c r="F51" t="str">
        <f>SD!G$61</f>
        <v>AUG</v>
      </c>
      <c r="G51" t="str">
        <f>SD!H$61</f>
        <v>SEP</v>
      </c>
      <c r="H51" t="str">
        <f>SD!I$61</f>
        <v>OCT</v>
      </c>
      <c r="I51" t="str">
        <f>SD!J$61</f>
        <v>NOV</v>
      </c>
      <c r="J51" t="str">
        <f>SD!K$61</f>
        <v>DEC</v>
      </c>
      <c r="K51" t="str">
        <f>SD!L$61</f>
        <v>JAN'27</v>
      </c>
      <c r="L51" t="str">
        <f>SD!M$61</f>
        <v>FEB'27</v>
      </c>
      <c r="M51" t="str">
        <f>SD!N$61</f>
        <v>MAR'27</v>
      </c>
      <c r="N51" t="str">
        <f>SD!O$61</f>
        <v>APR'27</v>
      </c>
      <c r="O51" t="str">
        <f>SD!P$61</f>
        <v>MAY'27</v>
      </c>
      <c r="P51" t="str">
        <f>SD!Q$61</f>
        <v>JUN'27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2.4562499999999998</v>
      </c>
      <c r="C53">
        <f>SD!D67</f>
        <v>3.53125</v>
      </c>
      <c r="D53">
        <f>SD!E67</f>
        <v>3.1937500000000001</v>
      </c>
      <c r="E53">
        <f>SD!F67</f>
        <v>3.2</v>
      </c>
      <c r="F53">
        <f>SD!G67</f>
        <v>4.0999999999999996</v>
      </c>
      <c r="G53">
        <f>SD!H67</f>
        <v>4.1624999999999996</v>
      </c>
      <c r="H53">
        <f>SD!I67</f>
        <v>5.2374999999999998</v>
      </c>
      <c r="I53">
        <f>SD!J67</f>
        <v>4.4874999999999998</v>
      </c>
      <c r="J53">
        <f>SD!K67</f>
        <v>4.4249999999999998</v>
      </c>
      <c r="K53">
        <f>SD!L67</f>
        <v>3.609375</v>
      </c>
      <c r="L53">
        <f>SD!M67</f>
        <v>3.1343749999999999</v>
      </c>
      <c r="M53">
        <f>SD!N67</f>
        <v>3.1343749999999999</v>
      </c>
      <c r="N53">
        <f>SD!O67</f>
        <v>2.9624999999999999</v>
      </c>
      <c r="O53">
        <f>SD!P67</f>
        <v>2.9125000000000001</v>
      </c>
      <c r="P53">
        <f>SD!Q67</f>
        <v>2.9125000000000001</v>
      </c>
    </row>
    <row r="54" spans="1:16" s="57" customFormat="1" x14ac:dyDescent="0.2">
      <c r="A54" s="57" t="s">
        <v>24</v>
      </c>
      <c r="B54" s="58">
        <f>B52-B53</f>
        <v>1.5437500000000002</v>
      </c>
      <c r="C54" s="58">
        <f t="shared" ref="C54:P54" si="0">C52-C53</f>
        <v>0.46875</v>
      </c>
      <c r="D54" s="58">
        <f t="shared" si="0"/>
        <v>0.80624999999999991</v>
      </c>
      <c r="E54" s="58">
        <f t="shared" si="0"/>
        <v>0.79999999999999982</v>
      </c>
      <c r="F54" s="58">
        <f t="shared" si="0"/>
        <v>-9.9999999999999645E-2</v>
      </c>
      <c r="G54" s="58">
        <f t="shared" si="0"/>
        <v>-0.16249999999999964</v>
      </c>
      <c r="H54" s="58">
        <f t="shared" si="0"/>
        <v>-1.2374999999999998</v>
      </c>
      <c r="I54" s="58">
        <f t="shared" si="0"/>
        <v>-0.48749999999999982</v>
      </c>
      <c r="J54" s="58">
        <f t="shared" si="0"/>
        <v>-0.42499999999999982</v>
      </c>
      <c r="K54" s="58">
        <f t="shared" si="0"/>
        <v>0.390625</v>
      </c>
      <c r="L54" s="58">
        <f t="shared" si="0"/>
        <v>0.86562500000000009</v>
      </c>
      <c r="M54" s="58">
        <f t="shared" si="0"/>
        <v>0.86562500000000009</v>
      </c>
      <c r="N54" s="58">
        <f t="shared" si="0"/>
        <v>1.0375000000000001</v>
      </c>
      <c r="O54" s="58">
        <f t="shared" si="0"/>
        <v>1.0874999999999999</v>
      </c>
      <c r="P54" s="58">
        <f t="shared" si="0"/>
        <v>1.0874999999999999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76.510416666666671</v>
      </c>
      <c r="C56" s="50">
        <f>(AVERAGE(E53:G53)/AVERAGE(E52:G52))*100</f>
        <v>95.520833333333314</v>
      </c>
      <c r="D56" s="50">
        <f>(AVERAGE(H53:J53)/AVERAGE(H52:J52))*100</f>
        <v>117.91666666666664</v>
      </c>
      <c r="E56" s="50">
        <f>(AVERAGE(K53:M53)/AVERAGE(K52:M52))*100</f>
        <v>82.317708333333343</v>
      </c>
      <c r="F56" s="50">
        <f>(AVERAGE(N53:P53)/AVERAGE(N52:P52))*100</f>
        <v>73.229166666666671</v>
      </c>
    </row>
    <row r="61" spans="1:16" x14ac:dyDescent="0.2">
      <c r="A61" s="49" t="str">
        <f>SD!A68</f>
        <v>Data Technology</v>
      </c>
      <c r="B61" t="str">
        <f>SD!C$61</f>
        <v>APR</v>
      </c>
      <c r="C61" t="str">
        <f>SD!D$61</f>
        <v>MAY</v>
      </c>
      <c r="D61" t="str">
        <f>SD!E$61</f>
        <v>JUN</v>
      </c>
      <c r="E61" t="str">
        <f>SD!F$61</f>
        <v>JUL</v>
      </c>
      <c r="F61" t="str">
        <f>SD!G$61</f>
        <v>AUG</v>
      </c>
      <c r="G61" t="str">
        <f>SD!H$61</f>
        <v>SEP</v>
      </c>
      <c r="H61" t="str">
        <f>SD!I$61</f>
        <v>OCT</v>
      </c>
      <c r="I61" t="str">
        <f>SD!J$61</f>
        <v>NOV</v>
      </c>
      <c r="J61" t="str">
        <f>SD!K$61</f>
        <v>DEC</v>
      </c>
      <c r="K61" t="str">
        <f>SD!L$61</f>
        <v>JAN'27</v>
      </c>
      <c r="L61" t="str">
        <f>SD!M$61</f>
        <v>FEB'27</v>
      </c>
      <c r="M61" t="str">
        <f>SD!N$61</f>
        <v>MAR'27</v>
      </c>
      <c r="N61" t="str">
        <f>SD!O$61</f>
        <v>APR'27</v>
      </c>
      <c r="O61" t="str">
        <f>SD!P$61</f>
        <v>MAY'27</v>
      </c>
      <c r="P61" t="str">
        <f>SD!Q$61</f>
        <v>JUN'27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6.12</v>
      </c>
      <c r="C63">
        <f>SD!D69</f>
        <v>5.7149999999999999</v>
      </c>
      <c r="D63">
        <f>SD!E69</f>
        <v>6.3825000000000003</v>
      </c>
      <c r="E63">
        <f>SD!F69</f>
        <v>5.89</v>
      </c>
      <c r="F63">
        <f>SD!G69</f>
        <v>5.72</v>
      </c>
      <c r="G63">
        <f>SD!H69</f>
        <v>5.5949999999999998</v>
      </c>
      <c r="H63">
        <f>SD!I69</f>
        <v>5.2450000000000001</v>
      </c>
      <c r="I63">
        <f>SD!J69</f>
        <v>5.07</v>
      </c>
      <c r="J63">
        <f>SD!K69</f>
        <v>5.0199999999999996</v>
      </c>
      <c r="K63">
        <f>SD!L69</f>
        <v>4.7050000000000001</v>
      </c>
      <c r="L63">
        <f>SD!M69</f>
        <v>4.5650000000000004</v>
      </c>
      <c r="M63">
        <f>SD!N69</f>
        <v>4.4649999999999999</v>
      </c>
      <c r="N63">
        <f>SD!O69</f>
        <v>4.6050000000000004</v>
      </c>
      <c r="O63">
        <f>SD!P69</f>
        <v>4.4649999999999999</v>
      </c>
      <c r="P63">
        <f>SD!Q69</f>
        <v>4.4649999999999999</v>
      </c>
    </row>
    <row r="64" spans="1:16" s="57" customFormat="1" x14ac:dyDescent="0.2">
      <c r="A64" s="57" t="s">
        <v>24</v>
      </c>
      <c r="B64" s="58">
        <f>B62-B63</f>
        <v>0.87999999999999989</v>
      </c>
      <c r="C64" s="58">
        <f t="shared" ref="C64:P64" si="2">C62-C63</f>
        <v>1.2850000000000001</v>
      </c>
      <c r="D64" s="58">
        <f t="shared" si="2"/>
        <v>0.61749999999999972</v>
      </c>
      <c r="E64" s="58">
        <f t="shared" si="2"/>
        <v>1.1100000000000003</v>
      </c>
      <c r="F64" s="58">
        <f t="shared" si="2"/>
        <v>1.2800000000000002</v>
      </c>
      <c r="G64" s="58">
        <f t="shared" si="2"/>
        <v>1.4050000000000002</v>
      </c>
      <c r="H64" s="58">
        <f t="shared" si="2"/>
        <v>1.7549999999999999</v>
      </c>
      <c r="I64" s="58">
        <f t="shared" si="2"/>
        <v>1.9299999999999997</v>
      </c>
      <c r="J64" s="58">
        <f t="shared" si="2"/>
        <v>1.9800000000000004</v>
      </c>
      <c r="K64" s="58">
        <f t="shared" si="2"/>
        <v>2.2949999999999999</v>
      </c>
      <c r="L64" s="58">
        <f t="shared" si="2"/>
        <v>2.4349999999999996</v>
      </c>
      <c r="M64" s="58">
        <f t="shared" si="2"/>
        <v>2.5350000000000001</v>
      </c>
      <c r="N64" s="58">
        <f t="shared" si="2"/>
        <v>2.3949999999999996</v>
      </c>
      <c r="O64" s="58">
        <f t="shared" si="2"/>
        <v>2.5350000000000001</v>
      </c>
      <c r="P64" s="58">
        <f t="shared" si="2"/>
        <v>2.5350000000000001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86.75</v>
      </c>
      <c r="C66" s="50">
        <f>(AVERAGE(E63:G63)/AVERAGE(E62:G62))*100</f>
        <v>81.928571428571416</v>
      </c>
      <c r="D66" s="50">
        <f>(AVERAGE(H63:J63)/AVERAGE(H62:J62))*100</f>
        <v>73.023809523809533</v>
      </c>
      <c r="E66" s="50">
        <f>(AVERAGE(K63:M63)/AVERAGE(K62:M62))*100</f>
        <v>65.404761904761898</v>
      </c>
      <c r="F66" s="50">
        <f>(AVERAGE(N63:P63)/AVERAGE(N62:P62))*100</f>
        <v>64.452380952380949</v>
      </c>
    </row>
    <row r="71" spans="1:16" x14ac:dyDescent="0.2">
      <c r="A71" s="49" t="str">
        <f>SD!A74</f>
        <v>Solution Architecture</v>
      </c>
      <c r="B71" t="str">
        <f>SD!C$61</f>
        <v>APR</v>
      </c>
      <c r="C71" t="str">
        <f>SD!D$61</f>
        <v>MAY</v>
      </c>
      <c r="D71" t="str">
        <f>SD!E$61</f>
        <v>JUN</v>
      </c>
      <c r="E71" t="str">
        <f>SD!F$61</f>
        <v>JUL</v>
      </c>
      <c r="F71" t="str">
        <f>SD!G$61</f>
        <v>AUG</v>
      </c>
      <c r="G71" t="str">
        <f>SD!H$61</f>
        <v>SEP</v>
      </c>
      <c r="H71" t="str">
        <f>SD!I$61</f>
        <v>OCT</v>
      </c>
      <c r="I71" t="str">
        <f>SD!J$61</f>
        <v>NOV</v>
      </c>
      <c r="J71" t="str">
        <f>SD!K$61</f>
        <v>DEC</v>
      </c>
      <c r="K71" t="str">
        <f>SD!L$61</f>
        <v>JAN'27</v>
      </c>
      <c r="L71" t="str">
        <f>SD!M$61</f>
        <v>FEB'27</v>
      </c>
      <c r="M71" t="str">
        <f>SD!N$61</f>
        <v>MAR'27</v>
      </c>
      <c r="N71" t="str">
        <f>SD!O$61</f>
        <v>APR'27</v>
      </c>
      <c r="O71" t="str">
        <f>SD!P$61</f>
        <v>MAY'27</v>
      </c>
      <c r="P71" t="str">
        <f>SD!Q$61</f>
        <v>JUN'27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3.8650000000000002</v>
      </c>
      <c r="C73">
        <f>SD!D75</f>
        <v>3.38</v>
      </c>
      <c r="D73">
        <f>SD!E75</f>
        <v>3.68</v>
      </c>
      <c r="E73">
        <f>SD!F75</f>
        <v>3.81</v>
      </c>
      <c r="F73">
        <f>SD!G75</f>
        <v>3.9874999999999998</v>
      </c>
      <c r="G73">
        <f>SD!H75</f>
        <v>3.5</v>
      </c>
      <c r="H73">
        <f>SD!I75</f>
        <v>3.55</v>
      </c>
      <c r="I73">
        <f>SD!J75</f>
        <v>3.55</v>
      </c>
      <c r="J73">
        <f>SD!K75</f>
        <v>3.4750000000000001</v>
      </c>
      <c r="K73">
        <f>SD!L75</f>
        <v>2.76</v>
      </c>
      <c r="L73">
        <f>SD!M75</f>
        <v>2.76</v>
      </c>
      <c r="M73">
        <f>SD!N75</f>
        <v>2.71</v>
      </c>
      <c r="N73">
        <f>SD!O75</f>
        <v>0.27</v>
      </c>
      <c r="O73">
        <f>SD!P75</f>
        <v>0.22</v>
      </c>
      <c r="P73">
        <f>SD!Q75</f>
        <v>0.22</v>
      </c>
    </row>
    <row r="74" spans="1:16" s="57" customFormat="1" x14ac:dyDescent="0.2">
      <c r="A74" s="57" t="s">
        <v>24</v>
      </c>
      <c r="B74" s="58">
        <f>B72-B73</f>
        <v>0.13499999999999979</v>
      </c>
      <c r="C74" s="58">
        <f t="shared" ref="C74:P74" si="4">C72-C73</f>
        <v>0.62000000000000011</v>
      </c>
      <c r="D74" s="58">
        <f t="shared" si="4"/>
        <v>0.31999999999999984</v>
      </c>
      <c r="E74" s="58">
        <f t="shared" si="4"/>
        <v>0.18999999999999995</v>
      </c>
      <c r="F74" s="58">
        <f t="shared" si="4"/>
        <v>1.2500000000000178E-2</v>
      </c>
      <c r="G74" s="58">
        <f t="shared" si="4"/>
        <v>0.5</v>
      </c>
      <c r="H74" s="58">
        <f t="shared" si="4"/>
        <v>0.45000000000000018</v>
      </c>
      <c r="I74" s="58">
        <f t="shared" si="4"/>
        <v>0.45000000000000018</v>
      </c>
      <c r="J74" s="58">
        <f t="shared" si="4"/>
        <v>0.52499999999999991</v>
      </c>
      <c r="K74" s="58">
        <f t="shared" si="4"/>
        <v>1.2400000000000002</v>
      </c>
      <c r="L74" s="58">
        <f t="shared" si="4"/>
        <v>1.2400000000000002</v>
      </c>
      <c r="M74" s="58">
        <f t="shared" si="4"/>
        <v>1.29</v>
      </c>
      <c r="N74" s="58">
        <f t="shared" si="4"/>
        <v>3.73</v>
      </c>
      <c r="O74" s="58">
        <f t="shared" si="4"/>
        <v>3.78</v>
      </c>
      <c r="P74" s="58">
        <f t="shared" si="4"/>
        <v>3.78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91.041666666666671</v>
      </c>
      <c r="C76" s="50">
        <f>(AVERAGE(E73:G73)/AVERAGE(E72:G72))*100</f>
        <v>94.145833333333329</v>
      </c>
      <c r="D76" s="50">
        <f>(AVERAGE(H73:J73)/AVERAGE(H72:J72))*100</f>
        <v>88.125</v>
      </c>
      <c r="E76" s="50">
        <f>(AVERAGE(K73:M73)/AVERAGE(K72:M72))*100</f>
        <v>68.583333333333343</v>
      </c>
      <c r="F76" s="50">
        <f>(AVERAGE(N73:P73)/AVERAGE(N72:P72))*100</f>
        <v>5.916666666666667</v>
      </c>
    </row>
    <row r="81" spans="1:16" x14ac:dyDescent="0.2">
      <c r="A81" s="49" t="str">
        <f>SD!A76</f>
        <v>Site Reliability Engineering</v>
      </c>
      <c r="B81" t="str">
        <f>SD!C$61</f>
        <v>APR</v>
      </c>
      <c r="C81" t="str">
        <f>SD!D$61</f>
        <v>MAY</v>
      </c>
      <c r="D81" t="str">
        <f>SD!E$61</f>
        <v>JUN</v>
      </c>
      <c r="E81" t="str">
        <f>SD!F$61</f>
        <v>JUL</v>
      </c>
      <c r="F81" t="str">
        <f>SD!G$61</f>
        <v>AUG</v>
      </c>
      <c r="G81" t="str">
        <f>SD!H$61</f>
        <v>SEP</v>
      </c>
      <c r="H81" t="str">
        <f>SD!I$61</f>
        <v>OCT</v>
      </c>
      <c r="I81" t="str">
        <f>SD!J$61</f>
        <v>NOV</v>
      </c>
      <c r="J81" t="str">
        <f>SD!K$61</f>
        <v>DEC</v>
      </c>
      <c r="K81" t="str">
        <f>SD!L$61</f>
        <v>JAN'27</v>
      </c>
      <c r="L81" t="str">
        <f>SD!M$61</f>
        <v>FEB'27</v>
      </c>
      <c r="M81" t="str">
        <f>SD!N$61</f>
        <v>MAR'27</v>
      </c>
      <c r="N81" t="str">
        <f>SD!O$61</f>
        <v>APR'27</v>
      </c>
      <c r="O81" t="str">
        <f>SD!P$61</f>
        <v>MAY'27</v>
      </c>
      <c r="P81" t="str">
        <f>SD!Q$61</f>
        <v>JUN'27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3</v>
      </c>
      <c r="F82">
        <f>SD!G76</f>
        <v>3</v>
      </c>
      <c r="G82">
        <f>SD!H76</f>
        <v>3</v>
      </c>
      <c r="H82">
        <f>SD!I76</f>
        <v>3</v>
      </c>
      <c r="I82">
        <f>SD!J76</f>
        <v>3</v>
      </c>
      <c r="J82">
        <f>SD!K76</f>
        <v>3</v>
      </c>
      <c r="K82">
        <f>SD!L76</f>
        <v>3</v>
      </c>
      <c r="L82">
        <f>SD!M76</f>
        <v>3</v>
      </c>
      <c r="M82">
        <f>SD!N76</f>
        <v>3</v>
      </c>
      <c r="N82">
        <f>SD!O76</f>
        <v>3</v>
      </c>
      <c r="O82">
        <f>SD!P76</f>
        <v>3</v>
      </c>
      <c r="P82">
        <f>SD!Q76</f>
        <v>3</v>
      </c>
    </row>
    <row r="83" spans="1:16" x14ac:dyDescent="0.2">
      <c r="A83" t="str">
        <f>SD!B77</f>
        <v>Plan</v>
      </c>
      <c r="B83">
        <f>SD!C77</f>
        <v>2.5550000000000002</v>
      </c>
      <c r="C83">
        <f>SD!D77</f>
        <v>2.585</v>
      </c>
      <c r="D83">
        <f>SD!E77</f>
        <v>2.2149999999999999</v>
      </c>
      <c r="E83">
        <f>SD!F77</f>
        <v>2.2625000000000002</v>
      </c>
      <c r="F83">
        <f>SD!G77</f>
        <v>2.2625000000000002</v>
      </c>
      <c r="G83">
        <f>SD!H77</f>
        <v>2.2925</v>
      </c>
      <c r="H83">
        <f>SD!I77</f>
        <v>2.355</v>
      </c>
      <c r="I83">
        <f>SD!J77</f>
        <v>2.2050000000000001</v>
      </c>
      <c r="J83">
        <f>SD!K77</f>
        <v>2.2050000000000001</v>
      </c>
      <c r="K83">
        <f>SD!L77</f>
        <v>0.82499999999999996</v>
      </c>
      <c r="L83">
        <f>SD!M77</f>
        <v>0.82499999999999996</v>
      </c>
      <c r="M83">
        <f>SD!N77</f>
        <v>0.82499999999999996</v>
      </c>
      <c r="N83">
        <f>SD!O77</f>
        <v>0.57499999999999996</v>
      </c>
      <c r="O83">
        <f>SD!P77</f>
        <v>0.57499999999999996</v>
      </c>
      <c r="P83">
        <f>SD!Q77</f>
        <v>0.57499999999999996</v>
      </c>
    </row>
    <row r="84" spans="1:16" s="57" customFormat="1" x14ac:dyDescent="0.2">
      <c r="A84" s="57" t="s">
        <v>24</v>
      </c>
      <c r="B84" s="58">
        <f>B82-B83</f>
        <v>-0.55500000000000016</v>
      </c>
      <c r="C84" s="58">
        <f t="shared" ref="C84:P84" si="6">C82-C83</f>
        <v>-0.58499999999999996</v>
      </c>
      <c r="D84" s="58">
        <f t="shared" si="6"/>
        <v>-0.21499999999999986</v>
      </c>
      <c r="E84" s="58">
        <f t="shared" si="6"/>
        <v>0.73749999999999982</v>
      </c>
      <c r="F84" s="58">
        <f t="shared" si="6"/>
        <v>0.73749999999999982</v>
      </c>
      <c r="G84" s="58">
        <f t="shared" si="6"/>
        <v>0.70750000000000002</v>
      </c>
      <c r="H84" s="58">
        <f t="shared" si="6"/>
        <v>0.64500000000000002</v>
      </c>
      <c r="I84" s="58">
        <f t="shared" si="6"/>
        <v>0.79499999999999993</v>
      </c>
      <c r="J84" s="58">
        <f t="shared" si="6"/>
        <v>0.79499999999999993</v>
      </c>
      <c r="K84" s="58">
        <f t="shared" si="6"/>
        <v>2.1749999999999998</v>
      </c>
      <c r="L84" s="58">
        <f t="shared" si="6"/>
        <v>2.1749999999999998</v>
      </c>
      <c r="M84" s="58">
        <f t="shared" si="6"/>
        <v>2.1749999999999998</v>
      </c>
      <c r="N84" s="58">
        <f t="shared" si="6"/>
        <v>2.4249999999999998</v>
      </c>
      <c r="O84" s="58">
        <f t="shared" si="6"/>
        <v>2.4249999999999998</v>
      </c>
      <c r="P84" s="58">
        <f t="shared" si="6"/>
        <v>2.4249999999999998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122.58333333333333</v>
      </c>
      <c r="C86" s="50">
        <f>(AVERAGE(E83:G83)/AVERAGE(E82:G82))*100</f>
        <v>75.750000000000014</v>
      </c>
      <c r="D86" s="50">
        <f>(AVERAGE(H83:J83)/AVERAGE(H82:J82))*100</f>
        <v>75.166666666666686</v>
      </c>
      <c r="E86" s="50">
        <f>(AVERAGE(K83:M83)/AVERAGE(K82:M82))*100</f>
        <v>27.499999999999996</v>
      </c>
      <c r="F86" s="50">
        <f>(AVERAGE(N83:P83)/AVERAGE(N82:P82))*100</f>
        <v>19.166666666666664</v>
      </c>
    </row>
    <row r="91" spans="1:16" x14ac:dyDescent="0.2">
      <c r="A91" s="49" t="str">
        <f>SD!A78</f>
        <v>Cyber Security</v>
      </c>
      <c r="B91" t="str">
        <f>SD!C$61</f>
        <v>APR</v>
      </c>
      <c r="C91" t="str">
        <f>SD!D$61</f>
        <v>MAY</v>
      </c>
      <c r="D91" t="str">
        <f>SD!E$61</f>
        <v>JUN</v>
      </c>
      <c r="E91" t="str">
        <f>SD!F$61</f>
        <v>JUL</v>
      </c>
      <c r="F91" t="str">
        <f>SD!G$61</f>
        <v>AUG</v>
      </c>
      <c r="G91" t="str">
        <f>SD!H$61</f>
        <v>SEP</v>
      </c>
      <c r="H91" t="str">
        <f>SD!I$61</f>
        <v>OCT</v>
      </c>
      <c r="I91" t="str">
        <f>SD!J$61</f>
        <v>NOV</v>
      </c>
      <c r="J91" t="str">
        <f>SD!K$61</f>
        <v>DEC</v>
      </c>
      <c r="K91" t="str">
        <f>SD!L$61</f>
        <v>JAN'27</v>
      </c>
      <c r="L91" t="str">
        <f>SD!M$61</f>
        <v>FEB'27</v>
      </c>
      <c r="M91" t="str">
        <f>SD!N$61</f>
        <v>MAR'27</v>
      </c>
      <c r="N91" t="str">
        <f>SD!O$61</f>
        <v>APR'27</v>
      </c>
      <c r="O91" t="str">
        <f>SD!P$61</f>
        <v>MAY'27</v>
      </c>
      <c r="P91" t="str">
        <f>SD!Q$61</f>
        <v>JUN'27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2.85</v>
      </c>
      <c r="C93">
        <f>SD!D79</f>
        <v>3.35</v>
      </c>
      <c r="D93">
        <f>SD!E79</f>
        <v>2.5125000000000002</v>
      </c>
      <c r="E93">
        <f>SD!F79</f>
        <v>2.1575000000000002</v>
      </c>
      <c r="F93">
        <f>SD!G79</f>
        <v>2.1324999999999998</v>
      </c>
      <c r="G93">
        <f>SD!H79</f>
        <v>2.1324999999999998</v>
      </c>
      <c r="H93">
        <f>SD!I79</f>
        <v>2.1324999999999998</v>
      </c>
      <c r="I93">
        <f>SD!J79</f>
        <v>2.1324999999999998</v>
      </c>
      <c r="J93">
        <f>SD!K79</f>
        <v>1.8325</v>
      </c>
      <c r="K93">
        <f>SD!L79</f>
        <v>1.3125</v>
      </c>
      <c r="L93">
        <f>SD!M79</f>
        <v>1.3125</v>
      </c>
      <c r="M93">
        <f>SD!N79</f>
        <v>1.3125</v>
      </c>
      <c r="N93">
        <f>SD!O79</f>
        <v>0.51249999999999996</v>
      </c>
      <c r="O93">
        <f>SD!P79</f>
        <v>0.51249999999999996</v>
      </c>
      <c r="P93">
        <f>SD!Q79</f>
        <v>0.51249999999999996</v>
      </c>
    </row>
    <row r="94" spans="1:16" s="57" customFormat="1" x14ac:dyDescent="0.2">
      <c r="A94" s="57" t="s">
        <v>24</v>
      </c>
      <c r="B94" s="58">
        <f>B92-B93</f>
        <v>0.14999999999999991</v>
      </c>
      <c r="C94" s="58">
        <f t="shared" ref="C94:P94" si="8">C92-C93</f>
        <v>-0.35000000000000009</v>
      </c>
      <c r="D94" s="58">
        <f t="shared" si="8"/>
        <v>0.48749999999999982</v>
      </c>
      <c r="E94" s="58">
        <f t="shared" si="8"/>
        <v>0.8424999999999998</v>
      </c>
      <c r="F94" s="58">
        <f t="shared" si="8"/>
        <v>0.86750000000000016</v>
      </c>
      <c r="G94" s="58">
        <f t="shared" si="8"/>
        <v>0.86750000000000016</v>
      </c>
      <c r="H94" s="58">
        <f t="shared" si="8"/>
        <v>0.86750000000000016</v>
      </c>
      <c r="I94" s="58">
        <f t="shared" si="8"/>
        <v>0.86750000000000016</v>
      </c>
      <c r="J94" s="58">
        <f t="shared" si="8"/>
        <v>1.1675</v>
      </c>
      <c r="K94" s="58">
        <f t="shared" si="8"/>
        <v>1.6875</v>
      </c>
      <c r="L94" s="58">
        <f t="shared" si="8"/>
        <v>1.6875</v>
      </c>
      <c r="M94" s="58">
        <f t="shared" si="8"/>
        <v>1.6875</v>
      </c>
      <c r="N94" s="58">
        <f t="shared" si="8"/>
        <v>2.4874999999999998</v>
      </c>
      <c r="O94" s="58">
        <f t="shared" si="8"/>
        <v>2.4874999999999998</v>
      </c>
      <c r="P94" s="58">
        <f t="shared" si="8"/>
        <v>2.4874999999999998</v>
      </c>
    </row>
    <row r="95" spans="1:16" s="50" customFormat="1" x14ac:dyDescent="0.2">
      <c r="B95" s="50" t="str">
        <f>B$155</f>
        <v>Q2</v>
      </c>
      <c r="C95" s="50" t="str">
        <f t="shared" ref="C95:F95" si="9">C$155</f>
        <v>Q3</v>
      </c>
      <c r="D95" s="50" t="str">
        <f t="shared" si="9"/>
        <v>Q4</v>
      </c>
      <c r="E95" s="50" t="str">
        <f t="shared" si="9"/>
        <v>Q1'27</v>
      </c>
      <c r="F95" s="50" t="str">
        <f t="shared" si="9"/>
        <v>Q2'27</v>
      </c>
    </row>
    <row r="96" spans="1:16" s="50" customFormat="1" x14ac:dyDescent="0.2">
      <c r="A96" s="50" t="str">
        <f>$A$156</f>
        <v>% Plan</v>
      </c>
      <c r="B96" s="50">
        <f>(AVERAGE(B93:D93)/AVERAGE(B92:D92))*100</f>
        <v>96.805555555555557</v>
      </c>
      <c r="C96" s="50">
        <f>(AVERAGE(E93:G93)/AVERAGE(E92:G92))*100</f>
        <v>71.361111111111114</v>
      </c>
      <c r="D96" s="50">
        <f>(AVERAGE(H93:J93)/AVERAGE(H92:J92))*100</f>
        <v>67.750000000000014</v>
      </c>
      <c r="E96" s="50">
        <f>(AVERAGE(K93:M93)/AVERAGE(K92:M92))*100</f>
        <v>43.75</v>
      </c>
      <c r="F96" s="50">
        <f>(AVERAGE(N93:P93)/AVERAGE(N92:P92))*100</f>
        <v>17.083333333333332</v>
      </c>
    </row>
    <row r="101" spans="1:16" x14ac:dyDescent="0.2">
      <c r="A101" s="49" t="str">
        <f>SD!A80</f>
        <v>Project Management</v>
      </c>
      <c r="B101" t="str">
        <f>SD!C$61</f>
        <v>APR</v>
      </c>
      <c r="C101" t="str">
        <f>SD!D$61</f>
        <v>MAY</v>
      </c>
      <c r="D101" t="str">
        <f>SD!E$61</f>
        <v>JUN</v>
      </c>
      <c r="E101" t="str">
        <f>SD!F$61</f>
        <v>JUL</v>
      </c>
      <c r="F101" t="str">
        <f>SD!G$61</f>
        <v>AUG</v>
      </c>
      <c r="G101" t="str">
        <f>SD!H$61</f>
        <v>SEP</v>
      </c>
      <c r="H101" t="str">
        <f>SD!I$61</f>
        <v>OCT</v>
      </c>
      <c r="I101" t="str">
        <f>SD!J$61</f>
        <v>NOV</v>
      </c>
      <c r="J101" t="str">
        <f>SD!K$61</f>
        <v>DEC</v>
      </c>
      <c r="K101" t="str">
        <f>SD!L$61</f>
        <v>JAN'27</v>
      </c>
      <c r="L101" t="str">
        <f>SD!M$61</f>
        <v>FEB'27</v>
      </c>
      <c r="M101" t="str">
        <f>SD!N$61</f>
        <v>MAR'27</v>
      </c>
      <c r="N101" t="str">
        <f>SD!O$61</f>
        <v>APR'27</v>
      </c>
      <c r="O101" t="str">
        <f>SD!P$61</f>
        <v>MAY'27</v>
      </c>
      <c r="P101" t="str">
        <f>SD!Q$61</f>
        <v>JUN'27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3.5</v>
      </c>
      <c r="C103">
        <f>SD!D81</f>
        <v>3.53</v>
      </c>
      <c r="D103">
        <f>SD!E81</f>
        <v>3.48</v>
      </c>
      <c r="E103">
        <f>SD!F81</f>
        <v>3.0550000000000002</v>
      </c>
      <c r="F103">
        <f>SD!G81</f>
        <v>3.9049999999999998</v>
      </c>
      <c r="G103">
        <f>SD!H81</f>
        <v>3.9925000000000002</v>
      </c>
      <c r="H103">
        <f>SD!I81</f>
        <v>4.4450000000000003</v>
      </c>
      <c r="I103">
        <f>SD!J81</f>
        <v>4.0949999999999998</v>
      </c>
      <c r="J103">
        <f>SD!K81</f>
        <v>3.57</v>
      </c>
      <c r="K103">
        <f>SD!L81</f>
        <v>2.1124999999999998</v>
      </c>
      <c r="L103">
        <f>SD!M81</f>
        <v>1.7875000000000001</v>
      </c>
      <c r="M103">
        <f>SD!N81</f>
        <v>1.4875</v>
      </c>
      <c r="N103">
        <f>SD!O81</f>
        <v>0.9375</v>
      </c>
      <c r="O103">
        <f>SD!P81</f>
        <v>0.78749999999999998</v>
      </c>
      <c r="P103">
        <f>SD!Q81</f>
        <v>0.78749999999999998</v>
      </c>
    </row>
    <row r="104" spans="1:16" s="57" customFormat="1" x14ac:dyDescent="0.2">
      <c r="A104" s="57" t="s">
        <v>24</v>
      </c>
      <c r="B104" s="58">
        <f>B102-B103</f>
        <v>0.5</v>
      </c>
      <c r="C104" s="58">
        <f t="shared" ref="C104:P104" si="10">C102-C103</f>
        <v>0.4700000000000002</v>
      </c>
      <c r="D104" s="58">
        <f t="shared" si="10"/>
        <v>0.52</v>
      </c>
      <c r="E104" s="58">
        <f t="shared" si="10"/>
        <v>0.94499999999999984</v>
      </c>
      <c r="F104" s="58">
        <f t="shared" si="10"/>
        <v>9.5000000000000195E-2</v>
      </c>
      <c r="G104" s="58">
        <f t="shared" si="10"/>
        <v>7.4999999999998401E-3</v>
      </c>
      <c r="H104" s="58">
        <f t="shared" si="10"/>
        <v>-0.44500000000000028</v>
      </c>
      <c r="I104" s="58">
        <f t="shared" si="10"/>
        <v>-9.4999999999999751E-2</v>
      </c>
      <c r="J104" s="58">
        <f t="shared" si="10"/>
        <v>0.43000000000000016</v>
      </c>
      <c r="K104" s="58">
        <f t="shared" si="10"/>
        <v>1.8875000000000002</v>
      </c>
      <c r="L104" s="58">
        <f t="shared" si="10"/>
        <v>2.2124999999999999</v>
      </c>
      <c r="M104" s="58">
        <f t="shared" si="10"/>
        <v>2.5125000000000002</v>
      </c>
      <c r="N104" s="58">
        <f t="shared" si="10"/>
        <v>3.0625</v>
      </c>
      <c r="O104" s="58">
        <f t="shared" si="10"/>
        <v>3.2124999999999999</v>
      </c>
      <c r="P104" s="58">
        <f t="shared" si="10"/>
        <v>3.2124999999999999</v>
      </c>
    </row>
    <row r="105" spans="1:16" s="50" customFormat="1" x14ac:dyDescent="0.2">
      <c r="B105" s="50" t="str">
        <f>B$155</f>
        <v>Q2</v>
      </c>
      <c r="C105" s="50" t="str">
        <f t="shared" ref="C105:F105" si="11">C$155</f>
        <v>Q3</v>
      </c>
      <c r="D105" s="50" t="str">
        <f t="shared" si="11"/>
        <v>Q4</v>
      </c>
      <c r="E105" s="50" t="str">
        <f t="shared" si="11"/>
        <v>Q1'27</v>
      </c>
      <c r="F105" s="50" t="str">
        <f t="shared" si="11"/>
        <v>Q2'27</v>
      </c>
    </row>
    <row r="106" spans="1:16" s="50" customFormat="1" x14ac:dyDescent="0.2">
      <c r="A106" s="50" t="str">
        <f>$A$156</f>
        <v>% Plan</v>
      </c>
      <c r="B106" s="50">
        <f>(AVERAGE(B103:D103)/AVERAGE(B102:D102))*100</f>
        <v>87.583333333333329</v>
      </c>
      <c r="C106" s="50">
        <f>(AVERAGE(E103:G103)/AVERAGE(E102:G102))*100</f>
        <v>91.270833333333329</v>
      </c>
      <c r="D106" s="50">
        <f>(AVERAGE(H103:J103)/AVERAGE(H102:J102))*100</f>
        <v>100.91666666666666</v>
      </c>
      <c r="E106" s="50">
        <f>(AVERAGE(K103:M103)/AVERAGE(K102:M102))*100</f>
        <v>44.895833333333336</v>
      </c>
      <c r="F106" s="50">
        <f>(AVERAGE(N103:P103)/AVERAGE(N102:P102))*100</f>
        <v>20.9375</v>
      </c>
    </row>
    <row r="111" spans="1:16" x14ac:dyDescent="0.2">
      <c r="A111" s="49" t="str">
        <f>SD!A82</f>
        <v>Technology Analyst</v>
      </c>
      <c r="B111" t="str">
        <f>SD!C$61</f>
        <v>APR</v>
      </c>
      <c r="C111" t="str">
        <f>SD!D$61</f>
        <v>MAY</v>
      </c>
      <c r="D111" t="str">
        <f>SD!E$61</f>
        <v>JUN</v>
      </c>
      <c r="E111" t="str">
        <f>SD!F$61</f>
        <v>JUL</v>
      </c>
      <c r="F111" t="str">
        <f>SD!G$61</f>
        <v>AUG</v>
      </c>
      <c r="G111" t="str">
        <f>SD!H$61</f>
        <v>SEP</v>
      </c>
      <c r="H111" t="str">
        <f>SD!I$61</f>
        <v>OCT</v>
      </c>
      <c r="I111" t="str">
        <f>SD!J$61</f>
        <v>NOV</v>
      </c>
      <c r="J111" t="str">
        <f>SD!K$61</f>
        <v>DEC</v>
      </c>
      <c r="K111" t="str">
        <f>SD!L$61</f>
        <v>JAN'27</v>
      </c>
      <c r="L111" t="str">
        <f>SD!M$61</f>
        <v>FEB'27</v>
      </c>
      <c r="M111" t="str">
        <f>SD!N$61</f>
        <v>MAR'27</v>
      </c>
      <c r="N111" t="str">
        <f>SD!O$61</f>
        <v>APR'27</v>
      </c>
      <c r="O111" t="str">
        <f>SD!P$61</f>
        <v>MAY'27</v>
      </c>
      <c r="P111" t="str">
        <f>SD!Q$61</f>
        <v>JUN'27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6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4.9000000000000004</v>
      </c>
      <c r="C113">
        <f>SD!D83</f>
        <v>5.2750000000000004</v>
      </c>
      <c r="D113">
        <f>SD!E83</f>
        <v>4.95</v>
      </c>
      <c r="E113">
        <f>SD!F83</f>
        <v>4.9050000000000002</v>
      </c>
      <c r="F113">
        <f>SD!G83</f>
        <v>5.4024999999999999</v>
      </c>
      <c r="G113">
        <f>SD!H83</f>
        <v>5.04</v>
      </c>
      <c r="H113">
        <f>SD!I83</f>
        <v>4.6150000000000002</v>
      </c>
      <c r="I113">
        <f>SD!J83</f>
        <v>4.6150000000000002</v>
      </c>
      <c r="J113">
        <f>SD!K83</f>
        <v>4.6150000000000002</v>
      </c>
      <c r="K113">
        <f>SD!L83</f>
        <v>3.3025000000000002</v>
      </c>
      <c r="L113">
        <f>SD!M83</f>
        <v>3.3025000000000002</v>
      </c>
      <c r="M113">
        <f>SD!N83</f>
        <v>3.3025000000000002</v>
      </c>
      <c r="N113">
        <f>SD!O83</f>
        <v>3.1524999999999999</v>
      </c>
      <c r="O113">
        <f>SD!P83</f>
        <v>3.1524999999999999</v>
      </c>
      <c r="P113">
        <f>SD!Q83</f>
        <v>3.1524999999999999</v>
      </c>
    </row>
    <row r="114" spans="1:16" s="57" customFormat="1" x14ac:dyDescent="0.2">
      <c r="A114" s="57" t="s">
        <v>24</v>
      </c>
      <c r="B114" s="58">
        <f>B112-B113</f>
        <v>9.9999999999999645E-2</v>
      </c>
      <c r="C114" s="58">
        <f t="shared" ref="C114:P114" si="12">C112-C113</f>
        <v>0.72499999999999964</v>
      </c>
      <c r="D114" s="58">
        <f t="shared" si="12"/>
        <v>4.9999999999999822E-2</v>
      </c>
      <c r="E114" s="58">
        <f t="shared" si="12"/>
        <v>9.4999999999999751E-2</v>
      </c>
      <c r="F114" s="58">
        <f t="shared" si="12"/>
        <v>-0.40249999999999986</v>
      </c>
      <c r="G114" s="58">
        <f t="shared" si="12"/>
        <v>-4.0000000000000036E-2</v>
      </c>
      <c r="H114" s="58">
        <f t="shared" si="12"/>
        <v>0.38499999999999979</v>
      </c>
      <c r="I114" s="58">
        <f t="shared" si="12"/>
        <v>0.38499999999999979</v>
      </c>
      <c r="J114" s="58">
        <f t="shared" si="12"/>
        <v>0.38499999999999979</v>
      </c>
      <c r="K114" s="58">
        <f t="shared" si="12"/>
        <v>1.6974999999999998</v>
      </c>
      <c r="L114" s="58">
        <f t="shared" si="12"/>
        <v>1.6974999999999998</v>
      </c>
      <c r="M114" s="58">
        <f t="shared" si="12"/>
        <v>1.6974999999999998</v>
      </c>
      <c r="N114" s="58">
        <f t="shared" si="12"/>
        <v>1.8475000000000001</v>
      </c>
      <c r="O114" s="58">
        <f t="shared" si="12"/>
        <v>1.8475000000000001</v>
      </c>
      <c r="P114" s="58">
        <f t="shared" si="12"/>
        <v>1.8475000000000001</v>
      </c>
    </row>
    <row r="115" spans="1:16" s="50" customFormat="1" x14ac:dyDescent="0.2">
      <c r="B115" s="50" t="str">
        <f>B$155</f>
        <v>Q2</v>
      </c>
      <c r="C115" s="50" t="str">
        <f t="shared" ref="C115:F115" si="13">C$155</f>
        <v>Q3</v>
      </c>
      <c r="D115" s="50" t="str">
        <f t="shared" si="13"/>
        <v>Q4</v>
      </c>
      <c r="E115" s="50" t="str">
        <f t="shared" si="13"/>
        <v>Q1'27</v>
      </c>
      <c r="F115" s="50" t="str">
        <f t="shared" si="13"/>
        <v>Q2'27</v>
      </c>
    </row>
    <row r="116" spans="1:16" s="50" customFormat="1" x14ac:dyDescent="0.2">
      <c r="A116" s="50" t="str">
        <f>$A$156</f>
        <v>% Plan</v>
      </c>
      <c r="B116" s="50">
        <f>(AVERAGE(B113:D113)/AVERAGE(B112:D112))*100</f>
        <v>94.531250000000014</v>
      </c>
      <c r="C116" s="50">
        <f>(AVERAGE(E113:G113)/AVERAGE(E112:G112))*100</f>
        <v>102.31666666666668</v>
      </c>
      <c r="D116" s="50">
        <f>(AVERAGE(H113:J113)/AVERAGE(H112:J112))*100</f>
        <v>92.300000000000011</v>
      </c>
      <c r="E116" s="50">
        <f>(AVERAGE(K113:M113)/AVERAGE(K112:M112))*100</f>
        <v>66.050000000000011</v>
      </c>
      <c r="F116" s="50">
        <f>(AVERAGE(N113:P113)/AVERAGE(N112:P112))*100</f>
        <v>63.05</v>
      </c>
    </row>
    <row r="121" spans="1:16" x14ac:dyDescent="0.2">
      <c r="A121" s="49" t="str">
        <f>SD!A84</f>
        <v>Technology QA</v>
      </c>
      <c r="B121" t="str">
        <f>SD!C$61</f>
        <v>APR</v>
      </c>
      <c r="C121" t="str">
        <f>SD!D$61</f>
        <v>MAY</v>
      </c>
      <c r="D121" t="str">
        <f>SD!E$61</f>
        <v>JUN</v>
      </c>
      <c r="E121" t="str">
        <f>SD!F$61</f>
        <v>JUL</v>
      </c>
      <c r="F121" t="str">
        <f>SD!G$61</f>
        <v>AUG</v>
      </c>
      <c r="G121" t="str">
        <f>SD!H$61</f>
        <v>SEP</v>
      </c>
      <c r="H121" t="str">
        <f>SD!I$61</f>
        <v>OCT</v>
      </c>
      <c r="I121" t="str">
        <f>SD!J$61</f>
        <v>NOV</v>
      </c>
      <c r="J121" t="str">
        <f>SD!K$61</f>
        <v>DEC</v>
      </c>
      <c r="K121" t="str">
        <f>SD!L$61</f>
        <v>JAN'27</v>
      </c>
      <c r="L121" t="str">
        <f>SD!M$61</f>
        <v>FEB'27</v>
      </c>
      <c r="M121" t="str">
        <f>SD!N$61</f>
        <v>MAR'27</v>
      </c>
      <c r="N121" t="str">
        <f>SD!O$61</f>
        <v>APR'27</v>
      </c>
      <c r="O121" t="str">
        <f>SD!P$61</f>
        <v>MAY'27</v>
      </c>
      <c r="P121" t="str">
        <f>SD!Q$61</f>
        <v>JUN'27</v>
      </c>
    </row>
    <row r="122" spans="1:16" x14ac:dyDescent="0.2">
      <c r="A122" t="str">
        <f>SD!B84</f>
        <v>Staff</v>
      </c>
      <c r="B122">
        <f>SD!C84</f>
        <v>12</v>
      </c>
      <c r="C122">
        <f>SD!D84</f>
        <v>14</v>
      </c>
      <c r="D122">
        <f>SD!E84</f>
        <v>17</v>
      </c>
      <c r="E122">
        <f>SD!F84</f>
        <v>18</v>
      </c>
      <c r="F122">
        <f>SD!G84</f>
        <v>18</v>
      </c>
      <c r="G122">
        <f>SD!H84</f>
        <v>18</v>
      </c>
      <c r="H122">
        <f>SD!I84</f>
        <v>18</v>
      </c>
      <c r="I122">
        <f>SD!J84</f>
        <v>18</v>
      </c>
      <c r="J122">
        <f>SD!K84</f>
        <v>18</v>
      </c>
      <c r="K122">
        <f>SD!L84</f>
        <v>18</v>
      </c>
      <c r="L122">
        <f>SD!M84</f>
        <v>18</v>
      </c>
      <c r="M122">
        <f>SD!N84</f>
        <v>18</v>
      </c>
      <c r="N122">
        <f>SD!O84</f>
        <v>18</v>
      </c>
      <c r="O122">
        <f>SD!P84</f>
        <v>18</v>
      </c>
      <c r="P122">
        <f>SD!Q84</f>
        <v>18</v>
      </c>
    </row>
    <row r="123" spans="1:16" x14ac:dyDescent="0.2">
      <c r="A123" t="str">
        <f>SD!B85</f>
        <v>Plan</v>
      </c>
      <c r="B123">
        <f>SD!C85</f>
        <v>11.234999999999999</v>
      </c>
      <c r="C123">
        <f>SD!D85</f>
        <v>13.49</v>
      </c>
      <c r="D123">
        <f>SD!E85</f>
        <v>14.86</v>
      </c>
      <c r="E123">
        <f>SD!F85</f>
        <v>16.059999999999999</v>
      </c>
      <c r="F123">
        <f>SD!G85</f>
        <v>17.760000000000002</v>
      </c>
      <c r="G123">
        <f>SD!H85</f>
        <v>17.434999999999999</v>
      </c>
      <c r="H123">
        <f>SD!I85</f>
        <v>17.350000000000001</v>
      </c>
      <c r="I123">
        <f>SD!J85</f>
        <v>15.074999999999999</v>
      </c>
      <c r="J123">
        <f>SD!K85</f>
        <v>14.824999999999999</v>
      </c>
      <c r="K123">
        <f>SD!L85</f>
        <v>12.824999999999999</v>
      </c>
      <c r="L123">
        <f>SD!M85</f>
        <v>12.824999999999999</v>
      </c>
      <c r="M123">
        <f>SD!N85</f>
        <v>12.824999999999999</v>
      </c>
      <c r="N123">
        <f>SD!O85</f>
        <v>2.3250000000000002</v>
      </c>
      <c r="O123">
        <f>SD!P85</f>
        <v>2.3250000000000002</v>
      </c>
      <c r="P123">
        <f>SD!Q85</f>
        <v>2.3250000000000002</v>
      </c>
    </row>
    <row r="124" spans="1:16" s="57" customFormat="1" x14ac:dyDescent="0.2">
      <c r="A124" s="57" t="s">
        <v>24</v>
      </c>
      <c r="B124" s="58">
        <f>B122-B123</f>
        <v>0.76500000000000057</v>
      </c>
      <c r="C124" s="58">
        <f t="shared" ref="C124:P124" si="14">C122-C123</f>
        <v>0.50999999999999979</v>
      </c>
      <c r="D124" s="58">
        <f t="shared" si="14"/>
        <v>2.1400000000000006</v>
      </c>
      <c r="E124" s="58">
        <f t="shared" si="14"/>
        <v>1.9400000000000013</v>
      </c>
      <c r="F124" s="58">
        <f t="shared" si="14"/>
        <v>0.23999999999999844</v>
      </c>
      <c r="G124" s="58">
        <f t="shared" si="14"/>
        <v>0.56500000000000128</v>
      </c>
      <c r="H124" s="58">
        <f t="shared" si="14"/>
        <v>0.64999999999999858</v>
      </c>
      <c r="I124" s="58">
        <f t="shared" si="14"/>
        <v>2.9250000000000007</v>
      </c>
      <c r="J124" s="58">
        <f t="shared" si="14"/>
        <v>3.1750000000000007</v>
      </c>
      <c r="K124" s="58">
        <f t="shared" si="14"/>
        <v>5.1750000000000007</v>
      </c>
      <c r="L124" s="58">
        <f t="shared" si="14"/>
        <v>5.1750000000000007</v>
      </c>
      <c r="M124" s="58">
        <f t="shared" si="14"/>
        <v>5.1750000000000007</v>
      </c>
      <c r="N124" s="58">
        <f t="shared" si="14"/>
        <v>15.675000000000001</v>
      </c>
      <c r="O124" s="58">
        <f t="shared" si="14"/>
        <v>15.675000000000001</v>
      </c>
      <c r="P124" s="58">
        <f t="shared" si="14"/>
        <v>15.675000000000001</v>
      </c>
    </row>
    <row r="125" spans="1:16" s="50" customFormat="1" x14ac:dyDescent="0.2">
      <c r="B125" s="50" t="str">
        <f>B$155</f>
        <v>Q2</v>
      </c>
      <c r="C125" s="50" t="str">
        <f t="shared" ref="C125:F125" si="15">C$155</f>
        <v>Q3</v>
      </c>
      <c r="D125" s="50" t="str">
        <f t="shared" si="15"/>
        <v>Q4</v>
      </c>
      <c r="E125" s="50" t="str">
        <f t="shared" si="15"/>
        <v>Q1'27</v>
      </c>
      <c r="F125" s="50" t="str">
        <f t="shared" si="15"/>
        <v>Q2'27</v>
      </c>
    </row>
    <row r="126" spans="1:16" s="50" customFormat="1" x14ac:dyDescent="0.2">
      <c r="A126" s="50" t="str">
        <f>$A$156</f>
        <v>% Plan</v>
      </c>
      <c r="B126" s="50">
        <f>(AVERAGE(B123:D123)/AVERAGE(B122:D122))*100</f>
        <v>92.058139534883722</v>
      </c>
      <c r="C126" s="50">
        <f>(AVERAGE(E123:G123)/AVERAGE(E122:G122))*100</f>
        <v>94.916666666666643</v>
      </c>
      <c r="D126" s="50">
        <f>(AVERAGE(H123:J123)/AVERAGE(H122:J122))*100</f>
        <v>87.5</v>
      </c>
      <c r="E126" s="50">
        <f>(AVERAGE(K123:M123)/AVERAGE(K122:M122))*100</f>
        <v>71.249999999999986</v>
      </c>
      <c r="F126" s="50">
        <f>(AVERAGE(N123:P123)/AVERAGE(N122:P122))*100</f>
        <v>12.916666666666668</v>
      </c>
    </row>
    <row r="131" spans="1:16" x14ac:dyDescent="0.2">
      <c r="A131" s="49" t="str">
        <f>SD!A92</f>
        <v>Technology Management</v>
      </c>
      <c r="B131" t="str">
        <f>SD!C$61</f>
        <v>APR</v>
      </c>
      <c r="C131" t="str">
        <f>SD!D$61</f>
        <v>MAY</v>
      </c>
      <c r="D131" t="str">
        <f>SD!E$61</f>
        <v>JUN</v>
      </c>
      <c r="E131" t="str">
        <f>SD!F$61</f>
        <v>JUL</v>
      </c>
      <c r="F131" t="str">
        <f>SD!G$61</f>
        <v>AUG</v>
      </c>
      <c r="G131" t="str">
        <f>SD!H$61</f>
        <v>SEP</v>
      </c>
      <c r="H131" t="str">
        <f>SD!I$61</f>
        <v>OCT</v>
      </c>
      <c r="I131" t="str">
        <f>SD!J$61</f>
        <v>NOV</v>
      </c>
      <c r="J131" t="str">
        <f>SD!K$61</f>
        <v>DEC</v>
      </c>
      <c r="K131" t="str">
        <f>SD!L$61</f>
        <v>JAN'27</v>
      </c>
      <c r="L131" t="str">
        <f>SD!M$61</f>
        <v>FEB'27</v>
      </c>
      <c r="M131" t="str">
        <f>SD!N$61</f>
        <v>MAR'27</v>
      </c>
      <c r="N131" t="str">
        <f>SD!O$61</f>
        <v>APR'27</v>
      </c>
      <c r="O131" t="str">
        <f>SD!P$61</f>
        <v>MAY'27</v>
      </c>
      <c r="P131" t="str">
        <f>SD!Q$61</f>
        <v>JUN'27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3.07</v>
      </c>
      <c r="C133">
        <f>SD!D93</f>
        <v>3.07</v>
      </c>
      <c r="D133">
        <f>SD!E93</f>
        <v>3.24</v>
      </c>
      <c r="E133">
        <f>SD!F93</f>
        <v>3.13</v>
      </c>
      <c r="F133">
        <f>SD!G93</f>
        <v>3.13</v>
      </c>
      <c r="G133">
        <f>SD!H93</f>
        <v>3.34</v>
      </c>
      <c r="H133">
        <f>SD!I93</f>
        <v>3.61</v>
      </c>
      <c r="I133">
        <f>SD!J93</f>
        <v>3.73</v>
      </c>
      <c r="J133">
        <f>SD!K93</f>
        <v>3.73</v>
      </c>
      <c r="K133">
        <f>SD!L93</f>
        <v>3.73</v>
      </c>
      <c r="L133">
        <f>SD!M93</f>
        <v>3.73</v>
      </c>
      <c r="M133">
        <f>SD!N93</f>
        <v>3.73</v>
      </c>
      <c r="N133">
        <f>SD!O93</f>
        <v>3.73</v>
      </c>
      <c r="O133">
        <f>SD!P93</f>
        <v>3.73</v>
      </c>
      <c r="P133">
        <f>SD!Q93</f>
        <v>3.73</v>
      </c>
    </row>
    <row r="134" spans="1:16" s="57" customFormat="1" x14ac:dyDescent="0.2">
      <c r="A134" s="57" t="s">
        <v>24</v>
      </c>
      <c r="B134" s="58">
        <f>B132-B133</f>
        <v>0.93000000000000016</v>
      </c>
      <c r="C134" s="58">
        <f t="shared" ref="C134:P134" si="16">C132-C133</f>
        <v>0.93000000000000016</v>
      </c>
      <c r="D134" s="58">
        <f t="shared" si="16"/>
        <v>0.75999999999999979</v>
      </c>
      <c r="E134" s="58">
        <f t="shared" si="16"/>
        <v>0.87000000000000011</v>
      </c>
      <c r="F134" s="58">
        <f t="shared" si="16"/>
        <v>0.87000000000000011</v>
      </c>
      <c r="G134" s="58">
        <f t="shared" si="16"/>
        <v>0.66000000000000014</v>
      </c>
      <c r="H134" s="58">
        <f t="shared" si="16"/>
        <v>0.39000000000000012</v>
      </c>
      <c r="I134" s="58">
        <f t="shared" si="16"/>
        <v>0.27</v>
      </c>
      <c r="J134" s="58">
        <f t="shared" si="16"/>
        <v>0.27</v>
      </c>
      <c r="K134" s="58">
        <f t="shared" si="16"/>
        <v>0.27</v>
      </c>
      <c r="L134" s="58">
        <f t="shared" si="16"/>
        <v>0.27</v>
      </c>
      <c r="M134" s="58">
        <f t="shared" si="16"/>
        <v>0.27</v>
      </c>
      <c r="N134" s="58">
        <f t="shared" si="16"/>
        <v>0.27</v>
      </c>
      <c r="O134" s="58">
        <f t="shared" si="16"/>
        <v>0.27</v>
      </c>
      <c r="P134" s="58">
        <f t="shared" si="16"/>
        <v>0.27</v>
      </c>
    </row>
    <row r="135" spans="1:16" s="50" customFormat="1" x14ac:dyDescent="0.2">
      <c r="B135" s="50" t="str">
        <f>B$155</f>
        <v>Q2</v>
      </c>
      <c r="C135" s="50" t="str">
        <f t="shared" ref="C135:F135" si="17">C$155</f>
        <v>Q3</v>
      </c>
      <c r="D135" s="50" t="str">
        <f t="shared" si="17"/>
        <v>Q4</v>
      </c>
      <c r="E135" s="50" t="str">
        <f t="shared" si="17"/>
        <v>Q1'27</v>
      </c>
      <c r="F135" s="50" t="str">
        <f t="shared" si="17"/>
        <v>Q2'27</v>
      </c>
    </row>
    <row r="136" spans="1:16" s="50" customFormat="1" x14ac:dyDescent="0.2">
      <c r="A136" s="50" t="str">
        <f>$A$156</f>
        <v>% Plan</v>
      </c>
      <c r="B136" s="50">
        <f>(AVERAGE(B133:D133)/AVERAGE(B132:D132))*100</f>
        <v>78.166666666666657</v>
      </c>
      <c r="C136" s="50">
        <f>(AVERAGE(E133:G133)/AVERAGE(E132:G132))*100</f>
        <v>80</v>
      </c>
      <c r="D136" s="50">
        <f>(AVERAGE(H133:J133)/AVERAGE(H132:J132))*100</f>
        <v>92.25</v>
      </c>
      <c r="E136" s="50">
        <f>(AVERAGE(K133:M133)/AVERAGE(K132:M132))*100</f>
        <v>93.25</v>
      </c>
      <c r="F136" s="50">
        <f>(AVERAGE(N133:P133)/AVERAGE(N132:P132))*100</f>
        <v>93.25</v>
      </c>
    </row>
    <row r="151" spans="1:16" x14ac:dyDescent="0.2">
      <c r="B151" t="str">
        <f>SD!C1</f>
        <v>APR</v>
      </c>
      <c r="C151" t="str">
        <f>SD!D1</f>
        <v>MAY</v>
      </c>
      <c r="D151" t="str">
        <f>SD!E1</f>
        <v>JUN</v>
      </c>
      <c r="E151" t="str">
        <f>SD!F1</f>
        <v>JUL</v>
      </c>
      <c r="F151" t="str">
        <f>SD!G1</f>
        <v>AUG</v>
      </c>
      <c r="G151" t="str">
        <f>SD!H1</f>
        <v>SEP</v>
      </c>
      <c r="H151" t="str">
        <f>SD!I1</f>
        <v>OCT</v>
      </c>
      <c r="I151" t="str">
        <f>SD!J1</f>
        <v>NOV</v>
      </c>
      <c r="J151" t="str">
        <f>SD!K1</f>
        <v>DEC</v>
      </c>
      <c r="K151" t="str">
        <f>SD!L1</f>
        <v>JAN'27</v>
      </c>
      <c r="L151" t="str">
        <f>SD!M1</f>
        <v>FEB'27</v>
      </c>
      <c r="M151" t="str">
        <f>SD!N1</f>
        <v>MAR'27</v>
      </c>
      <c r="N151" t="str">
        <f>SD!O1</f>
        <v>APR'27</v>
      </c>
      <c r="O151" t="str">
        <f>SD!P1</f>
        <v>MAY'27</v>
      </c>
      <c r="P151" t="str">
        <f>SD!Q1</f>
        <v>JUN'27</v>
      </c>
    </row>
    <row r="152" spans="1:16" x14ac:dyDescent="0.2">
      <c r="A152" t="str">
        <f>SD!B6</f>
        <v>% Plan</v>
      </c>
      <c r="B152">
        <f>SD!C6*100</f>
        <v>90.33</v>
      </c>
      <c r="C152">
        <f>SD!D6*100</f>
        <v>91.69</v>
      </c>
      <c r="D152">
        <f>SD!E6*100</f>
        <v>89.24</v>
      </c>
      <c r="E152">
        <f>SD!F6*100</f>
        <v>85.79</v>
      </c>
      <c r="F152">
        <f>SD!G6*100</f>
        <v>93.210000000000008</v>
      </c>
      <c r="G152">
        <f>SD!H6*100</f>
        <v>91.490000000000009</v>
      </c>
      <c r="H152">
        <f>SD!I6*100</f>
        <v>93.47</v>
      </c>
      <c r="I152">
        <f>SD!J6*100</f>
        <v>86.72</v>
      </c>
      <c r="J152">
        <f>SD!K6*100</f>
        <v>84.33</v>
      </c>
      <c r="K152">
        <f>SD!L6*100</f>
        <v>68.27</v>
      </c>
      <c r="L152">
        <f>SD!M6*100</f>
        <v>66.490000000000009</v>
      </c>
      <c r="M152">
        <f>SD!N6*100</f>
        <v>65.649999999999991</v>
      </c>
      <c r="N152">
        <f>SD!O6*100</f>
        <v>37.869999999999997</v>
      </c>
      <c r="O152">
        <f>SD!P6*100</f>
        <v>37.130000000000003</v>
      </c>
      <c r="P152">
        <f>SD!Q6*100</f>
        <v>37.130000000000003</v>
      </c>
    </row>
    <row r="153" spans="1:16" x14ac:dyDescent="0.2">
      <c r="A153" t="str">
        <f>SD!B7</f>
        <v>Available FTE</v>
      </c>
      <c r="B153">
        <f>SD!C7</f>
        <v>4</v>
      </c>
      <c r="C153">
        <f>SD!D7</f>
        <v>4</v>
      </c>
      <c r="D153">
        <f>SD!E7</f>
        <v>5</v>
      </c>
      <c r="E153">
        <f>SD!F7</f>
        <v>8</v>
      </c>
      <c r="F153">
        <f>SD!G7</f>
        <v>4</v>
      </c>
      <c r="G153">
        <f>SD!H7</f>
        <v>5</v>
      </c>
      <c r="H153">
        <f>SD!I7</f>
        <v>3</v>
      </c>
      <c r="I153">
        <f>SD!J7</f>
        <v>7</v>
      </c>
      <c r="J153">
        <f>SD!K7</f>
        <v>8</v>
      </c>
      <c r="K153">
        <f>SD!L7</f>
        <v>17</v>
      </c>
      <c r="L153">
        <f>SD!M7</f>
        <v>18</v>
      </c>
      <c r="M153">
        <f>SD!N7</f>
        <v>18</v>
      </c>
      <c r="N153">
        <f>SD!O7</f>
        <v>33</v>
      </c>
      <c r="O153">
        <f>SD!P7</f>
        <v>33</v>
      </c>
      <c r="P153">
        <f>SD!Q7</f>
        <v>33</v>
      </c>
    </row>
    <row r="155" spans="1:16" x14ac:dyDescent="0.2">
      <c r="B155" t="str">
        <f>SD!C31</f>
        <v>Q2</v>
      </c>
      <c r="C155" t="str">
        <f>SD!D31</f>
        <v>Q3</v>
      </c>
      <c r="D155" t="str">
        <f>SD!E31</f>
        <v>Q4</v>
      </c>
      <c r="E155" t="str">
        <f>SD!F31</f>
        <v>Q1'27</v>
      </c>
      <c r="F155" t="str">
        <f>SD!G31</f>
        <v>Q2'27</v>
      </c>
    </row>
    <row r="156" spans="1:16" x14ac:dyDescent="0.2">
      <c r="A156" t="str">
        <f>SD!B6</f>
        <v>% Plan</v>
      </c>
      <c r="B156">
        <f>SD!C36*100</f>
        <v>90.4</v>
      </c>
      <c r="C156">
        <f>SD!D36*100</f>
        <v>90.16</v>
      </c>
      <c r="D156">
        <f>SD!E36*100</f>
        <v>88.17</v>
      </c>
      <c r="E156">
        <f>SD!F36*100</f>
        <v>66.8</v>
      </c>
      <c r="F156">
        <f>SD!G36*100</f>
        <v>37.380000000000003</v>
      </c>
    </row>
    <row r="157" spans="1:16" x14ac:dyDescent="0.2">
      <c r="A157" t="str">
        <f>SD!B7</f>
        <v>Available FTE</v>
      </c>
      <c r="B157">
        <f>SD!C37</f>
        <v>5</v>
      </c>
      <c r="C157">
        <f>SD!D37</f>
        <v>5</v>
      </c>
      <c r="D157">
        <f>SD!E37</f>
        <v>6</v>
      </c>
      <c r="E157">
        <f>SD!F37</f>
        <v>11</v>
      </c>
      <c r="F157">
        <f>SD!G37</f>
        <v>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F1" workbookViewId="0">
      <pane ySplit="1" topLeftCell="A41" activePane="bottomLeft" state="frozen"/>
      <selection pane="bottomLeft" activeCell="K67" sqref="K67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33</v>
      </c>
      <c r="B2" s="6" t="s">
        <v>16</v>
      </c>
      <c r="C2" s="7">
        <v>21</v>
      </c>
      <c r="D2" s="7">
        <v>21</v>
      </c>
      <c r="E2" s="7">
        <v>21</v>
      </c>
      <c r="F2" s="7">
        <v>19</v>
      </c>
      <c r="G2" s="7">
        <v>19</v>
      </c>
      <c r="H2" s="7">
        <v>19</v>
      </c>
      <c r="I2" s="7">
        <v>19</v>
      </c>
      <c r="J2" s="7">
        <v>19</v>
      </c>
      <c r="K2" s="7">
        <v>19</v>
      </c>
      <c r="L2" s="7">
        <v>20</v>
      </c>
      <c r="M2" s="7">
        <v>20</v>
      </c>
      <c r="N2" s="7">
        <v>20</v>
      </c>
      <c r="O2" s="7">
        <v>20</v>
      </c>
      <c r="P2" s="7">
        <v>20</v>
      </c>
      <c r="Q2" s="7">
        <v>20</v>
      </c>
    </row>
    <row r="3" spans="1:17" x14ac:dyDescent="0.2">
      <c r="A3" s="11" t="s">
        <v>33</v>
      </c>
      <c r="B3" s="8" t="s">
        <v>17</v>
      </c>
      <c r="C3" s="7">
        <v>20</v>
      </c>
      <c r="D3" s="7">
        <v>20</v>
      </c>
      <c r="E3" s="7">
        <v>20</v>
      </c>
      <c r="F3" s="7">
        <v>20</v>
      </c>
      <c r="G3" s="7">
        <v>20</v>
      </c>
      <c r="H3" s="7">
        <v>20</v>
      </c>
      <c r="I3" s="7">
        <v>20</v>
      </c>
      <c r="J3" s="7">
        <v>20</v>
      </c>
      <c r="K3" s="7">
        <v>20</v>
      </c>
      <c r="L3" s="7">
        <v>20</v>
      </c>
      <c r="M3" s="7">
        <v>20</v>
      </c>
      <c r="N3" s="7">
        <v>20</v>
      </c>
      <c r="O3" s="7">
        <v>20.399999999999999</v>
      </c>
      <c r="P3" s="7">
        <v>20.399999999999999</v>
      </c>
      <c r="Q3" s="7">
        <v>20.399999999999999</v>
      </c>
    </row>
    <row r="4" spans="1:17" x14ac:dyDescent="0.2">
      <c r="A4" s="12" t="s">
        <v>33</v>
      </c>
      <c r="B4" s="9" t="s">
        <v>18</v>
      </c>
      <c r="C4" s="7">
        <v>17</v>
      </c>
      <c r="D4" s="7">
        <v>17</v>
      </c>
      <c r="E4" s="7">
        <v>16</v>
      </c>
      <c r="F4" s="7">
        <v>16</v>
      </c>
      <c r="G4" s="7">
        <v>16</v>
      </c>
      <c r="H4" s="7">
        <v>15</v>
      </c>
      <c r="I4" s="7">
        <v>16</v>
      </c>
      <c r="J4" s="7">
        <v>16</v>
      </c>
      <c r="K4" s="7">
        <v>15</v>
      </c>
      <c r="L4" s="7">
        <v>14</v>
      </c>
      <c r="M4" s="7">
        <v>14</v>
      </c>
      <c r="N4" s="7">
        <v>13</v>
      </c>
      <c r="O4" s="7">
        <v>11.445</v>
      </c>
      <c r="P4" s="7">
        <v>11.307499999999999</v>
      </c>
      <c r="Q4" s="7">
        <v>11.307499999999999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0.83279999999999998</v>
      </c>
      <c r="D6" s="18">
        <v>0.8044</v>
      </c>
      <c r="E6" s="18">
        <v>0.77439999999999998</v>
      </c>
      <c r="F6" s="18">
        <v>0.82799999999999996</v>
      </c>
      <c r="G6" s="18">
        <v>0.83330000000000004</v>
      </c>
      <c r="H6" s="18">
        <v>0.78590000000000004</v>
      </c>
      <c r="I6" s="18">
        <v>0.81820000000000004</v>
      </c>
      <c r="J6" s="18">
        <v>0.81620000000000004</v>
      </c>
      <c r="K6" s="18">
        <v>0.81089999999999995</v>
      </c>
      <c r="L6" s="18">
        <v>0.69230000000000003</v>
      </c>
      <c r="M6" s="18">
        <v>0.68540000000000001</v>
      </c>
      <c r="N6" s="18">
        <v>0.64659999999999995</v>
      </c>
      <c r="O6" s="18">
        <v>0.57230000000000003</v>
      </c>
      <c r="P6" s="18">
        <v>0.56540000000000001</v>
      </c>
      <c r="Q6" s="18">
        <v>0.56540000000000001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3</v>
      </c>
      <c r="G7" s="19">
        <v>3</v>
      </c>
      <c r="H7" s="19">
        <v>4</v>
      </c>
      <c r="I7" s="19">
        <v>3</v>
      </c>
      <c r="J7" s="19">
        <v>3</v>
      </c>
      <c r="K7" s="19">
        <v>4</v>
      </c>
      <c r="L7" s="19">
        <v>6</v>
      </c>
      <c r="M7" s="19">
        <v>6</v>
      </c>
      <c r="N7" s="19">
        <v>7</v>
      </c>
      <c r="O7" s="19">
        <v>9</v>
      </c>
      <c r="P7" s="19">
        <v>9</v>
      </c>
      <c r="Q7" s="19">
        <v>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21</v>
      </c>
      <c r="D9" s="7">
        <v>21</v>
      </c>
      <c r="E9" s="7">
        <v>21</v>
      </c>
      <c r="F9" s="7">
        <v>19</v>
      </c>
      <c r="G9" s="7">
        <v>19</v>
      </c>
      <c r="H9" s="7">
        <v>19</v>
      </c>
      <c r="I9" s="7">
        <v>19</v>
      </c>
      <c r="J9" s="7">
        <v>19</v>
      </c>
      <c r="K9" s="7">
        <v>19</v>
      </c>
      <c r="L9" s="7">
        <v>20</v>
      </c>
      <c r="M9" s="7">
        <v>20</v>
      </c>
      <c r="N9" s="7">
        <v>20</v>
      </c>
      <c r="O9" s="7">
        <v>20</v>
      </c>
      <c r="P9" s="7">
        <v>20</v>
      </c>
      <c r="Q9" s="7">
        <v>20</v>
      </c>
    </row>
    <row r="10" spans="1:17" x14ac:dyDescent="0.2">
      <c r="A10" s="8" t="s">
        <v>17</v>
      </c>
      <c r="B10" s="11" t="s">
        <v>19</v>
      </c>
      <c r="C10" s="7">
        <v>20</v>
      </c>
      <c r="D10" s="7">
        <v>20</v>
      </c>
      <c r="E10" s="7">
        <v>20</v>
      </c>
      <c r="F10" s="7">
        <v>20</v>
      </c>
      <c r="G10" s="7">
        <v>20</v>
      </c>
      <c r="H10" s="7">
        <v>20</v>
      </c>
      <c r="I10" s="7">
        <v>20</v>
      </c>
      <c r="J10" s="7">
        <v>20</v>
      </c>
      <c r="K10" s="7">
        <v>20</v>
      </c>
      <c r="L10" s="7">
        <v>20</v>
      </c>
      <c r="M10" s="7">
        <v>20</v>
      </c>
      <c r="N10" s="7">
        <v>20</v>
      </c>
      <c r="O10" s="7">
        <v>19.75</v>
      </c>
      <c r="P10" s="7">
        <v>19.75</v>
      </c>
      <c r="Q10" s="7">
        <v>19.75</v>
      </c>
    </row>
    <row r="11" spans="1:17" x14ac:dyDescent="0.2">
      <c r="A11" s="15" t="s">
        <v>18</v>
      </c>
      <c r="B11" s="12" t="s">
        <v>19</v>
      </c>
      <c r="C11" s="7">
        <v>17</v>
      </c>
      <c r="D11" s="7">
        <v>17</v>
      </c>
      <c r="E11" s="7">
        <v>16</v>
      </c>
      <c r="F11" s="7">
        <v>16</v>
      </c>
      <c r="G11" s="7">
        <v>16</v>
      </c>
      <c r="H11" s="7">
        <v>15</v>
      </c>
      <c r="I11" s="7">
        <v>16</v>
      </c>
      <c r="J11" s="7">
        <v>16</v>
      </c>
      <c r="K11" s="7">
        <v>15</v>
      </c>
      <c r="L11" s="7">
        <v>14</v>
      </c>
      <c r="M11" s="7">
        <v>14</v>
      </c>
      <c r="N11" s="7">
        <v>13</v>
      </c>
      <c r="O11" s="7">
        <v>11.445</v>
      </c>
      <c r="P11" s="7">
        <v>11.307499999999999</v>
      </c>
      <c r="Q11" s="7">
        <v>11.307499999999999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33</v>
      </c>
      <c r="B32" s="6" t="s">
        <v>16</v>
      </c>
      <c r="C32" s="20">
        <v>21</v>
      </c>
      <c r="D32" s="20">
        <v>19</v>
      </c>
      <c r="E32" s="20">
        <v>19</v>
      </c>
      <c r="F32" s="20">
        <v>20</v>
      </c>
      <c r="G32" s="20">
        <v>20</v>
      </c>
    </row>
    <row r="33" spans="1:7" x14ac:dyDescent="0.2">
      <c r="A33" s="11" t="s">
        <v>33</v>
      </c>
      <c r="B33" s="8" t="s">
        <v>17</v>
      </c>
      <c r="C33" s="20">
        <v>20</v>
      </c>
      <c r="D33" s="20">
        <v>20</v>
      </c>
      <c r="E33" s="20">
        <v>20</v>
      </c>
      <c r="F33" s="20">
        <v>20</v>
      </c>
      <c r="G33" s="20">
        <v>20</v>
      </c>
    </row>
    <row r="34" spans="1:7" x14ac:dyDescent="0.2">
      <c r="A34" s="12" t="s">
        <v>33</v>
      </c>
      <c r="B34" s="9" t="s">
        <v>18</v>
      </c>
      <c r="C34" s="20">
        <v>17</v>
      </c>
      <c r="D34" s="20">
        <v>15</v>
      </c>
      <c r="E34" s="20">
        <v>15</v>
      </c>
      <c r="F34" s="20">
        <v>13</v>
      </c>
      <c r="G34" s="20">
        <v>11</v>
      </c>
    </row>
    <row r="35" spans="1:7" x14ac:dyDescent="0.2">
      <c r="A35" s="16"/>
      <c r="B35" s="7"/>
      <c r="C35" s="24">
        <v>0.1961</v>
      </c>
      <c r="D35" s="24">
        <v>0.18429999999999999</v>
      </c>
      <c r="E35" s="24">
        <v>0.18490000000000001</v>
      </c>
      <c r="F35" s="24">
        <v>0.32529999999999998</v>
      </c>
      <c r="G35" s="24">
        <v>0.43230000000000002</v>
      </c>
    </row>
    <row r="36" spans="1:7" x14ac:dyDescent="0.2">
      <c r="A36" s="7"/>
      <c r="B36" s="17" t="s">
        <v>23</v>
      </c>
      <c r="C36" s="18">
        <v>0.80389999999999995</v>
      </c>
      <c r="D36" s="18">
        <v>0.81569999999999998</v>
      </c>
      <c r="E36" s="18">
        <v>0.81510000000000005</v>
      </c>
      <c r="F36" s="18">
        <v>0.67479999999999996</v>
      </c>
      <c r="G36" s="18">
        <v>0.56769999999999998</v>
      </c>
    </row>
    <row r="37" spans="1:7" x14ac:dyDescent="0.2">
      <c r="A37" s="16"/>
      <c r="B37" s="17" t="s">
        <v>24</v>
      </c>
      <c r="C37" s="19">
        <v>4</v>
      </c>
      <c r="D37" s="19">
        <v>4</v>
      </c>
      <c r="E37" s="19">
        <v>4</v>
      </c>
      <c r="F37" s="19">
        <v>4</v>
      </c>
      <c r="G37" s="19">
        <v>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21</v>
      </c>
      <c r="D39" s="20">
        <v>19</v>
      </c>
      <c r="E39" s="20">
        <v>19</v>
      </c>
      <c r="F39" s="20">
        <v>20</v>
      </c>
      <c r="G39" s="20">
        <v>20</v>
      </c>
    </row>
    <row r="40" spans="1:7" x14ac:dyDescent="0.2">
      <c r="A40" s="8" t="s">
        <v>17</v>
      </c>
      <c r="B40" s="11" t="s">
        <v>19</v>
      </c>
      <c r="C40" s="20">
        <v>20</v>
      </c>
      <c r="D40" s="20">
        <v>20</v>
      </c>
      <c r="E40" s="20">
        <v>20</v>
      </c>
      <c r="F40" s="20">
        <v>20</v>
      </c>
      <c r="G40" s="20">
        <v>20</v>
      </c>
    </row>
    <row r="41" spans="1:7" x14ac:dyDescent="0.2">
      <c r="A41" s="15" t="s">
        <v>18</v>
      </c>
      <c r="B41" s="12" t="s">
        <v>19</v>
      </c>
      <c r="C41" s="20">
        <v>17</v>
      </c>
      <c r="D41" s="20">
        <v>15</v>
      </c>
      <c r="E41" s="20">
        <v>15</v>
      </c>
      <c r="F41" s="20">
        <v>13</v>
      </c>
      <c r="G41" s="20">
        <v>11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5" t="s">
        <v>179</v>
      </c>
      <c r="P61" s="5" t="s">
        <v>180</v>
      </c>
      <c r="Q61" s="5" t="s">
        <v>181</v>
      </c>
    </row>
    <row r="62" spans="1:17" x14ac:dyDescent="0.2">
      <c r="A62" s="11"/>
      <c r="B62" s="37" t="s">
        <v>16</v>
      </c>
      <c r="C62" s="11">
        <v>21</v>
      </c>
      <c r="D62" s="11">
        <v>21</v>
      </c>
      <c r="E62" s="11">
        <v>21</v>
      </c>
      <c r="F62" s="11">
        <v>19</v>
      </c>
      <c r="G62" s="11">
        <v>19</v>
      </c>
      <c r="H62" s="11">
        <v>19</v>
      </c>
      <c r="I62" s="11">
        <v>19</v>
      </c>
      <c r="J62" s="11">
        <v>19</v>
      </c>
      <c r="K62" s="11">
        <v>19</v>
      </c>
      <c r="L62" s="11">
        <v>20</v>
      </c>
      <c r="M62" s="11">
        <v>20</v>
      </c>
      <c r="N62" s="11">
        <v>20</v>
      </c>
      <c r="O62" s="11">
        <v>20</v>
      </c>
      <c r="P62" s="11">
        <v>20</v>
      </c>
      <c r="Q62" s="11">
        <v>20</v>
      </c>
    </row>
    <row r="63" spans="1:17" x14ac:dyDescent="0.2">
      <c r="A63" s="28"/>
      <c r="B63" s="38" t="s">
        <v>18</v>
      </c>
      <c r="C63" s="39">
        <v>17.488125</v>
      </c>
      <c r="D63" s="39">
        <v>16.893125000000001</v>
      </c>
      <c r="E63" s="39">
        <v>16.263124999999999</v>
      </c>
      <c r="F63" s="39">
        <v>15.7325</v>
      </c>
      <c r="G63" s="39">
        <v>15.8325</v>
      </c>
      <c r="H63" s="39">
        <v>14.932499999999999</v>
      </c>
      <c r="I63" s="39">
        <v>15.545</v>
      </c>
      <c r="J63" s="39">
        <v>15.5075</v>
      </c>
      <c r="K63" s="39">
        <v>15.407500000000001</v>
      </c>
      <c r="L63" s="39">
        <v>13.845000000000001</v>
      </c>
      <c r="M63" s="39">
        <v>13.7075</v>
      </c>
      <c r="N63" s="39">
        <v>12.932499999999999</v>
      </c>
      <c r="O63" s="39">
        <v>11.445</v>
      </c>
      <c r="P63" s="39">
        <v>11.307499999999999</v>
      </c>
      <c r="Q63" s="39">
        <v>11.307499999999999</v>
      </c>
    </row>
    <row r="64" spans="1:17" x14ac:dyDescent="0.2">
      <c r="A64" s="14" t="s">
        <v>71</v>
      </c>
      <c r="B64" s="6" t="s">
        <v>16</v>
      </c>
      <c r="C64" s="27">
        <v>3</v>
      </c>
      <c r="D64" s="27">
        <v>3</v>
      </c>
      <c r="E64" s="27">
        <v>3</v>
      </c>
      <c r="F64" s="27">
        <v>2</v>
      </c>
      <c r="G64" s="27">
        <v>2</v>
      </c>
      <c r="H64" s="27">
        <v>2</v>
      </c>
      <c r="I64" s="27">
        <v>2</v>
      </c>
      <c r="J64" s="27">
        <v>2</v>
      </c>
      <c r="K64" s="27">
        <v>2</v>
      </c>
      <c r="L64" s="27">
        <v>3</v>
      </c>
      <c r="M64" s="27">
        <v>3</v>
      </c>
      <c r="N64" s="27">
        <v>3</v>
      </c>
      <c r="O64" s="27">
        <v>3</v>
      </c>
      <c r="P64" s="27">
        <v>3</v>
      </c>
      <c r="Q64" s="27">
        <v>3</v>
      </c>
    </row>
    <row r="65" spans="1:17" x14ac:dyDescent="0.2">
      <c r="A65" s="31" t="s">
        <v>71</v>
      </c>
      <c r="B65" s="9" t="s">
        <v>18</v>
      </c>
      <c r="C65" s="7">
        <v>2.9</v>
      </c>
      <c r="D65" s="7">
        <v>2.9</v>
      </c>
      <c r="E65" s="7">
        <v>2.9</v>
      </c>
      <c r="F65" s="7">
        <v>2</v>
      </c>
      <c r="G65" s="7">
        <v>2</v>
      </c>
      <c r="H65" s="7">
        <v>2</v>
      </c>
      <c r="I65" s="7">
        <v>2</v>
      </c>
      <c r="J65" s="7">
        <v>2</v>
      </c>
      <c r="K65" s="7">
        <v>2</v>
      </c>
      <c r="L65" s="7">
        <v>2.9</v>
      </c>
      <c r="M65" s="7">
        <v>2.9</v>
      </c>
      <c r="N65" s="7">
        <v>2.9</v>
      </c>
      <c r="O65" s="7">
        <v>2.9</v>
      </c>
      <c r="P65" s="7">
        <v>2.9</v>
      </c>
      <c r="Q65" s="7">
        <v>2.9</v>
      </c>
    </row>
    <row r="66" spans="1:17" x14ac:dyDescent="0.2">
      <c r="A66" s="14" t="s">
        <v>72</v>
      </c>
      <c r="B66" s="6" t="s">
        <v>16</v>
      </c>
      <c r="C66" s="27">
        <v>8</v>
      </c>
      <c r="D66" s="27">
        <v>8</v>
      </c>
      <c r="E66" s="27">
        <v>8</v>
      </c>
      <c r="F66" s="27">
        <v>8</v>
      </c>
      <c r="G66" s="27">
        <v>8</v>
      </c>
      <c r="H66" s="27">
        <v>8</v>
      </c>
      <c r="I66" s="27">
        <v>8</v>
      </c>
      <c r="J66" s="27">
        <v>8</v>
      </c>
      <c r="K66" s="27">
        <v>8</v>
      </c>
      <c r="L66" s="27">
        <v>8</v>
      </c>
      <c r="M66" s="27">
        <v>8</v>
      </c>
      <c r="N66" s="27">
        <v>8</v>
      </c>
      <c r="O66" s="27">
        <v>8</v>
      </c>
      <c r="P66" s="27">
        <v>8</v>
      </c>
      <c r="Q66" s="27">
        <v>8</v>
      </c>
    </row>
    <row r="67" spans="1:17" x14ac:dyDescent="0.2">
      <c r="A67" s="31" t="s">
        <v>72</v>
      </c>
      <c r="B67" s="9" t="s">
        <v>18</v>
      </c>
      <c r="C67" s="7">
        <v>6.913125</v>
      </c>
      <c r="D67" s="7">
        <v>6.9881250000000001</v>
      </c>
      <c r="E67" s="7">
        <v>6.8881249999999996</v>
      </c>
      <c r="F67" s="7">
        <v>6.1574999999999998</v>
      </c>
      <c r="G67" s="7">
        <v>6.1074999999999999</v>
      </c>
      <c r="H67" s="7">
        <v>6.1074999999999999</v>
      </c>
      <c r="I67" s="7">
        <v>6.42</v>
      </c>
      <c r="J67" s="7">
        <v>6.1325000000000003</v>
      </c>
      <c r="K67" s="7">
        <v>6.1325000000000003</v>
      </c>
      <c r="L67" s="7">
        <v>5.62</v>
      </c>
      <c r="M67" s="7">
        <v>5.4824999999999999</v>
      </c>
      <c r="N67" s="7">
        <v>5.4824999999999999</v>
      </c>
      <c r="O67" s="7">
        <v>4.6449999999999996</v>
      </c>
      <c r="P67" s="7">
        <v>4.5075000000000003</v>
      </c>
      <c r="Q67" s="7">
        <v>4.5075000000000003</v>
      </c>
    </row>
    <row r="68" spans="1:17" x14ac:dyDescent="0.2">
      <c r="A68" s="14" t="s">
        <v>73</v>
      </c>
      <c r="B68" s="6" t="s">
        <v>16</v>
      </c>
      <c r="C68" s="27">
        <v>6</v>
      </c>
      <c r="D68" s="27">
        <v>6</v>
      </c>
      <c r="E68" s="27">
        <v>6</v>
      </c>
      <c r="F68" s="27">
        <v>5</v>
      </c>
      <c r="G68" s="27">
        <v>5</v>
      </c>
      <c r="H68" s="27">
        <v>5</v>
      </c>
      <c r="I68" s="27">
        <v>5</v>
      </c>
      <c r="J68" s="27">
        <v>5</v>
      </c>
      <c r="K68" s="27">
        <v>5</v>
      </c>
      <c r="L68" s="27">
        <v>5</v>
      </c>
      <c r="M68" s="27">
        <v>5</v>
      </c>
      <c r="N68" s="27">
        <v>5</v>
      </c>
      <c r="O68" s="27">
        <v>5</v>
      </c>
      <c r="P68" s="27">
        <v>5</v>
      </c>
      <c r="Q68" s="27">
        <v>5</v>
      </c>
    </row>
    <row r="69" spans="1:17" x14ac:dyDescent="0.2">
      <c r="A69" s="31" t="s">
        <v>73</v>
      </c>
      <c r="B69" s="9" t="s">
        <v>18</v>
      </c>
      <c r="C69" s="7">
        <v>4.4249999999999998</v>
      </c>
      <c r="D69" s="7">
        <v>4.3499999999999996</v>
      </c>
      <c r="E69" s="7">
        <v>4.0999999999999996</v>
      </c>
      <c r="F69" s="7">
        <v>4.2249999999999996</v>
      </c>
      <c r="G69" s="7">
        <v>4.2249999999999996</v>
      </c>
      <c r="H69" s="7">
        <v>4.2249999999999996</v>
      </c>
      <c r="I69" s="7">
        <v>4.125</v>
      </c>
      <c r="J69" s="7">
        <v>4.125</v>
      </c>
      <c r="K69" s="7">
        <v>4.125</v>
      </c>
      <c r="L69" s="7">
        <v>2.875</v>
      </c>
      <c r="M69" s="7">
        <v>2.875</v>
      </c>
      <c r="N69" s="7">
        <v>2.1</v>
      </c>
      <c r="O69" s="7">
        <v>1.85</v>
      </c>
      <c r="P69" s="7">
        <v>1.85</v>
      </c>
      <c r="Q69" s="7">
        <v>1.85</v>
      </c>
    </row>
    <row r="70" spans="1:17" x14ac:dyDescent="0.2">
      <c r="A70" s="14" t="s">
        <v>74</v>
      </c>
      <c r="B70" s="6" t="s">
        <v>16</v>
      </c>
      <c r="C70" s="27">
        <v>4</v>
      </c>
      <c r="D70" s="27">
        <v>4</v>
      </c>
      <c r="E70" s="27">
        <v>4</v>
      </c>
      <c r="F70" s="27">
        <v>4</v>
      </c>
      <c r="G70" s="27">
        <v>4</v>
      </c>
      <c r="H70" s="27">
        <v>4</v>
      </c>
      <c r="I70" s="27">
        <v>4</v>
      </c>
      <c r="J70" s="27">
        <v>4</v>
      </c>
      <c r="K70" s="27">
        <v>4</v>
      </c>
      <c r="L70" s="27">
        <v>4</v>
      </c>
      <c r="M70" s="27">
        <v>4</v>
      </c>
      <c r="N70" s="27">
        <v>4</v>
      </c>
      <c r="O70" s="27">
        <v>4</v>
      </c>
      <c r="P70" s="27">
        <v>4</v>
      </c>
      <c r="Q70" s="27">
        <v>4</v>
      </c>
    </row>
    <row r="71" spans="1:17" x14ac:dyDescent="0.2">
      <c r="A71" s="31" t="s">
        <v>74</v>
      </c>
      <c r="B71" s="9" t="s">
        <v>18</v>
      </c>
      <c r="C71" s="7">
        <v>3.25</v>
      </c>
      <c r="D71" s="7">
        <v>2.6549999999999998</v>
      </c>
      <c r="E71" s="7">
        <v>2.375</v>
      </c>
      <c r="F71" s="7">
        <v>3.35</v>
      </c>
      <c r="G71" s="7">
        <v>3.5</v>
      </c>
      <c r="H71" s="7">
        <v>2.6</v>
      </c>
      <c r="I71" s="7">
        <v>3</v>
      </c>
      <c r="J71" s="7">
        <v>3.25</v>
      </c>
      <c r="K71" s="7">
        <v>3.15</v>
      </c>
      <c r="L71" s="7">
        <v>2.4500000000000002</v>
      </c>
      <c r="M71" s="7">
        <v>2.4500000000000002</v>
      </c>
      <c r="N71" s="7">
        <v>2.4500000000000002</v>
      </c>
      <c r="O71" s="7">
        <v>2.0499999999999998</v>
      </c>
      <c r="P71" s="7">
        <v>2.0499999999999998</v>
      </c>
      <c r="Q71" s="7">
        <v>2.0499999999999998</v>
      </c>
    </row>
    <row r="72" spans="1:17" x14ac:dyDescent="0.2">
      <c r="A72" s="14" t="s">
        <v>75</v>
      </c>
      <c r="B72" s="6" t="s">
        <v>16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27">
        <v>0</v>
      </c>
      <c r="M72" s="27">
        <v>0</v>
      </c>
      <c r="N72" s="27">
        <v>0</v>
      </c>
      <c r="O72" s="27">
        <v>0</v>
      </c>
      <c r="P72" s="27">
        <v>0</v>
      </c>
      <c r="Q72" s="27">
        <v>0</v>
      </c>
    </row>
    <row r="73" spans="1:17" x14ac:dyDescent="0.2">
      <c r="A73" s="31" t="s">
        <v>75</v>
      </c>
      <c r="B73" s="9" t="s">
        <v>18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APR</v>
      </c>
      <c r="C1" t="str">
        <f>IF(AIC!D1&gt;0,AIC!D1,"")</f>
        <v>MAY</v>
      </c>
      <c r="D1" t="str">
        <f>IF(AIC!E1&gt;0,AIC!E1,"")</f>
        <v>JUN</v>
      </c>
      <c r="E1" t="str">
        <f>IF(AIC!F1&gt;0,AIC!F1,"")</f>
        <v>JUL</v>
      </c>
      <c r="F1" t="str">
        <f>IF(AIC!G1&gt;0,AIC!G1,"")</f>
        <v>AUG</v>
      </c>
      <c r="G1" t="str">
        <f>IF(AIC!H1&gt;0,AIC!H1,"")</f>
        <v>SEP</v>
      </c>
      <c r="H1" t="str">
        <f>IF(AIC!I1&gt;0,AIC!I1,"")</f>
        <v>OCT</v>
      </c>
      <c r="I1" t="str">
        <f>IF(AIC!J1&gt;0,AIC!J1,"")</f>
        <v>NOV</v>
      </c>
      <c r="J1" t="str">
        <f>IF(AIC!K1&gt;0,AIC!K1,"")</f>
        <v>DEC</v>
      </c>
      <c r="K1" t="str">
        <f>IF(AIC!L1&gt;0,AIC!L1,"")</f>
        <v>JAN'27</v>
      </c>
      <c r="L1" t="str">
        <f>IF(AIC!M1&gt;0,AIC!M1,"")</f>
        <v>FEB'27</v>
      </c>
      <c r="M1" t="str">
        <f>IF(AIC!N1&gt;0,AIC!N1,"")</f>
        <v>MAR'27</v>
      </c>
      <c r="N1" t="str">
        <f>IF(AIC!O1&gt;0,AIC!O1,"")</f>
        <v>APR'27</v>
      </c>
      <c r="O1" t="str">
        <f>IF(AIC!P1&gt;0,AIC!P1,"")</f>
        <v>MAY'27</v>
      </c>
      <c r="P1" t="str">
        <f>IF(AIC!Q1&gt;0,AIC!Q1,"")</f>
        <v>JUN'27</v>
      </c>
    </row>
    <row r="2" spans="1:16" x14ac:dyDescent="0.2">
      <c r="A2" t="str">
        <f>IF(AIC!B2&gt;0,AIC!B2,"")</f>
        <v>Staff</v>
      </c>
      <c r="B2">
        <f>IF(AIC!C2&gt;0,AIC!C2,"")</f>
        <v>21</v>
      </c>
      <c r="C2">
        <f>IF(AIC!D2&gt;0,AIC!D2,"")</f>
        <v>21</v>
      </c>
      <c r="D2">
        <f>IF(AIC!E2&gt;0,AIC!E2,"")</f>
        <v>21</v>
      </c>
      <c r="E2">
        <f>IF(AIC!F2&gt;0,AIC!F2,"")</f>
        <v>19</v>
      </c>
      <c r="F2">
        <f>IF(AIC!G2&gt;0,AIC!G2,"")</f>
        <v>19</v>
      </c>
      <c r="G2">
        <f>IF(AIC!H2&gt;0,AIC!H2,"")</f>
        <v>19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20</v>
      </c>
      <c r="L2">
        <f>IF(AIC!M2&gt;0,AIC!M2,"")</f>
        <v>20</v>
      </c>
      <c r="M2">
        <f>IF(AIC!N2&gt;0,AIC!N2,"")</f>
        <v>20</v>
      </c>
      <c r="N2">
        <f>IF(AIC!O2&gt;0,AIC!O2,"")</f>
        <v>20</v>
      </c>
      <c r="O2">
        <f>IF(AIC!P2&gt;0,AIC!P2,"")</f>
        <v>20</v>
      </c>
      <c r="P2">
        <f>IF(AIC!Q2&gt;0,AIC!Q2,"")</f>
        <v>20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20.399999999999999</v>
      </c>
      <c r="O3">
        <f>IF(AIC!P3&gt;0,AIC!P3,"")</f>
        <v>20.399999999999999</v>
      </c>
      <c r="P3">
        <f>IF(AIC!Q3&gt;0,AIC!Q3,"")</f>
        <v>20.399999999999999</v>
      </c>
    </row>
    <row r="4" spans="1:16" x14ac:dyDescent="0.2">
      <c r="A4" t="str">
        <f>IF(AIC!B4&gt;0,AIC!B4,"")</f>
        <v>Plan</v>
      </c>
      <c r="B4">
        <f>IF(AIC!C4&gt;0,AIC!C4,"")</f>
        <v>17</v>
      </c>
      <c r="C4">
        <f>IF(AIC!D4&gt;0,AIC!D4,"")</f>
        <v>17</v>
      </c>
      <c r="D4">
        <f>IF(AIC!E4&gt;0,AIC!E4,"")</f>
        <v>16</v>
      </c>
      <c r="E4">
        <f>IF(AIC!F4&gt;0,AIC!F4,"")</f>
        <v>16</v>
      </c>
      <c r="F4">
        <f>IF(AIC!G4&gt;0,AIC!G4,"")</f>
        <v>16</v>
      </c>
      <c r="G4">
        <f>IF(AIC!H4&gt;0,AIC!H4,"")</f>
        <v>15</v>
      </c>
      <c r="H4">
        <f>IF(AIC!I4&gt;0,AIC!I4,"")</f>
        <v>16</v>
      </c>
      <c r="I4">
        <f>IF(AIC!J4&gt;0,AIC!J4,"")</f>
        <v>16</v>
      </c>
      <c r="J4">
        <f>IF(AIC!K4&gt;0,AIC!K4,"")</f>
        <v>15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11.445</v>
      </c>
      <c r="O4">
        <f>IF(AIC!P4&gt;0,AIC!P4,"")</f>
        <v>11.307499999999999</v>
      </c>
      <c r="P4">
        <f>IF(AIC!Q4&gt;0,AIC!Q4,"")</f>
        <v>11.307499999999999</v>
      </c>
    </row>
    <row r="5" spans="1:16" x14ac:dyDescent="0.2">
      <c r="A5" t="str">
        <f>IF(AIC!B11&gt;0,AIC!B11,"")</f>
        <v>PAYROLL</v>
      </c>
      <c r="B5">
        <f>IF(AIC!C11&gt;0,AIC!C11,"")</f>
        <v>17</v>
      </c>
      <c r="C5">
        <f>IF(AIC!D11&gt;0,AIC!D11,"")</f>
        <v>17</v>
      </c>
      <c r="D5">
        <f>IF(AIC!E11&gt;0,AIC!E11,"")</f>
        <v>16</v>
      </c>
      <c r="E5">
        <f>IF(AIC!F11&gt;0,AIC!F11,"")</f>
        <v>16</v>
      </c>
      <c r="F5">
        <f>IF(AIC!G11&gt;0,AIC!G11,"")</f>
        <v>16</v>
      </c>
      <c r="G5">
        <f>IF(AIC!H11&gt;0,AIC!H11,"")</f>
        <v>15</v>
      </c>
      <c r="H5">
        <f>IF(AIC!I11&gt;0,AIC!I11,"")</f>
        <v>16</v>
      </c>
      <c r="I5">
        <f>IF(AIC!J11&gt;0,AIC!J11,"")</f>
        <v>16</v>
      </c>
      <c r="J5">
        <f>IF(AIC!K11&gt;0,AIC!K11,"")</f>
        <v>15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11.445</v>
      </c>
      <c r="O5">
        <f>IF(AIC!P11&gt;0,AIC!P11,"")</f>
        <v>11.307499999999999</v>
      </c>
      <c r="P5">
        <f>IF(AIC!Q11&gt;0,AIC!Q11,"")</f>
        <v>11.307499999999999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APR</v>
      </c>
      <c r="C11" t="str">
        <f>IF(AIC!D1&gt;0,AIC!D1,"")</f>
        <v>MAY</v>
      </c>
      <c r="D11" t="str">
        <f>IF(AIC!E1&gt;0,AIC!E1,"")</f>
        <v>JUN</v>
      </c>
      <c r="E11" t="str">
        <f>IF(AIC!F1&gt;0,AIC!F1,"")</f>
        <v>JUL</v>
      </c>
      <c r="F11" t="str">
        <f>IF(AIC!G1&gt;0,AIC!G1,"")</f>
        <v>AUG</v>
      </c>
      <c r="G11" t="str">
        <f>IF(AIC!H1&gt;0,AIC!H1,"")</f>
        <v>SEP</v>
      </c>
      <c r="H11" t="str">
        <f>IF(AIC!I1&gt;0,AIC!I1,"")</f>
        <v>OCT</v>
      </c>
      <c r="I11" t="str">
        <f>IF(AIC!J1&gt;0,AIC!J1,"")</f>
        <v>NOV</v>
      </c>
      <c r="J11" t="str">
        <f>IF(AIC!K1&gt;0,AIC!K1,"")</f>
        <v>DEC</v>
      </c>
      <c r="K11" t="str">
        <f>IF(AIC!L1&gt;0,AIC!L1,"")</f>
        <v>JAN'27</v>
      </c>
      <c r="L11" t="str">
        <f>IF(AIC!M1&gt;0,AIC!M1,"")</f>
        <v>FEB'27</v>
      </c>
      <c r="M11" t="str">
        <f>IF(AIC!N1&gt;0,AIC!N1,"")</f>
        <v>MAR'27</v>
      </c>
      <c r="N11" t="str">
        <f>IF(AIC!O1&gt;0,AIC!O1,"")</f>
        <v>APR'27</v>
      </c>
      <c r="O11" t="str">
        <f>IF(AIC!P1&gt;0,AIC!P1,"")</f>
        <v>MAY'27</v>
      </c>
      <c r="P11" t="str">
        <f>IF(AIC!Q1&gt;0,AIC!Q1,"")</f>
        <v>JUN'27</v>
      </c>
    </row>
    <row r="12" spans="1:16" x14ac:dyDescent="0.2">
      <c r="A12" t="str">
        <f>IF(AIC!B2&gt;0,AIC!B2,"")</f>
        <v>Staff</v>
      </c>
      <c r="B12">
        <f>IF(AIC!C9&gt;0,AIC!C9,"")</f>
        <v>21</v>
      </c>
      <c r="C12">
        <f>IF(AIC!D9&gt;0,AIC!D9,"")</f>
        <v>21</v>
      </c>
      <c r="D12">
        <f>IF(AIC!E9&gt;0,AIC!E9,"")</f>
        <v>21</v>
      </c>
      <c r="E12">
        <f>IF(AIC!F9&gt;0,AIC!F9,"")</f>
        <v>19</v>
      </c>
      <c r="F12">
        <f>IF(AIC!G9&gt;0,AIC!G9,"")</f>
        <v>19</v>
      </c>
      <c r="G12">
        <f>IF(AIC!H9&gt;0,AIC!H9,"")</f>
        <v>19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20</v>
      </c>
      <c r="L12">
        <f>IF(AIC!M9&gt;0,AIC!M9,"")</f>
        <v>20</v>
      </c>
      <c r="M12">
        <f>IF(AIC!N9&gt;0,AIC!N9,"")</f>
        <v>20</v>
      </c>
      <c r="N12">
        <f>IF(AIC!O9&gt;0,AIC!O9,"")</f>
        <v>20</v>
      </c>
      <c r="O12">
        <f>IF(AIC!P9&gt;0,AIC!P9,"")</f>
        <v>20</v>
      </c>
      <c r="P12">
        <f>IF(AIC!Q9&gt;0,AIC!Q9,"")</f>
        <v>20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20</v>
      </c>
      <c r="F13">
        <f>IF(AIC!G10&gt;0,AIC!G10,"")</f>
        <v>20</v>
      </c>
      <c r="G13">
        <f>IF(AIC!H10&gt;0,AIC!H10,"")</f>
        <v>20</v>
      </c>
      <c r="H13">
        <f>IF(AIC!I10&gt;0,AIC!I10,"")</f>
        <v>20</v>
      </c>
      <c r="I13">
        <f>IF(AIC!J10&gt;0,AIC!J10,"")</f>
        <v>20</v>
      </c>
      <c r="J13">
        <f>IF(AIC!K10&gt;0,AIC!K10,"")</f>
        <v>20</v>
      </c>
      <c r="K13">
        <f>IF(AIC!L10&gt;0,AIC!L10,"")</f>
        <v>20</v>
      </c>
      <c r="L13">
        <f>IF(AIC!M10&gt;0,AIC!M10,"")</f>
        <v>20</v>
      </c>
      <c r="M13">
        <f>IF(AIC!N10&gt;0,AIC!N10,"")</f>
        <v>20</v>
      </c>
      <c r="N13">
        <f>IF(AIC!O10&gt;0,AIC!O10,"")</f>
        <v>19.75</v>
      </c>
      <c r="O13">
        <f>IF(AIC!P10&gt;0,AIC!P10,"")</f>
        <v>19.75</v>
      </c>
      <c r="P13">
        <f>IF(AIC!Q10&gt;0,AIC!Q10,"")</f>
        <v>19.75</v>
      </c>
    </row>
    <row r="14" spans="1:16" x14ac:dyDescent="0.2">
      <c r="A14" t="str">
        <f>IF(AIC!B4&gt;0,AIC!B4,"")</f>
        <v>Plan</v>
      </c>
      <c r="B14">
        <f>IF(AIC!C11&gt;0,AIC!C11,"")</f>
        <v>17</v>
      </c>
      <c r="C14">
        <f>IF(AIC!D11&gt;0,AIC!D11,"")</f>
        <v>17</v>
      </c>
      <c r="D14">
        <f>IF(AIC!E11&gt;0,AIC!E11,"")</f>
        <v>16</v>
      </c>
      <c r="E14">
        <f>IF(AIC!F11&gt;0,AIC!F11,"")</f>
        <v>16</v>
      </c>
      <c r="F14">
        <f>IF(AIC!G11&gt;0,AIC!G11,"")</f>
        <v>16</v>
      </c>
      <c r="G14">
        <f>IF(AIC!H11&gt;0,AIC!H11,"")</f>
        <v>15</v>
      </c>
      <c r="H14">
        <f>IF(AIC!I11&gt;0,AIC!I11,"")</f>
        <v>16</v>
      </c>
      <c r="I14">
        <f>IF(AIC!J11&gt;0,AIC!J11,"")</f>
        <v>16</v>
      </c>
      <c r="J14">
        <f>IF(AIC!K11&gt;0,AIC!K11,"")</f>
        <v>15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11.445</v>
      </c>
      <c r="O14">
        <f>IF(AIC!P11&gt;0,AIC!P11,"")</f>
        <v>11.307499999999999</v>
      </c>
      <c r="P14">
        <f>IF(AIC!Q11&gt;0,AIC!Q11,"")</f>
        <v>11.307499999999999</v>
      </c>
    </row>
    <row r="21" spans="1:16" x14ac:dyDescent="0.2">
      <c r="B21" t="str">
        <f>IF(AIC!C1&gt;0,AIC!C1,"")</f>
        <v>APR</v>
      </c>
      <c r="C21" t="str">
        <f>IF(AIC!D1&gt;0,AIC!D1,"")</f>
        <v>MAY</v>
      </c>
      <c r="D21" t="str">
        <f>IF(AIC!E1&gt;0,AIC!E1,"")</f>
        <v>JUN</v>
      </c>
      <c r="E21" t="str">
        <f>IF(AIC!F1&gt;0,AIC!F1,"")</f>
        <v>JUL</v>
      </c>
      <c r="F21" t="str">
        <f>IF(AIC!G1&gt;0,AIC!G1,"")</f>
        <v>AUG</v>
      </c>
      <c r="G21" t="str">
        <f>IF(AIC!H1&gt;0,AIC!H1,"")</f>
        <v>SEP</v>
      </c>
      <c r="H21" t="str">
        <f>IF(AIC!I1&gt;0,AIC!I1,"")</f>
        <v>OCT</v>
      </c>
      <c r="I21" t="str">
        <f>IF(AIC!J1&gt;0,AIC!J1,"")</f>
        <v>NOV</v>
      </c>
      <c r="J21" t="str">
        <f>IF(AIC!K1&gt;0,AIC!K1,"")</f>
        <v>DEC</v>
      </c>
      <c r="K21" t="str">
        <f>IF(AIC!L1&gt;0,AIC!L1,"")</f>
        <v>JAN'27</v>
      </c>
      <c r="L21" t="str">
        <f>IF(AIC!M1&gt;0,AIC!M1,"")</f>
        <v>FEB'27</v>
      </c>
      <c r="M21" t="str">
        <f>IF(AIC!N1&gt;0,AIC!N1,"")</f>
        <v>MAR'27</v>
      </c>
      <c r="N21" t="str">
        <f>IF(AIC!O1&gt;0,AIC!O1,"")</f>
        <v>APR'27</v>
      </c>
      <c r="O21" t="str">
        <f>IF(AIC!P1&gt;0,AIC!P1,"")</f>
        <v>MAY'27</v>
      </c>
      <c r="P21" t="str">
        <f>IF(AIC!Q1&gt;0,AIC!Q1,"")</f>
        <v>JUN'27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APR</v>
      </c>
      <c r="C31" t="str">
        <f>IF(AIC!D1&gt;0,AIC!D1,"")</f>
        <v>MAY</v>
      </c>
      <c r="D31" t="str">
        <f>IF(AIC!E1&gt;0,AIC!E1,"")</f>
        <v>JUN</v>
      </c>
      <c r="E31" t="str">
        <f>IF(AIC!F1&gt;0,AIC!F1,"")</f>
        <v>JUL</v>
      </c>
      <c r="F31" t="str">
        <f>IF(AIC!G1&gt;0,AIC!G1,"")</f>
        <v>AUG</v>
      </c>
      <c r="G31" t="str">
        <f>IF(AIC!H1&gt;0,AIC!H1,"")</f>
        <v>SEP</v>
      </c>
      <c r="H31" t="str">
        <f>IF(AIC!I1&gt;0,AIC!I1,"")</f>
        <v>OCT</v>
      </c>
      <c r="I31" t="str">
        <f>IF(AIC!J1&gt;0,AIC!J1,"")</f>
        <v>NOV</v>
      </c>
      <c r="J31" t="str">
        <f>IF(AIC!K1&gt;0,AIC!K1,"")</f>
        <v>DEC</v>
      </c>
      <c r="K31" t="str">
        <f>IF(AIC!L1&gt;0,AIC!L1,"")</f>
        <v>JAN'27</v>
      </c>
      <c r="L31" t="str">
        <f>IF(AIC!M1&gt;0,AIC!M1,"")</f>
        <v>FEB'27</v>
      </c>
      <c r="M31" t="str">
        <f>IF(AIC!N1&gt;0,AIC!N1,"")</f>
        <v>MAR'27</v>
      </c>
      <c r="N31" t="str">
        <f>IF(AIC!O1&gt;0,AIC!O1,"")</f>
        <v>APR'27</v>
      </c>
      <c r="O31" t="str">
        <f>IF(AIC!P1&gt;0,AIC!P1,"")</f>
        <v>MAY'27</v>
      </c>
      <c r="P31" t="str">
        <f>IF(AIC!Q1&gt;0,AIC!Q1,"")</f>
        <v>JUN'27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Q2</v>
      </c>
      <c r="C41" t="str">
        <f>IF(AIC!D31&gt;0,AIC!D31,"")</f>
        <v>Q3</v>
      </c>
      <c r="D41" t="str">
        <f>IF(AIC!E31&gt;0,AIC!E31,"")</f>
        <v>Q4</v>
      </c>
      <c r="E41" t="str">
        <f>IF(AIC!F31&gt;0,AIC!F31,"")</f>
        <v>Q1'27</v>
      </c>
      <c r="F41" t="str">
        <f>IF(AIC!G31&gt;0,AIC!G31,"")</f>
        <v>Q2'27</v>
      </c>
    </row>
    <row r="42" spans="1:16" x14ac:dyDescent="0.2">
      <c r="A42" t="str">
        <f>IF(AIC!B32&gt;0,AIC!B32,"")</f>
        <v>Staff</v>
      </c>
      <c r="B42">
        <f>IF(AIC!C32&gt;0,AIC!C32,"")</f>
        <v>21</v>
      </c>
      <c r="C42">
        <f>IF(AIC!D32&gt;0,AIC!D32,"")</f>
        <v>19</v>
      </c>
      <c r="D42">
        <f>IF(AIC!E32&gt;0,AIC!E32,"")</f>
        <v>19</v>
      </c>
      <c r="E42">
        <f>IF(AIC!F32&gt;0,AIC!F32,"")</f>
        <v>20</v>
      </c>
      <c r="F42">
        <f>IF(AIC!G32&gt;0,AIC!G32,"")</f>
        <v>20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20</v>
      </c>
      <c r="D43">
        <f>IF(AIC!E33&gt;0,AIC!E33,"")</f>
        <v>20</v>
      </c>
      <c r="E43">
        <f>IF(AIC!F33&gt;0,AIC!F33,"")</f>
        <v>20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15</v>
      </c>
      <c r="D44">
        <f>IF(AIC!E34&gt;0,AIC!E34,"")</f>
        <v>15</v>
      </c>
      <c r="E44">
        <f>IF(AIC!F34&gt;0,AIC!F34,"")</f>
        <v>13</v>
      </c>
      <c r="F44">
        <f>IF(AIC!G34&gt;0,AIC!G34,"")</f>
        <v>11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15</v>
      </c>
      <c r="D45">
        <f>IF(AIC!E41&gt;0,AIC!E41,"")</f>
        <v>15</v>
      </c>
      <c r="E45">
        <f>IF(AIC!F41&gt;0,AIC!F41,"")</f>
        <v>13</v>
      </c>
      <c r="F45">
        <f>IF(AIC!G41&gt;0,AIC!G41,"")</f>
        <v>11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49" t="str">
        <f>AIC!A64</f>
        <v>AI Research &amp; Alliance</v>
      </c>
      <c r="B51" t="str">
        <f>AIC!C$61</f>
        <v>APR</v>
      </c>
      <c r="C51" t="str">
        <f>AIC!D$61</f>
        <v>MAY</v>
      </c>
      <c r="D51" t="str">
        <f>AIC!E$61</f>
        <v>JUN</v>
      </c>
      <c r="E51" t="str">
        <f>AIC!F$61</f>
        <v>JUL</v>
      </c>
      <c r="F51" t="str">
        <f>AIC!G$61</f>
        <v>AUG</v>
      </c>
      <c r="G51" t="str">
        <f>AIC!H$61</f>
        <v>SEP</v>
      </c>
      <c r="H51" t="str">
        <f>AIC!I$61</f>
        <v>OCT</v>
      </c>
      <c r="I51" t="str">
        <f>AIC!J$61</f>
        <v>NOV</v>
      </c>
      <c r="J51" t="str">
        <f>AIC!K$61</f>
        <v>DEC</v>
      </c>
      <c r="K51" t="str">
        <f>AIC!L$61</f>
        <v>JAN'27</v>
      </c>
      <c r="L51" t="str">
        <f>AIC!M$61</f>
        <v>FEB'27</v>
      </c>
      <c r="M51" t="str">
        <f>AIC!N$61</f>
        <v>MAR'27</v>
      </c>
      <c r="N51" t="str">
        <f>AIC!O$61</f>
        <v>APR'27</v>
      </c>
      <c r="O51" t="str">
        <f>AIC!P$61</f>
        <v>MAY'27</v>
      </c>
      <c r="P51" t="str">
        <f>AIC!Q$61</f>
        <v>JUN'27</v>
      </c>
    </row>
    <row r="52" spans="1:16" x14ac:dyDescent="0.2">
      <c r="A52" t="str">
        <f>IF(AIC!B64&gt;0,AIC!B64,"")</f>
        <v>Staff</v>
      </c>
      <c r="B52">
        <f>IF(AIC!C64&gt;0,AIC!C64,"")</f>
        <v>3</v>
      </c>
      <c r="C52">
        <f>IF(AIC!D64&gt;0,AIC!D64,"")</f>
        <v>3</v>
      </c>
      <c r="D52">
        <f>IF(AIC!E64&gt;0,AIC!E64,"")</f>
        <v>3</v>
      </c>
      <c r="E52">
        <f>IF(AIC!F64&gt;0,AIC!F64,"")</f>
        <v>2</v>
      </c>
      <c r="F52">
        <f>IF(AIC!G64&gt;0,AIC!G64,"")</f>
        <v>2</v>
      </c>
      <c r="G52">
        <f>IF(AIC!H64&gt;0,AIC!H64,"")</f>
        <v>2</v>
      </c>
      <c r="H52">
        <f>IF(AIC!I64&gt;0,AIC!I64,"")</f>
        <v>2</v>
      </c>
      <c r="I52">
        <f>IF(AIC!J64&gt;0,AIC!J64,"")</f>
        <v>2</v>
      </c>
      <c r="J52">
        <f>IF(AIC!K64&gt;0,AIC!K64,"")</f>
        <v>2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2.9</v>
      </c>
      <c r="C53">
        <f>IF(AIC!D65&gt;0,AIC!D65,"")</f>
        <v>2.9</v>
      </c>
      <c r="D53">
        <f>IF(AIC!E65&gt;0,AIC!E65,"")</f>
        <v>2.9</v>
      </c>
      <c r="E53">
        <f>IF(AIC!F65&gt;0,AIC!F65,"")</f>
        <v>2</v>
      </c>
      <c r="F53">
        <f>IF(AIC!G65&gt;0,AIC!G65,"")</f>
        <v>2</v>
      </c>
      <c r="G53">
        <f>IF(AIC!H65&gt;0,AIC!H65,"")</f>
        <v>2</v>
      </c>
      <c r="H53">
        <f>IF(AIC!I65&gt;0,AIC!I65,"")</f>
        <v>2</v>
      </c>
      <c r="I53">
        <f>IF(AIC!J65&gt;0,AIC!J65,"")</f>
        <v>2</v>
      </c>
      <c r="J53">
        <f>IF(AIC!K65&gt;0,AIC!K65,"")</f>
        <v>2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57" customFormat="1" x14ac:dyDescent="0.2">
      <c r="A54" s="57" t="s">
        <v>24</v>
      </c>
      <c r="B54" s="58">
        <f>B52-B53</f>
        <v>0.10000000000000009</v>
      </c>
      <c r="C54" s="58">
        <f t="shared" ref="C54:P54" si="0">C52-C53</f>
        <v>0.10000000000000009</v>
      </c>
      <c r="D54" s="58">
        <f t="shared" si="0"/>
        <v>0.10000000000000009</v>
      </c>
      <c r="E54" s="58">
        <f t="shared" si="0"/>
        <v>0</v>
      </c>
      <c r="F54" s="58">
        <f t="shared" si="0"/>
        <v>0</v>
      </c>
      <c r="G54" s="58">
        <f t="shared" si="0"/>
        <v>0</v>
      </c>
      <c r="H54" s="58">
        <f t="shared" si="0"/>
        <v>0</v>
      </c>
      <c r="I54" s="58">
        <f t="shared" si="0"/>
        <v>0</v>
      </c>
      <c r="J54" s="58">
        <f t="shared" si="0"/>
        <v>0</v>
      </c>
      <c r="K54" s="58">
        <f t="shared" si="0"/>
        <v>0.10000000000000009</v>
      </c>
      <c r="L54" s="58">
        <f t="shared" si="0"/>
        <v>0.10000000000000009</v>
      </c>
      <c r="M54" s="58">
        <f t="shared" si="0"/>
        <v>0.10000000000000009</v>
      </c>
      <c r="N54" s="58">
        <f t="shared" si="0"/>
        <v>0.10000000000000009</v>
      </c>
      <c r="O54" s="58">
        <f t="shared" si="0"/>
        <v>0.10000000000000009</v>
      </c>
      <c r="P54" s="58">
        <f t="shared" si="0"/>
        <v>0.10000000000000009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96.666666666666671</v>
      </c>
      <c r="C56" s="50">
        <f>(AVERAGE(E53:G53)/AVERAGE(E52:G52))*100</f>
        <v>100</v>
      </c>
      <c r="D56" s="50">
        <f>(AVERAGE(H53:J53)/AVERAGE(H52:J52))*100</f>
        <v>100</v>
      </c>
      <c r="E56" s="50">
        <f>(AVERAGE(K53:M53)/AVERAGE(K52:M52))*100</f>
        <v>96.666666666666671</v>
      </c>
      <c r="F56" s="50">
        <f>(AVERAGE(N53:P53)/AVERAGE(N52:P52))*100</f>
        <v>96.666666666666671</v>
      </c>
    </row>
    <row r="61" spans="1:16" x14ac:dyDescent="0.2">
      <c r="A61" s="49" t="str">
        <f>AIC!A66</f>
        <v>AIET AI Engineering</v>
      </c>
      <c r="B61" t="str">
        <f>AIC!C$61</f>
        <v>APR</v>
      </c>
      <c r="C61" t="str">
        <f>AIC!D$61</f>
        <v>MAY</v>
      </c>
      <c r="D61" t="str">
        <f>AIC!E$61</f>
        <v>JUN</v>
      </c>
      <c r="E61" t="str">
        <f>AIC!F$61</f>
        <v>JUL</v>
      </c>
      <c r="F61" t="str">
        <f>AIC!G$61</f>
        <v>AUG</v>
      </c>
      <c r="G61" t="str">
        <f>AIC!H$61</f>
        <v>SEP</v>
      </c>
      <c r="H61" t="str">
        <f>AIC!I$61</f>
        <v>OCT</v>
      </c>
      <c r="I61" t="str">
        <f>AIC!J$61</f>
        <v>NOV</v>
      </c>
      <c r="J61" t="str">
        <f>AIC!K$61</f>
        <v>DEC</v>
      </c>
      <c r="K61" t="str">
        <f>AIC!L$61</f>
        <v>JAN'27</v>
      </c>
      <c r="L61" t="str">
        <f>AIC!M$61</f>
        <v>FEB'27</v>
      </c>
      <c r="M61" t="str">
        <f>AIC!N$61</f>
        <v>MAR'27</v>
      </c>
      <c r="N61" t="str">
        <f>AIC!O$61</f>
        <v>APR'27</v>
      </c>
      <c r="O61" t="str">
        <f>AIC!P$61</f>
        <v>MAY'27</v>
      </c>
      <c r="P61" t="str">
        <f>AIC!Q$61</f>
        <v>JUN'27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6.913125</v>
      </c>
      <c r="C63">
        <f>AIC!D67</f>
        <v>6.9881250000000001</v>
      </c>
      <c r="D63">
        <f>AIC!E67</f>
        <v>6.8881249999999996</v>
      </c>
      <c r="E63">
        <f>AIC!F67</f>
        <v>6.1574999999999998</v>
      </c>
      <c r="F63">
        <f>AIC!G67</f>
        <v>6.1074999999999999</v>
      </c>
      <c r="G63">
        <f>AIC!H67</f>
        <v>6.1074999999999999</v>
      </c>
      <c r="H63">
        <f>AIC!I67</f>
        <v>6.42</v>
      </c>
      <c r="I63">
        <f>AIC!J67</f>
        <v>6.1325000000000003</v>
      </c>
      <c r="J63">
        <f>AIC!K67</f>
        <v>6.1325000000000003</v>
      </c>
      <c r="K63">
        <f>AIC!L67</f>
        <v>5.62</v>
      </c>
      <c r="L63">
        <f>AIC!M67</f>
        <v>5.4824999999999999</v>
      </c>
      <c r="M63">
        <f>AIC!N67</f>
        <v>5.4824999999999999</v>
      </c>
      <c r="N63">
        <f>AIC!O67</f>
        <v>4.6449999999999996</v>
      </c>
      <c r="O63">
        <f>AIC!P67</f>
        <v>4.5075000000000003</v>
      </c>
      <c r="P63">
        <f>AIC!Q67</f>
        <v>4.5075000000000003</v>
      </c>
    </row>
    <row r="64" spans="1:16" s="57" customFormat="1" x14ac:dyDescent="0.2">
      <c r="A64" s="57" t="s">
        <v>24</v>
      </c>
      <c r="B64" s="58">
        <f>B62-B63</f>
        <v>1.086875</v>
      </c>
      <c r="C64" s="58">
        <f t="shared" ref="C64:P64" si="2">C62-C63</f>
        <v>1.0118749999999999</v>
      </c>
      <c r="D64" s="58">
        <f t="shared" si="2"/>
        <v>1.1118750000000004</v>
      </c>
      <c r="E64" s="58">
        <f t="shared" si="2"/>
        <v>1.8425000000000002</v>
      </c>
      <c r="F64" s="58">
        <f t="shared" si="2"/>
        <v>1.8925000000000001</v>
      </c>
      <c r="G64" s="58">
        <f t="shared" si="2"/>
        <v>1.8925000000000001</v>
      </c>
      <c r="H64" s="58">
        <f t="shared" si="2"/>
        <v>1.58</v>
      </c>
      <c r="I64" s="58">
        <f t="shared" si="2"/>
        <v>1.8674999999999997</v>
      </c>
      <c r="J64" s="58">
        <f t="shared" si="2"/>
        <v>1.8674999999999997</v>
      </c>
      <c r="K64" s="58">
        <f t="shared" si="2"/>
        <v>2.38</v>
      </c>
      <c r="L64" s="58">
        <f t="shared" si="2"/>
        <v>2.5175000000000001</v>
      </c>
      <c r="M64" s="58">
        <f t="shared" si="2"/>
        <v>2.5175000000000001</v>
      </c>
      <c r="N64" s="58">
        <f t="shared" si="2"/>
        <v>3.3550000000000004</v>
      </c>
      <c r="O64" s="58">
        <f t="shared" si="2"/>
        <v>3.4924999999999997</v>
      </c>
      <c r="P64" s="58">
        <f t="shared" si="2"/>
        <v>3.4924999999999997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86.622395833333329</v>
      </c>
      <c r="C66" s="50">
        <f>(AVERAGE(E63:G63)/AVERAGE(E62:G62))*100</f>
        <v>76.552083333333343</v>
      </c>
      <c r="D66" s="50">
        <f>(AVERAGE(H63:J63)/AVERAGE(H62:J62))*100</f>
        <v>77.854166666666686</v>
      </c>
      <c r="E66" s="50">
        <f>(AVERAGE(K63:M63)/AVERAGE(K62:M62))*100</f>
        <v>69.104166666666671</v>
      </c>
      <c r="F66" s="50">
        <f>(AVERAGE(N63:P63)/AVERAGE(N62:P62))*100</f>
        <v>56.916666666666671</v>
      </c>
    </row>
    <row r="71" spans="1:16" x14ac:dyDescent="0.2">
      <c r="A71" s="49" t="str">
        <f>AIC!A68</f>
        <v>AIET IoT Engineering</v>
      </c>
      <c r="B71" t="str">
        <f>AIC!C$61</f>
        <v>APR</v>
      </c>
      <c r="C71" t="str">
        <f>AIC!D$61</f>
        <v>MAY</v>
      </c>
      <c r="D71" t="str">
        <f>AIC!E$61</f>
        <v>JUN</v>
      </c>
      <c r="E71" t="str">
        <f>AIC!F$61</f>
        <v>JUL</v>
      </c>
      <c r="F71" t="str">
        <f>AIC!G$61</f>
        <v>AUG</v>
      </c>
      <c r="G71" t="str">
        <f>AIC!H$61</f>
        <v>SEP</v>
      </c>
      <c r="H71" t="str">
        <f>AIC!I$61</f>
        <v>OCT</v>
      </c>
      <c r="I71" t="str">
        <f>AIC!J$61</f>
        <v>NOV</v>
      </c>
      <c r="J71" t="str">
        <f>AIC!K$61</f>
        <v>DEC</v>
      </c>
      <c r="K71" t="str">
        <f>AIC!L$61</f>
        <v>JAN'27</v>
      </c>
      <c r="L71" t="str">
        <f>AIC!M$61</f>
        <v>FEB'27</v>
      </c>
      <c r="M71" t="str">
        <f>AIC!N$61</f>
        <v>MAR'27</v>
      </c>
      <c r="N71" t="str">
        <f>AIC!O$61</f>
        <v>APR'27</v>
      </c>
      <c r="O71" t="str">
        <f>AIC!P$61</f>
        <v>MAY'27</v>
      </c>
      <c r="P71" t="str">
        <f>AIC!Q$61</f>
        <v>JUN'27</v>
      </c>
    </row>
    <row r="72" spans="1:16" x14ac:dyDescent="0.2">
      <c r="A72" t="str">
        <f>AIC!B68</f>
        <v>Staff</v>
      </c>
      <c r="B72">
        <f>AIC!C68</f>
        <v>6</v>
      </c>
      <c r="C72">
        <f>AIC!D68</f>
        <v>6</v>
      </c>
      <c r="D72">
        <f>AIC!E68</f>
        <v>6</v>
      </c>
      <c r="E72">
        <f>AIC!F68</f>
        <v>5</v>
      </c>
      <c r="F72">
        <f>AIC!G68</f>
        <v>5</v>
      </c>
      <c r="G72">
        <f>AIC!H68</f>
        <v>5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4.4249999999999998</v>
      </c>
      <c r="C73">
        <f>AIC!D69</f>
        <v>4.3499999999999996</v>
      </c>
      <c r="D73">
        <f>AIC!E69</f>
        <v>4.0999999999999996</v>
      </c>
      <c r="E73">
        <f>AIC!F69</f>
        <v>4.2249999999999996</v>
      </c>
      <c r="F73">
        <f>AIC!G69</f>
        <v>4.2249999999999996</v>
      </c>
      <c r="G73">
        <f>AIC!H69</f>
        <v>4.2249999999999996</v>
      </c>
      <c r="H73">
        <f>AIC!I69</f>
        <v>4.125</v>
      </c>
      <c r="I73">
        <f>AIC!J69</f>
        <v>4.125</v>
      </c>
      <c r="J73">
        <f>AIC!K69</f>
        <v>4.125</v>
      </c>
      <c r="K73">
        <f>AIC!L69</f>
        <v>2.875</v>
      </c>
      <c r="L73">
        <f>AIC!M69</f>
        <v>2.875</v>
      </c>
      <c r="M73">
        <f>AIC!N69</f>
        <v>2.1</v>
      </c>
      <c r="N73">
        <f>AIC!O69</f>
        <v>1.85</v>
      </c>
      <c r="O73">
        <f>AIC!P69</f>
        <v>1.85</v>
      </c>
      <c r="P73">
        <f>AIC!Q69</f>
        <v>1.85</v>
      </c>
    </row>
    <row r="74" spans="1:16" s="57" customFormat="1" x14ac:dyDescent="0.2">
      <c r="A74" s="57" t="s">
        <v>24</v>
      </c>
      <c r="B74" s="58">
        <f>B72-B73</f>
        <v>1.5750000000000002</v>
      </c>
      <c r="C74" s="58">
        <f t="shared" ref="C74:P74" si="4">C72-C73</f>
        <v>1.6500000000000004</v>
      </c>
      <c r="D74" s="58">
        <f t="shared" si="4"/>
        <v>1.9000000000000004</v>
      </c>
      <c r="E74" s="58">
        <f t="shared" si="4"/>
        <v>0.77500000000000036</v>
      </c>
      <c r="F74" s="58">
        <f t="shared" si="4"/>
        <v>0.77500000000000036</v>
      </c>
      <c r="G74" s="58">
        <f t="shared" si="4"/>
        <v>0.77500000000000036</v>
      </c>
      <c r="H74" s="58">
        <f t="shared" si="4"/>
        <v>0.875</v>
      </c>
      <c r="I74" s="58">
        <f t="shared" si="4"/>
        <v>0.875</v>
      </c>
      <c r="J74" s="58">
        <f t="shared" si="4"/>
        <v>0.875</v>
      </c>
      <c r="K74" s="58">
        <f t="shared" si="4"/>
        <v>2.125</v>
      </c>
      <c r="L74" s="58">
        <f t="shared" si="4"/>
        <v>2.125</v>
      </c>
      <c r="M74" s="58">
        <f t="shared" si="4"/>
        <v>2.9</v>
      </c>
      <c r="N74" s="58">
        <f t="shared" si="4"/>
        <v>3.15</v>
      </c>
      <c r="O74" s="58">
        <f t="shared" si="4"/>
        <v>3.15</v>
      </c>
      <c r="P74" s="58">
        <f t="shared" si="4"/>
        <v>3.15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71.527777777777771</v>
      </c>
      <c r="C76" s="50">
        <f>(AVERAGE(E73:G73)/AVERAGE(E72:G72))*100</f>
        <v>84.5</v>
      </c>
      <c r="D76" s="50">
        <f>(AVERAGE(H73:J73)/AVERAGE(H72:J72))*100</f>
        <v>82.5</v>
      </c>
      <c r="E76" s="50">
        <f>(AVERAGE(K73:M73)/AVERAGE(K72:M72))*100</f>
        <v>52.333333333333329</v>
      </c>
      <c r="F76" s="50">
        <f>(AVERAGE(N73:P73)/AVERAGE(N72:P72))*100</f>
        <v>37.000000000000007</v>
      </c>
    </row>
    <row r="81" spans="1:16" x14ac:dyDescent="0.2">
      <c r="A81" s="49" t="str">
        <f>AIC!A70</f>
        <v>AIET Spatial AI Engineering</v>
      </c>
      <c r="B81" t="str">
        <f>AIC!C$61</f>
        <v>APR</v>
      </c>
      <c r="C81" t="str">
        <f>AIC!D$61</f>
        <v>MAY</v>
      </c>
      <c r="D81" t="str">
        <f>AIC!E$61</f>
        <v>JUN</v>
      </c>
      <c r="E81" t="str">
        <f>AIC!F$61</f>
        <v>JUL</v>
      </c>
      <c r="F81" t="str">
        <f>AIC!G$61</f>
        <v>AUG</v>
      </c>
      <c r="G81" t="str">
        <f>AIC!H$61</f>
        <v>SEP</v>
      </c>
      <c r="H81" t="str">
        <f>AIC!I$61</f>
        <v>OCT</v>
      </c>
      <c r="I81" t="str">
        <f>AIC!J$61</f>
        <v>NOV</v>
      </c>
      <c r="J81" t="str">
        <f>AIC!K$61</f>
        <v>DEC</v>
      </c>
      <c r="K81" t="str">
        <f>AIC!L$61</f>
        <v>JAN'27</v>
      </c>
      <c r="L81" t="str">
        <f>AIC!M$61</f>
        <v>FEB'27</v>
      </c>
      <c r="M81" t="str">
        <f>AIC!N$61</f>
        <v>MAR'27</v>
      </c>
      <c r="N81" t="str">
        <f>AIC!O$61</f>
        <v>APR'27</v>
      </c>
      <c r="O81" t="str">
        <f>AIC!P$61</f>
        <v>MAY'27</v>
      </c>
      <c r="P81" t="str">
        <f>AIC!Q$61</f>
        <v>JUN'27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4</v>
      </c>
      <c r="G82">
        <f>AIC!H70</f>
        <v>4</v>
      </c>
      <c r="H82">
        <f>AIC!I70</f>
        <v>4</v>
      </c>
      <c r="I82">
        <f>AIC!J70</f>
        <v>4</v>
      </c>
      <c r="J82">
        <f>AIC!K70</f>
        <v>4</v>
      </c>
      <c r="K82">
        <f>AIC!L70</f>
        <v>4</v>
      </c>
      <c r="L82">
        <f>AIC!M70</f>
        <v>4</v>
      </c>
      <c r="M82">
        <f>AIC!N70</f>
        <v>4</v>
      </c>
      <c r="N82">
        <f>AIC!O70</f>
        <v>4</v>
      </c>
      <c r="O82">
        <f>AIC!P70</f>
        <v>4</v>
      </c>
      <c r="P82">
        <f>AIC!Q70</f>
        <v>4</v>
      </c>
    </row>
    <row r="83" spans="1:16" x14ac:dyDescent="0.2">
      <c r="A83" t="str">
        <f>AIC!B71</f>
        <v>Plan</v>
      </c>
      <c r="B83">
        <f>AIC!C71</f>
        <v>3.25</v>
      </c>
      <c r="C83">
        <f>AIC!D71</f>
        <v>2.6549999999999998</v>
      </c>
      <c r="D83">
        <f>AIC!E71</f>
        <v>2.375</v>
      </c>
      <c r="E83">
        <f>AIC!F71</f>
        <v>3.35</v>
      </c>
      <c r="F83">
        <f>AIC!G71</f>
        <v>3.5</v>
      </c>
      <c r="G83">
        <f>AIC!H71</f>
        <v>2.6</v>
      </c>
      <c r="H83">
        <f>AIC!I71</f>
        <v>3</v>
      </c>
      <c r="I83">
        <f>AIC!J71</f>
        <v>3.25</v>
      </c>
      <c r="J83">
        <f>AIC!K71</f>
        <v>3.15</v>
      </c>
      <c r="K83">
        <f>AIC!L71</f>
        <v>2.4500000000000002</v>
      </c>
      <c r="L83">
        <f>AIC!M71</f>
        <v>2.4500000000000002</v>
      </c>
      <c r="M83">
        <f>AIC!N71</f>
        <v>2.4500000000000002</v>
      </c>
      <c r="N83">
        <f>AIC!O71</f>
        <v>2.0499999999999998</v>
      </c>
      <c r="O83">
        <f>AIC!P71</f>
        <v>2.0499999999999998</v>
      </c>
      <c r="P83">
        <f>AIC!Q71</f>
        <v>2.0499999999999998</v>
      </c>
    </row>
    <row r="84" spans="1:16" s="57" customFormat="1" x14ac:dyDescent="0.2">
      <c r="A84" s="57" t="s">
        <v>24</v>
      </c>
      <c r="B84" s="58">
        <f>B82-B83</f>
        <v>0.75</v>
      </c>
      <c r="C84" s="58">
        <f t="shared" ref="C84:P84" si="6">C82-C83</f>
        <v>1.3450000000000002</v>
      </c>
      <c r="D84" s="58">
        <f t="shared" si="6"/>
        <v>1.625</v>
      </c>
      <c r="E84" s="58">
        <f t="shared" si="6"/>
        <v>0.64999999999999991</v>
      </c>
      <c r="F84" s="58">
        <f t="shared" si="6"/>
        <v>0.5</v>
      </c>
      <c r="G84" s="58">
        <f t="shared" si="6"/>
        <v>1.4</v>
      </c>
      <c r="H84" s="58">
        <f t="shared" si="6"/>
        <v>1</v>
      </c>
      <c r="I84" s="58">
        <f t="shared" si="6"/>
        <v>0.75</v>
      </c>
      <c r="J84" s="58">
        <f t="shared" si="6"/>
        <v>0.85000000000000009</v>
      </c>
      <c r="K84" s="58">
        <f t="shared" si="6"/>
        <v>1.5499999999999998</v>
      </c>
      <c r="L84" s="58">
        <f t="shared" si="6"/>
        <v>1.5499999999999998</v>
      </c>
      <c r="M84" s="58">
        <f t="shared" si="6"/>
        <v>1.5499999999999998</v>
      </c>
      <c r="N84" s="58">
        <f t="shared" si="6"/>
        <v>1.9500000000000002</v>
      </c>
      <c r="O84" s="58">
        <f t="shared" si="6"/>
        <v>1.9500000000000002</v>
      </c>
      <c r="P84" s="58">
        <f t="shared" si="6"/>
        <v>1.9500000000000002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69</v>
      </c>
      <c r="C86" s="50">
        <f>(AVERAGE(E83:G83)/AVERAGE(E82:G82))*100</f>
        <v>78.75</v>
      </c>
      <c r="D86" s="50">
        <f>(AVERAGE(H83:J83)/AVERAGE(H82:J82))*100</f>
        <v>78.333333333333329</v>
      </c>
      <c r="E86" s="50">
        <f>(AVERAGE(K83:M83)/AVERAGE(K82:M82))*100</f>
        <v>61.250000000000007</v>
      </c>
      <c r="F86" s="50">
        <f>(AVERAGE(N83:P83)/AVERAGE(N82:P82))*100</f>
        <v>51.249999999999993</v>
      </c>
    </row>
    <row r="91" spans="1:16" x14ac:dyDescent="0.2">
      <c r="A91" s="49" t="str">
        <f>AIC!A72</f>
        <v>Product Innovation</v>
      </c>
      <c r="B91" t="str">
        <f>AIC!C$61</f>
        <v>APR</v>
      </c>
      <c r="C91" t="str">
        <f>AIC!D$61</f>
        <v>MAY</v>
      </c>
      <c r="D91" t="str">
        <f>AIC!E$61</f>
        <v>JUN</v>
      </c>
      <c r="E91" t="str">
        <f>AIC!F$61</f>
        <v>JUL</v>
      </c>
      <c r="F91" t="str">
        <f>AIC!G$61</f>
        <v>AUG</v>
      </c>
      <c r="G91" t="str">
        <f>AIC!H$61</f>
        <v>SEP</v>
      </c>
      <c r="H91" t="str">
        <f>AIC!I$61</f>
        <v>OCT</v>
      </c>
      <c r="I91" t="str">
        <f>AIC!J$61</f>
        <v>NOV</v>
      </c>
      <c r="J91" t="str">
        <f>AIC!K$61</f>
        <v>DEC</v>
      </c>
      <c r="K91" t="str">
        <f>AIC!L$61</f>
        <v>JAN'27</v>
      </c>
      <c r="L91" t="str">
        <f>AIC!M$61</f>
        <v>FEB'27</v>
      </c>
      <c r="M91" t="str">
        <f>AIC!N$61</f>
        <v>MAR'27</v>
      </c>
      <c r="N91" t="str">
        <f>AIC!O$61</f>
        <v>APR'27</v>
      </c>
      <c r="O91" t="str">
        <f>AIC!P$61</f>
        <v>MAY'27</v>
      </c>
      <c r="P91" t="str">
        <f>AIC!Q$61</f>
        <v>JUN'27</v>
      </c>
    </row>
    <row r="92" spans="1:16" x14ac:dyDescent="0.2">
      <c r="A92" t="str">
        <f>AIC!B72</f>
        <v>Staff</v>
      </c>
      <c r="B92">
        <f>AIC!C72</f>
        <v>0</v>
      </c>
      <c r="C92">
        <f>AIC!D72</f>
        <v>0</v>
      </c>
      <c r="D92">
        <f>AIC!E72</f>
        <v>0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</v>
      </c>
      <c r="C93">
        <f>AIC!D73</f>
        <v>0</v>
      </c>
      <c r="D93">
        <f>AIC!E73</f>
        <v>0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57" customFormat="1" x14ac:dyDescent="0.2">
      <c r="A94" s="57" t="s">
        <v>24</v>
      </c>
      <c r="B94" s="58">
        <f>B92-B93</f>
        <v>0</v>
      </c>
      <c r="C94" s="58">
        <f t="shared" ref="C94:P94" si="8">C92-C93</f>
        <v>0</v>
      </c>
      <c r="D94" s="58">
        <f t="shared" si="8"/>
        <v>0</v>
      </c>
      <c r="E94" s="58">
        <f t="shared" si="8"/>
        <v>0</v>
      </c>
      <c r="F94" s="58">
        <f t="shared" si="8"/>
        <v>0</v>
      </c>
      <c r="G94" s="58">
        <f t="shared" si="8"/>
        <v>0</v>
      </c>
      <c r="H94" s="58">
        <f t="shared" si="8"/>
        <v>0</v>
      </c>
      <c r="I94" s="58">
        <f t="shared" si="8"/>
        <v>0</v>
      </c>
      <c r="J94" s="58">
        <f t="shared" si="8"/>
        <v>0</v>
      </c>
      <c r="K94" s="58">
        <f t="shared" si="8"/>
        <v>0</v>
      </c>
      <c r="L94" s="58">
        <f t="shared" si="8"/>
        <v>0</v>
      </c>
      <c r="M94" s="58">
        <f t="shared" si="8"/>
        <v>0</v>
      </c>
      <c r="N94" s="58">
        <f t="shared" si="8"/>
        <v>0</v>
      </c>
      <c r="O94" s="58">
        <f t="shared" si="8"/>
        <v>0</v>
      </c>
      <c r="P94" s="58">
        <f t="shared" si="8"/>
        <v>0</v>
      </c>
    </row>
    <row r="95" spans="1:16" s="50" customFormat="1" x14ac:dyDescent="0.2">
      <c r="B95" s="50" t="str">
        <f>B$155</f>
        <v>Q2</v>
      </c>
      <c r="C95" s="50" t="str">
        <f t="shared" ref="C95:F95" si="9">C$155</f>
        <v>Q3</v>
      </c>
      <c r="D95" s="50" t="str">
        <f t="shared" si="9"/>
        <v>Q4</v>
      </c>
      <c r="E95" s="50" t="str">
        <f t="shared" si="9"/>
        <v>Q1'27</v>
      </c>
      <c r="F95" s="50" t="str">
        <f t="shared" si="9"/>
        <v>Q2'27</v>
      </c>
    </row>
    <row r="96" spans="1:16" s="50" customFormat="1" x14ac:dyDescent="0.2">
      <c r="A96" s="50" t="str">
        <f>$A$156</f>
        <v>% Plan</v>
      </c>
      <c r="B96" s="50" t="e">
        <f>(AVERAGE(B93:D93)/AVERAGE(B92:D92))*100</f>
        <v>#DIV/0!</v>
      </c>
      <c r="C96" s="51">
        <v>0</v>
      </c>
      <c r="D96" s="51">
        <v>0</v>
      </c>
      <c r="E96" s="51">
        <v>0</v>
      </c>
      <c r="F96" s="51">
        <v>0</v>
      </c>
    </row>
    <row r="151" spans="1:16" x14ac:dyDescent="0.2">
      <c r="B151" t="str">
        <f>AIC!C1</f>
        <v>APR</v>
      </c>
      <c r="C151" t="str">
        <f>AIC!D1</f>
        <v>MAY</v>
      </c>
      <c r="D151" t="str">
        <f>AIC!E1</f>
        <v>JUN</v>
      </c>
      <c r="E151" t="str">
        <f>AIC!F1</f>
        <v>JUL</v>
      </c>
      <c r="F151" t="str">
        <f>AIC!G1</f>
        <v>AUG</v>
      </c>
      <c r="G151" t="str">
        <f>AIC!H1</f>
        <v>SEP</v>
      </c>
      <c r="H151" t="str">
        <f>AIC!I1</f>
        <v>OCT</v>
      </c>
      <c r="I151" t="str">
        <f>AIC!J1</f>
        <v>NOV</v>
      </c>
      <c r="J151" t="str">
        <f>AIC!K1</f>
        <v>DEC</v>
      </c>
      <c r="K151" t="str">
        <f>AIC!L1</f>
        <v>JAN'27</v>
      </c>
      <c r="L151" t="str">
        <f>AIC!M1</f>
        <v>FEB'27</v>
      </c>
      <c r="M151" t="str">
        <f>AIC!N1</f>
        <v>MAR'27</v>
      </c>
      <c r="N151" t="str">
        <f>AIC!O1</f>
        <v>APR'27</v>
      </c>
      <c r="O151" t="str">
        <f>AIC!P1</f>
        <v>MAY'27</v>
      </c>
      <c r="P151" t="str">
        <f>AIC!Q1</f>
        <v>JUN'27</v>
      </c>
    </row>
    <row r="152" spans="1:16" x14ac:dyDescent="0.2">
      <c r="A152" t="str">
        <f>AIC!B6</f>
        <v>% Plan</v>
      </c>
      <c r="B152">
        <f>AIC!C6*100</f>
        <v>83.28</v>
      </c>
      <c r="C152">
        <f>AIC!D6*100</f>
        <v>80.44</v>
      </c>
      <c r="D152">
        <f>AIC!E6*100</f>
        <v>77.44</v>
      </c>
      <c r="E152">
        <f>AIC!F6*100</f>
        <v>82.8</v>
      </c>
      <c r="F152">
        <f>AIC!G6*100</f>
        <v>83.33</v>
      </c>
      <c r="G152">
        <f>AIC!H6*100</f>
        <v>78.59</v>
      </c>
      <c r="H152">
        <f>AIC!I6*100</f>
        <v>81.820000000000007</v>
      </c>
      <c r="I152">
        <f>AIC!J6*100</f>
        <v>81.62</v>
      </c>
      <c r="J152">
        <f>AIC!K6*100</f>
        <v>81.089999999999989</v>
      </c>
      <c r="K152">
        <f>AIC!L6*100</f>
        <v>69.23</v>
      </c>
      <c r="L152">
        <f>AIC!M6*100</f>
        <v>68.540000000000006</v>
      </c>
      <c r="M152">
        <f>AIC!N6*100</f>
        <v>64.66</v>
      </c>
      <c r="N152">
        <f>AIC!O6*100</f>
        <v>57.230000000000004</v>
      </c>
      <c r="O152">
        <f>AIC!P6*100</f>
        <v>56.54</v>
      </c>
      <c r="P152">
        <f>AIC!Q6*100</f>
        <v>56.54</v>
      </c>
    </row>
    <row r="153" spans="1:16" x14ac:dyDescent="0.2">
      <c r="A153" t="str">
        <f>AIC!B7</f>
        <v>Available FTE</v>
      </c>
      <c r="B153">
        <f>AIC!C7</f>
        <v>4</v>
      </c>
      <c r="C153">
        <f>AIC!D7</f>
        <v>4</v>
      </c>
      <c r="D153">
        <f>AIC!E7</f>
        <v>5</v>
      </c>
      <c r="E153">
        <f>AIC!F7</f>
        <v>3</v>
      </c>
      <c r="F153">
        <f>AIC!G7</f>
        <v>3</v>
      </c>
      <c r="G153">
        <f>AIC!H7</f>
        <v>4</v>
      </c>
      <c r="H153">
        <f>AIC!I7</f>
        <v>3</v>
      </c>
      <c r="I153">
        <f>AIC!J7</f>
        <v>3</v>
      </c>
      <c r="J153">
        <f>AIC!K7</f>
        <v>4</v>
      </c>
      <c r="K153">
        <f>AIC!L7</f>
        <v>6</v>
      </c>
      <c r="L153">
        <f>AIC!M7</f>
        <v>6</v>
      </c>
      <c r="M153">
        <f>AIC!N7</f>
        <v>7</v>
      </c>
      <c r="N153">
        <f>AIC!O7</f>
        <v>9</v>
      </c>
      <c r="O153">
        <f>AIC!P7</f>
        <v>9</v>
      </c>
      <c r="P153">
        <f>AIC!Q7</f>
        <v>9</v>
      </c>
    </row>
    <row r="155" spans="1:16" x14ac:dyDescent="0.2">
      <c r="B155" t="str">
        <f>AIC!C31</f>
        <v>Q2</v>
      </c>
      <c r="C155" t="str">
        <f>AIC!D31</f>
        <v>Q3</v>
      </c>
      <c r="D155" t="str">
        <f>AIC!E31</f>
        <v>Q4</v>
      </c>
      <c r="E155" t="str">
        <f>AIC!F31</f>
        <v>Q1'27</v>
      </c>
      <c r="F155" t="str">
        <f>AIC!G31</f>
        <v>Q2'27</v>
      </c>
    </row>
    <row r="156" spans="1:16" x14ac:dyDescent="0.2">
      <c r="A156" t="str">
        <f>AIC!B6</f>
        <v>% Plan</v>
      </c>
      <c r="B156">
        <f>AIC!C36*100</f>
        <v>80.39</v>
      </c>
      <c r="C156">
        <f>AIC!D36*100</f>
        <v>81.569999999999993</v>
      </c>
      <c r="D156">
        <f>AIC!E36*100</f>
        <v>81.510000000000005</v>
      </c>
      <c r="E156">
        <f>AIC!F36*100</f>
        <v>67.47999999999999</v>
      </c>
      <c r="F156">
        <f>AIC!G36*100</f>
        <v>56.769999999999996</v>
      </c>
    </row>
    <row r="157" spans="1:16" x14ac:dyDescent="0.2">
      <c r="A157" t="str">
        <f>AIC!B7</f>
        <v>Available FTE</v>
      </c>
      <c r="B157">
        <f>AIC!C37</f>
        <v>4</v>
      </c>
      <c r="C157">
        <f>AIC!D37</f>
        <v>4</v>
      </c>
      <c r="D157">
        <f>AIC!E37</f>
        <v>4</v>
      </c>
      <c r="E157">
        <f>AIC!F37</f>
        <v>4</v>
      </c>
      <c r="F157">
        <f>AIC!G37</f>
        <v>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workbookViewId="0">
      <pane ySplit="1" topLeftCell="A43" activePane="bottomLeft" state="frozen"/>
      <selection pane="bottomLeft" activeCell="C1" sqref="C1:Q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76</v>
      </c>
      <c r="B2" s="6" t="s">
        <v>16</v>
      </c>
      <c r="C2" s="7">
        <v>16</v>
      </c>
      <c r="D2" s="7">
        <v>16</v>
      </c>
      <c r="E2" s="7">
        <v>16</v>
      </c>
      <c r="F2" s="7">
        <v>16</v>
      </c>
      <c r="G2" s="7">
        <v>16</v>
      </c>
      <c r="H2" s="7">
        <v>16</v>
      </c>
      <c r="I2" s="7">
        <v>15</v>
      </c>
      <c r="J2" s="7">
        <v>15</v>
      </c>
      <c r="K2" s="7">
        <v>15</v>
      </c>
      <c r="L2" s="7">
        <v>15</v>
      </c>
      <c r="M2" s="7">
        <v>16</v>
      </c>
      <c r="N2" s="7">
        <v>16</v>
      </c>
      <c r="O2" s="7">
        <v>16</v>
      </c>
      <c r="P2" s="7">
        <v>16</v>
      </c>
      <c r="Q2" s="7">
        <v>16</v>
      </c>
    </row>
    <row r="3" spans="1:17" x14ac:dyDescent="0.2">
      <c r="A3" s="11" t="s">
        <v>76</v>
      </c>
      <c r="B3" s="8" t="s">
        <v>17</v>
      </c>
      <c r="C3" s="7">
        <v>16</v>
      </c>
      <c r="D3" s="7">
        <v>16</v>
      </c>
      <c r="E3" s="7">
        <v>16</v>
      </c>
      <c r="F3" s="7">
        <v>16</v>
      </c>
      <c r="G3" s="7">
        <v>16</v>
      </c>
      <c r="H3" s="7">
        <v>16</v>
      </c>
      <c r="I3" s="7">
        <v>16</v>
      </c>
      <c r="J3" s="7">
        <v>16</v>
      </c>
      <c r="K3" s="7">
        <v>16</v>
      </c>
      <c r="L3" s="7">
        <v>16</v>
      </c>
      <c r="M3" s="7">
        <v>16</v>
      </c>
      <c r="N3" s="7">
        <v>16</v>
      </c>
      <c r="O3" s="7">
        <v>15.733333330000001</v>
      </c>
      <c r="P3" s="7">
        <v>15.733333330000001</v>
      </c>
      <c r="Q3" s="7">
        <v>15.733333330000001</v>
      </c>
    </row>
    <row r="4" spans="1:17" x14ac:dyDescent="0.2">
      <c r="A4" s="12" t="s">
        <v>76</v>
      </c>
      <c r="B4" s="9" t="s">
        <v>18</v>
      </c>
      <c r="C4" s="7">
        <v>16</v>
      </c>
      <c r="D4" s="7">
        <v>16</v>
      </c>
      <c r="E4" s="7">
        <v>16</v>
      </c>
      <c r="F4" s="7">
        <v>16</v>
      </c>
      <c r="G4" s="7">
        <v>16</v>
      </c>
      <c r="H4" s="7">
        <v>16</v>
      </c>
      <c r="I4" s="7">
        <v>15</v>
      </c>
      <c r="J4" s="7">
        <v>15</v>
      </c>
      <c r="K4" s="7">
        <v>15</v>
      </c>
      <c r="L4" s="7">
        <v>15</v>
      </c>
      <c r="M4" s="7">
        <v>16</v>
      </c>
      <c r="N4" s="7">
        <v>16</v>
      </c>
      <c r="O4" s="7">
        <v>16</v>
      </c>
      <c r="P4" s="7">
        <v>16</v>
      </c>
      <c r="Q4" s="7">
        <v>16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</row>
    <row r="7" spans="1:17" x14ac:dyDescent="0.2">
      <c r="A7" s="16"/>
      <c r="B7" s="17" t="s">
        <v>24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14</v>
      </c>
      <c r="D9" s="7">
        <v>14</v>
      </c>
      <c r="E9" s="7">
        <v>14</v>
      </c>
      <c r="F9" s="7">
        <v>14</v>
      </c>
      <c r="G9" s="7">
        <v>14</v>
      </c>
      <c r="H9" s="7">
        <v>14</v>
      </c>
      <c r="I9" s="7">
        <v>13</v>
      </c>
      <c r="J9" s="7">
        <v>13</v>
      </c>
      <c r="K9" s="7">
        <v>13</v>
      </c>
      <c r="L9" s="7">
        <v>13</v>
      </c>
      <c r="M9" s="7">
        <v>14</v>
      </c>
      <c r="N9" s="7">
        <v>14</v>
      </c>
      <c r="O9" s="7">
        <v>14</v>
      </c>
      <c r="P9" s="7">
        <v>14</v>
      </c>
      <c r="Q9" s="7">
        <v>14</v>
      </c>
    </row>
    <row r="10" spans="1:17" x14ac:dyDescent="0.2">
      <c r="A10" s="8" t="s">
        <v>17</v>
      </c>
      <c r="B10" s="11" t="s">
        <v>19</v>
      </c>
      <c r="C10" s="7">
        <v>14</v>
      </c>
      <c r="D10" s="7">
        <v>14</v>
      </c>
      <c r="E10" s="7">
        <v>14</v>
      </c>
      <c r="F10" s="7">
        <v>14</v>
      </c>
      <c r="G10" s="7">
        <v>14</v>
      </c>
      <c r="H10" s="7">
        <v>14</v>
      </c>
      <c r="I10" s="7">
        <v>14</v>
      </c>
      <c r="J10" s="7">
        <v>14</v>
      </c>
      <c r="K10" s="7">
        <v>14</v>
      </c>
      <c r="L10" s="7">
        <v>14</v>
      </c>
      <c r="M10" s="7">
        <v>14</v>
      </c>
      <c r="N10" s="7">
        <v>14</v>
      </c>
      <c r="O10" s="7">
        <v>13.66666667</v>
      </c>
      <c r="P10" s="7">
        <v>13.66666667</v>
      </c>
      <c r="Q10" s="7">
        <v>13.66666667</v>
      </c>
    </row>
    <row r="11" spans="1:17" x14ac:dyDescent="0.2">
      <c r="A11" s="15" t="s">
        <v>18</v>
      </c>
      <c r="B11" s="12" t="s">
        <v>19</v>
      </c>
      <c r="C11" s="7">
        <v>14</v>
      </c>
      <c r="D11" s="7">
        <v>14</v>
      </c>
      <c r="E11" s="7">
        <v>14</v>
      </c>
      <c r="F11" s="7">
        <v>14</v>
      </c>
      <c r="G11" s="7">
        <v>14</v>
      </c>
      <c r="H11" s="7">
        <v>14</v>
      </c>
      <c r="I11" s="7">
        <v>13</v>
      </c>
      <c r="J11" s="7">
        <v>13</v>
      </c>
      <c r="K11" s="7">
        <v>13</v>
      </c>
      <c r="L11" s="7">
        <v>13</v>
      </c>
      <c r="M11" s="7">
        <v>14</v>
      </c>
      <c r="N11" s="7">
        <v>14</v>
      </c>
      <c r="O11" s="7">
        <v>14</v>
      </c>
      <c r="P11" s="7">
        <v>14</v>
      </c>
      <c r="Q11" s="7">
        <v>14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2</v>
      </c>
      <c r="P15" s="7">
        <v>2</v>
      </c>
      <c r="Q15" s="7">
        <v>2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76</v>
      </c>
      <c r="B32" s="6" t="s">
        <v>16</v>
      </c>
      <c r="C32" s="20">
        <v>16</v>
      </c>
      <c r="D32" s="20">
        <v>16</v>
      </c>
      <c r="E32" s="20">
        <v>15</v>
      </c>
      <c r="F32" s="20">
        <v>16</v>
      </c>
      <c r="G32" s="20">
        <v>16</v>
      </c>
    </row>
    <row r="33" spans="1:7" x14ac:dyDescent="0.2">
      <c r="A33" s="11" t="s">
        <v>76</v>
      </c>
      <c r="B33" s="8" t="s">
        <v>17</v>
      </c>
      <c r="C33" s="20">
        <v>16</v>
      </c>
      <c r="D33" s="20">
        <v>16</v>
      </c>
      <c r="E33" s="20">
        <v>16</v>
      </c>
      <c r="F33" s="20">
        <v>16</v>
      </c>
      <c r="G33" s="20">
        <v>16</v>
      </c>
    </row>
    <row r="34" spans="1:7" x14ac:dyDescent="0.2">
      <c r="A34" s="12" t="s">
        <v>76</v>
      </c>
      <c r="B34" s="9" t="s">
        <v>18</v>
      </c>
      <c r="C34" s="20">
        <v>16</v>
      </c>
      <c r="D34" s="20">
        <v>16</v>
      </c>
      <c r="E34" s="20">
        <v>15</v>
      </c>
      <c r="F34" s="20">
        <v>16</v>
      </c>
      <c r="G34" s="20">
        <v>16</v>
      </c>
    </row>
    <row r="35" spans="1:7" x14ac:dyDescent="0.2">
      <c r="A35" s="16"/>
      <c r="B35" s="7"/>
      <c r="C35" s="24">
        <v>0</v>
      </c>
      <c r="D35" s="24">
        <v>0</v>
      </c>
      <c r="E35" s="24">
        <v>0</v>
      </c>
      <c r="F35" s="24">
        <v>0</v>
      </c>
      <c r="G35" s="24">
        <v>0</v>
      </c>
    </row>
    <row r="36" spans="1:7" x14ac:dyDescent="0.2">
      <c r="A36" s="7"/>
      <c r="B36" s="17" t="s">
        <v>23</v>
      </c>
      <c r="C36" s="18">
        <v>1</v>
      </c>
      <c r="D36" s="18">
        <v>1</v>
      </c>
      <c r="E36" s="18">
        <v>1</v>
      </c>
      <c r="F36" s="18">
        <v>1</v>
      </c>
      <c r="G36" s="18">
        <v>1</v>
      </c>
    </row>
    <row r="37" spans="1:7" x14ac:dyDescent="0.2">
      <c r="A37" s="16"/>
      <c r="B37" s="17" t="s">
        <v>24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14</v>
      </c>
      <c r="D39" s="20">
        <v>14</v>
      </c>
      <c r="E39" s="20">
        <v>13</v>
      </c>
      <c r="F39" s="20">
        <v>14</v>
      </c>
      <c r="G39" s="20">
        <v>14</v>
      </c>
    </row>
    <row r="40" spans="1:7" x14ac:dyDescent="0.2">
      <c r="A40" s="8" t="s">
        <v>17</v>
      </c>
      <c r="B40" s="11" t="s">
        <v>19</v>
      </c>
      <c r="C40" s="20">
        <v>14</v>
      </c>
      <c r="D40" s="20">
        <v>14</v>
      </c>
      <c r="E40" s="20">
        <v>14</v>
      </c>
      <c r="F40" s="20">
        <v>14</v>
      </c>
      <c r="G40" s="20">
        <v>14</v>
      </c>
    </row>
    <row r="41" spans="1:7" x14ac:dyDescent="0.2">
      <c r="A41" s="15" t="s">
        <v>18</v>
      </c>
      <c r="B41" s="12" t="s">
        <v>19</v>
      </c>
      <c r="C41" s="20">
        <v>14</v>
      </c>
      <c r="D41" s="20">
        <v>14</v>
      </c>
      <c r="E41" s="20">
        <v>13</v>
      </c>
      <c r="F41" s="20">
        <v>14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2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16</v>
      </c>
      <c r="D62" s="11">
        <v>16</v>
      </c>
      <c r="E62" s="11">
        <v>16</v>
      </c>
      <c r="F62" s="11">
        <v>16</v>
      </c>
      <c r="G62" s="11">
        <v>16</v>
      </c>
      <c r="H62" s="11">
        <v>16</v>
      </c>
      <c r="I62" s="11">
        <v>15</v>
      </c>
      <c r="J62" s="11">
        <v>15</v>
      </c>
      <c r="K62" s="11">
        <v>15</v>
      </c>
      <c r="L62" s="11">
        <v>15</v>
      </c>
      <c r="M62" s="11">
        <v>16</v>
      </c>
      <c r="N62" s="11">
        <v>16</v>
      </c>
      <c r="O62" s="11">
        <v>16</v>
      </c>
      <c r="P62" s="11">
        <v>16</v>
      </c>
      <c r="Q62" s="11">
        <v>16</v>
      </c>
    </row>
    <row r="63" spans="1:17" x14ac:dyDescent="0.2">
      <c r="A63" s="28"/>
      <c r="B63" s="38" t="s">
        <v>18</v>
      </c>
      <c r="C63" s="39">
        <v>16</v>
      </c>
      <c r="D63" s="39">
        <v>16</v>
      </c>
      <c r="E63" s="39">
        <v>16</v>
      </c>
      <c r="F63" s="39">
        <v>16</v>
      </c>
      <c r="G63" s="39">
        <v>16</v>
      </c>
      <c r="H63" s="39">
        <v>16</v>
      </c>
      <c r="I63" s="39">
        <v>15</v>
      </c>
      <c r="J63" s="39">
        <v>15</v>
      </c>
      <c r="K63" s="39">
        <v>15</v>
      </c>
      <c r="L63" s="39">
        <v>15</v>
      </c>
      <c r="M63" s="39">
        <v>16</v>
      </c>
      <c r="N63" s="39">
        <v>16</v>
      </c>
      <c r="O63" s="39">
        <v>16</v>
      </c>
      <c r="P63" s="39">
        <v>16</v>
      </c>
      <c r="Q63" s="39">
        <v>16</v>
      </c>
    </row>
    <row r="64" spans="1:17" x14ac:dyDescent="0.2">
      <c r="A64" s="40" t="s">
        <v>77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77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78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78</v>
      </c>
      <c r="B67" s="9" t="s">
        <v>18</v>
      </c>
      <c r="C67" s="7">
        <v>4</v>
      </c>
      <c r="D67" s="7">
        <v>4</v>
      </c>
      <c r="E67" s="7">
        <v>4</v>
      </c>
      <c r="F67" s="7">
        <v>4</v>
      </c>
      <c r="G67" s="7">
        <v>4</v>
      </c>
      <c r="H67" s="7">
        <v>4</v>
      </c>
      <c r="I67" s="7">
        <v>4</v>
      </c>
      <c r="J67" s="7">
        <v>4</v>
      </c>
      <c r="K67" s="7">
        <v>4</v>
      </c>
      <c r="L67" s="7">
        <v>4</v>
      </c>
      <c r="M67" s="7">
        <v>4</v>
      </c>
      <c r="N67" s="7">
        <v>4</v>
      </c>
      <c r="O67" s="7">
        <v>4</v>
      </c>
      <c r="P67" s="7">
        <v>4</v>
      </c>
      <c r="Q67" s="7">
        <v>4</v>
      </c>
    </row>
    <row r="68" spans="1:17" x14ac:dyDescent="0.2">
      <c r="A68" s="40" t="s">
        <v>79</v>
      </c>
      <c r="B68" s="41" t="s">
        <v>16</v>
      </c>
      <c r="C68" s="40">
        <v>5</v>
      </c>
      <c r="D68" s="40">
        <v>5</v>
      </c>
      <c r="E68" s="40">
        <v>5</v>
      </c>
      <c r="F68" s="40">
        <v>5</v>
      </c>
      <c r="G68" s="40">
        <v>5</v>
      </c>
      <c r="H68" s="40">
        <v>5</v>
      </c>
      <c r="I68" s="40">
        <v>5</v>
      </c>
      <c r="J68" s="40">
        <v>5</v>
      </c>
      <c r="K68" s="40">
        <v>5</v>
      </c>
      <c r="L68" s="40">
        <v>5</v>
      </c>
      <c r="M68" s="40">
        <v>5</v>
      </c>
      <c r="N68" s="40">
        <v>5</v>
      </c>
      <c r="O68" s="40">
        <v>5</v>
      </c>
      <c r="P68" s="40">
        <v>5</v>
      </c>
      <c r="Q68" s="40">
        <v>5</v>
      </c>
    </row>
    <row r="69" spans="1:17" x14ac:dyDescent="0.2">
      <c r="A69" s="31" t="s">
        <v>79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  <row r="70" spans="1:17" x14ac:dyDescent="0.2">
      <c r="A70" s="33" t="s">
        <v>80</v>
      </c>
      <c r="B70" s="34" t="s">
        <v>16</v>
      </c>
      <c r="C70" s="42">
        <v>4</v>
      </c>
      <c r="D70" s="42">
        <v>4</v>
      </c>
      <c r="E70" s="42">
        <v>4</v>
      </c>
      <c r="F70" s="42">
        <v>4</v>
      </c>
      <c r="G70" s="42">
        <v>4</v>
      </c>
      <c r="H70" s="42">
        <v>4</v>
      </c>
      <c r="I70" s="42">
        <v>4</v>
      </c>
      <c r="J70" s="42">
        <v>4</v>
      </c>
      <c r="K70" s="42">
        <v>4</v>
      </c>
      <c r="L70" s="42">
        <v>4</v>
      </c>
      <c r="M70" s="42">
        <v>4</v>
      </c>
      <c r="N70" s="42">
        <v>4</v>
      </c>
      <c r="O70" s="42">
        <v>4</v>
      </c>
      <c r="P70" s="42">
        <v>4</v>
      </c>
      <c r="Q70" s="42">
        <v>4</v>
      </c>
    </row>
    <row r="71" spans="1:17" x14ac:dyDescent="0.2">
      <c r="A71" s="35" t="s">
        <v>81</v>
      </c>
      <c r="B71" s="36" t="s">
        <v>18</v>
      </c>
      <c r="C71" s="43">
        <v>4</v>
      </c>
      <c r="D71" s="43">
        <v>4</v>
      </c>
      <c r="E71" s="43">
        <v>4</v>
      </c>
      <c r="F71" s="43">
        <v>4</v>
      </c>
      <c r="G71" s="43">
        <v>4</v>
      </c>
      <c r="H71" s="43">
        <v>4</v>
      </c>
      <c r="I71" s="43">
        <v>4</v>
      </c>
      <c r="J71" s="43">
        <v>4</v>
      </c>
      <c r="K71" s="43">
        <v>4</v>
      </c>
      <c r="L71" s="43">
        <v>4</v>
      </c>
      <c r="M71" s="43">
        <v>4</v>
      </c>
      <c r="N71" s="43">
        <v>4</v>
      </c>
      <c r="O71" s="43">
        <v>4</v>
      </c>
      <c r="P71" s="43">
        <v>4</v>
      </c>
      <c r="Q71" s="43">
        <v>4</v>
      </c>
    </row>
    <row r="72" spans="1:17" x14ac:dyDescent="0.2">
      <c r="A72" s="33" t="s">
        <v>82</v>
      </c>
      <c r="B72" s="34" t="s">
        <v>16</v>
      </c>
      <c r="C72" s="42">
        <v>1</v>
      </c>
      <c r="D72" s="42">
        <v>1</v>
      </c>
      <c r="E72" s="42">
        <v>1</v>
      </c>
      <c r="F72" s="42">
        <v>1</v>
      </c>
      <c r="G72" s="42">
        <v>1</v>
      </c>
      <c r="H72" s="42">
        <v>1</v>
      </c>
      <c r="I72" s="42">
        <v>1</v>
      </c>
      <c r="J72" s="42">
        <v>1</v>
      </c>
      <c r="K72" s="42">
        <v>1</v>
      </c>
      <c r="L72" s="42">
        <v>1</v>
      </c>
      <c r="M72" s="42">
        <v>1</v>
      </c>
      <c r="N72" s="42">
        <v>1</v>
      </c>
      <c r="O72" s="42">
        <v>1</v>
      </c>
      <c r="P72" s="42">
        <v>1</v>
      </c>
      <c r="Q72" s="42">
        <v>1</v>
      </c>
    </row>
    <row r="73" spans="1:17" x14ac:dyDescent="0.2">
      <c r="A73" s="35" t="s">
        <v>83</v>
      </c>
      <c r="B73" s="36" t="s">
        <v>18</v>
      </c>
      <c r="C73" s="43">
        <v>1</v>
      </c>
      <c r="D73" s="43">
        <v>1</v>
      </c>
      <c r="E73" s="43">
        <v>1</v>
      </c>
      <c r="F73" s="43">
        <v>1</v>
      </c>
      <c r="G73" s="43">
        <v>1</v>
      </c>
      <c r="H73" s="43">
        <v>1</v>
      </c>
      <c r="I73" s="43">
        <v>1</v>
      </c>
      <c r="J73" s="43">
        <v>1</v>
      </c>
      <c r="K73" s="43">
        <v>1</v>
      </c>
      <c r="L73" s="43">
        <v>1</v>
      </c>
      <c r="M73" s="43">
        <v>1</v>
      </c>
      <c r="N73" s="43">
        <v>1</v>
      </c>
      <c r="O73" s="43">
        <v>1</v>
      </c>
      <c r="P73" s="43">
        <v>1</v>
      </c>
      <c r="Q73" s="43">
        <v>1</v>
      </c>
    </row>
    <row r="74" spans="1:17" x14ac:dyDescent="0.2">
      <c r="A74" s="40" t="s">
        <v>84</v>
      </c>
      <c r="B74" s="41" t="s">
        <v>16</v>
      </c>
      <c r="C74" s="40">
        <v>3</v>
      </c>
      <c r="D74" s="40">
        <v>3</v>
      </c>
      <c r="E74" s="40">
        <v>3</v>
      </c>
      <c r="F74" s="40">
        <v>3</v>
      </c>
      <c r="G74" s="40">
        <v>3</v>
      </c>
      <c r="H74" s="40">
        <v>3</v>
      </c>
      <c r="I74" s="40">
        <v>3</v>
      </c>
      <c r="J74" s="40">
        <v>3</v>
      </c>
      <c r="K74" s="40">
        <v>3</v>
      </c>
      <c r="L74" s="40">
        <v>3</v>
      </c>
      <c r="M74" s="40">
        <v>3</v>
      </c>
      <c r="N74" s="40">
        <v>3</v>
      </c>
      <c r="O74" s="40">
        <v>3</v>
      </c>
      <c r="P74" s="40">
        <v>3</v>
      </c>
      <c r="Q74" s="40">
        <v>3</v>
      </c>
    </row>
    <row r="75" spans="1:17" x14ac:dyDescent="0.2">
      <c r="A75" s="31" t="s">
        <v>84</v>
      </c>
      <c r="B75" s="9" t="s">
        <v>18</v>
      </c>
      <c r="C75" s="7">
        <v>3</v>
      </c>
      <c r="D75" s="7">
        <v>3</v>
      </c>
      <c r="E75" s="7">
        <v>3</v>
      </c>
      <c r="F75" s="7">
        <v>3</v>
      </c>
      <c r="G75" s="7">
        <v>3</v>
      </c>
      <c r="H75" s="7">
        <v>3</v>
      </c>
      <c r="I75" s="7">
        <v>3</v>
      </c>
      <c r="J75" s="7">
        <v>3</v>
      </c>
      <c r="K75" s="7">
        <v>3</v>
      </c>
      <c r="L75" s="7">
        <v>3</v>
      </c>
      <c r="M75" s="7">
        <v>3</v>
      </c>
      <c r="N75" s="7">
        <v>3</v>
      </c>
      <c r="O75" s="7">
        <v>3</v>
      </c>
      <c r="P75" s="7">
        <v>3</v>
      </c>
      <c r="Q75" s="7">
        <v>3</v>
      </c>
    </row>
    <row r="76" spans="1:17" x14ac:dyDescent="0.2">
      <c r="A76" s="33" t="s">
        <v>85</v>
      </c>
      <c r="B76" s="34" t="s">
        <v>16</v>
      </c>
      <c r="C76" s="42">
        <v>2</v>
      </c>
      <c r="D76" s="42">
        <v>2</v>
      </c>
      <c r="E76" s="42">
        <v>2</v>
      </c>
      <c r="F76" s="42">
        <v>2</v>
      </c>
      <c r="G76" s="42">
        <v>2</v>
      </c>
      <c r="H76" s="42">
        <v>2</v>
      </c>
      <c r="I76" s="42">
        <v>2</v>
      </c>
      <c r="J76" s="42">
        <v>2</v>
      </c>
      <c r="K76" s="42">
        <v>2</v>
      </c>
      <c r="L76" s="42">
        <v>2</v>
      </c>
      <c r="M76" s="42">
        <v>2</v>
      </c>
      <c r="N76" s="42">
        <v>2</v>
      </c>
      <c r="O76" s="42">
        <v>2</v>
      </c>
      <c r="P76" s="42">
        <v>2</v>
      </c>
      <c r="Q76" s="42">
        <v>2</v>
      </c>
    </row>
    <row r="77" spans="1:17" x14ac:dyDescent="0.2">
      <c r="A77" s="35" t="s">
        <v>86</v>
      </c>
      <c r="B77" s="36" t="s">
        <v>18</v>
      </c>
      <c r="C77" s="43">
        <v>2</v>
      </c>
      <c r="D77" s="43">
        <v>2</v>
      </c>
      <c r="E77" s="43">
        <v>2</v>
      </c>
      <c r="F77" s="43">
        <v>2</v>
      </c>
      <c r="G77" s="43">
        <v>2</v>
      </c>
      <c r="H77" s="43">
        <v>2</v>
      </c>
      <c r="I77" s="43">
        <v>2</v>
      </c>
      <c r="J77" s="43">
        <v>2</v>
      </c>
      <c r="K77" s="43">
        <v>2</v>
      </c>
      <c r="L77" s="43">
        <v>2</v>
      </c>
      <c r="M77" s="43">
        <v>2</v>
      </c>
      <c r="N77" s="43">
        <v>2</v>
      </c>
      <c r="O77" s="43">
        <v>2</v>
      </c>
      <c r="P77" s="43">
        <v>2</v>
      </c>
      <c r="Q77" s="43">
        <v>2</v>
      </c>
    </row>
    <row r="78" spans="1:17" x14ac:dyDescent="0.2">
      <c r="A78" s="33" t="s">
        <v>87</v>
      </c>
      <c r="B78" s="34" t="s">
        <v>16</v>
      </c>
      <c r="C78" s="42">
        <v>1</v>
      </c>
      <c r="D78" s="42">
        <v>1</v>
      </c>
      <c r="E78" s="42">
        <v>1</v>
      </c>
      <c r="F78" s="42">
        <v>1</v>
      </c>
      <c r="G78" s="42">
        <v>1</v>
      </c>
      <c r="H78" s="42">
        <v>1</v>
      </c>
      <c r="I78" s="42">
        <v>1</v>
      </c>
      <c r="J78" s="42">
        <v>1</v>
      </c>
      <c r="K78" s="42">
        <v>1</v>
      </c>
      <c r="L78" s="42">
        <v>1</v>
      </c>
      <c r="M78" s="42">
        <v>1</v>
      </c>
      <c r="N78" s="42">
        <v>1</v>
      </c>
      <c r="O78" s="42">
        <v>1</v>
      </c>
      <c r="P78" s="42">
        <v>1</v>
      </c>
      <c r="Q78" s="42">
        <v>1</v>
      </c>
    </row>
    <row r="79" spans="1:17" x14ac:dyDescent="0.2">
      <c r="A79" s="35" t="s">
        <v>88</v>
      </c>
      <c r="B79" s="36" t="s">
        <v>18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  <c r="H79" s="43">
        <v>1</v>
      </c>
      <c r="I79" s="43">
        <v>1</v>
      </c>
      <c r="J79" s="43">
        <v>1</v>
      </c>
      <c r="K79" s="43">
        <v>1</v>
      </c>
      <c r="L79" s="43">
        <v>1</v>
      </c>
      <c r="M79" s="43">
        <v>1</v>
      </c>
      <c r="N79" s="43">
        <v>1</v>
      </c>
      <c r="O79" s="43">
        <v>1</v>
      </c>
      <c r="P79" s="43">
        <v>1</v>
      </c>
      <c r="Q79" s="43">
        <v>1</v>
      </c>
    </row>
    <row r="80" spans="1:17" x14ac:dyDescent="0.2">
      <c r="A80" s="40" t="s">
        <v>89</v>
      </c>
      <c r="B80" s="41" t="s">
        <v>16</v>
      </c>
      <c r="C80" s="40">
        <v>3</v>
      </c>
      <c r="D80" s="40">
        <v>3</v>
      </c>
      <c r="E80" s="40">
        <v>3</v>
      </c>
      <c r="F80" s="40">
        <v>3</v>
      </c>
      <c r="G80" s="40">
        <v>3</v>
      </c>
      <c r="H80" s="40">
        <v>3</v>
      </c>
      <c r="I80" s="40">
        <v>2</v>
      </c>
      <c r="J80" s="40">
        <v>2</v>
      </c>
      <c r="K80" s="40">
        <v>2</v>
      </c>
      <c r="L80" s="40">
        <v>2</v>
      </c>
      <c r="M80" s="40">
        <v>3</v>
      </c>
      <c r="N80" s="40">
        <v>3</v>
      </c>
      <c r="O80" s="40">
        <v>3</v>
      </c>
      <c r="P80" s="40">
        <v>3</v>
      </c>
      <c r="Q80" s="40">
        <v>3</v>
      </c>
    </row>
    <row r="81" spans="1:17" x14ac:dyDescent="0.2">
      <c r="A81" s="31" t="s">
        <v>89</v>
      </c>
      <c r="B81" s="9" t="s">
        <v>18</v>
      </c>
      <c r="C81" s="7">
        <v>3</v>
      </c>
      <c r="D81" s="7">
        <v>3</v>
      </c>
      <c r="E81" s="7">
        <v>3</v>
      </c>
      <c r="F81" s="7">
        <v>3</v>
      </c>
      <c r="G81" s="7">
        <v>3</v>
      </c>
      <c r="H81" s="7">
        <v>3</v>
      </c>
      <c r="I81" s="7">
        <v>2</v>
      </c>
      <c r="J81" s="7">
        <v>2</v>
      </c>
      <c r="K81" s="7">
        <v>2</v>
      </c>
      <c r="L81" s="7">
        <v>2</v>
      </c>
      <c r="M81" s="7">
        <v>3</v>
      </c>
      <c r="N81" s="7">
        <v>3</v>
      </c>
      <c r="O81" s="7">
        <v>3</v>
      </c>
      <c r="P81" s="7">
        <v>3</v>
      </c>
      <c r="Q81" s="7">
        <v>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H23" sqref="H23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APR</v>
      </c>
      <c r="C1" t="str">
        <f>IF(TDE!D1&gt;0,TDE!D1,"")</f>
        <v>MAY</v>
      </c>
      <c r="D1" t="str">
        <f>IF(TDE!E1&gt;0,TDE!E1,"")</f>
        <v>JUN</v>
      </c>
      <c r="E1" t="str">
        <f>IF(TDE!F1&gt;0,TDE!F1,"")</f>
        <v>JUL</v>
      </c>
      <c r="F1" t="str">
        <f>IF(TDE!G1&gt;0,TDE!G1,"")</f>
        <v>AUG</v>
      </c>
      <c r="G1" t="str">
        <f>IF(TDE!H1&gt;0,TDE!H1,"")</f>
        <v>SEP</v>
      </c>
      <c r="H1" t="str">
        <f>IF(TDE!I1&gt;0,TDE!I1,"")</f>
        <v>OCT</v>
      </c>
      <c r="I1" t="str">
        <f>IF(TDE!J1&gt;0,TDE!J1,"")</f>
        <v>NOV</v>
      </c>
      <c r="J1" t="str">
        <f>IF(TDE!K1&gt;0,TDE!K1,"")</f>
        <v>DEC</v>
      </c>
      <c r="K1" t="str">
        <f>IF(TDE!L1&gt;0,TDE!L1,"")</f>
        <v>JAN'27</v>
      </c>
      <c r="L1" t="str">
        <f>IF(TDE!M1&gt;0,TDE!M1,"")</f>
        <v>FEB'27</v>
      </c>
      <c r="M1" t="str">
        <f>IF(TDE!N1&gt;0,TDE!N1,"")</f>
        <v>MAR'27</v>
      </c>
      <c r="N1" t="str">
        <f>IF(TDE!O1&gt;0,TDE!O1,"")</f>
        <v>APR'27</v>
      </c>
      <c r="O1" t="str">
        <f>IF(TDE!P1&gt;0,TDE!P1,"")</f>
        <v>MAY'27</v>
      </c>
      <c r="P1" t="str">
        <f>IF(TDE!Q1&gt;0,TDE!Q1,"")</f>
        <v>JUN'27</v>
      </c>
    </row>
    <row r="2" spans="1:16" x14ac:dyDescent="0.2">
      <c r="A2" t="str">
        <f>IF(TDE!B2&gt;0,TDE!B2,"")</f>
        <v>Staff</v>
      </c>
      <c r="B2">
        <f>IF(TDE!C2&gt;0,TDE!C2,"")</f>
        <v>16</v>
      </c>
      <c r="C2">
        <f>IF(TDE!D2&gt;0,TDE!D2,"")</f>
        <v>16</v>
      </c>
      <c r="D2">
        <f>IF(TDE!E2&gt;0,TDE!E2,"")</f>
        <v>16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15</v>
      </c>
      <c r="I2">
        <f>IF(TDE!J2&gt;0,TDE!J2,"")</f>
        <v>15</v>
      </c>
      <c r="J2">
        <f>IF(TDE!K2&gt;0,TDE!K2,"")</f>
        <v>15</v>
      </c>
      <c r="K2">
        <f>IF(TDE!L2&gt;0,TDE!L2,"")</f>
        <v>15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15.733333330000001</v>
      </c>
      <c r="O3">
        <f>IF(TDE!P3&gt;0,TDE!P3,"")</f>
        <v>15.733333330000001</v>
      </c>
      <c r="P3">
        <f>IF(TDE!Q3&gt;0,TDE!Q3,"")</f>
        <v>15.733333330000001</v>
      </c>
    </row>
    <row r="4" spans="1:16" x14ac:dyDescent="0.2">
      <c r="A4" t="str">
        <f>IF(TDE!B4&gt;0,TDE!B4,"")</f>
        <v>Plan</v>
      </c>
      <c r="B4">
        <f>IF(TDE!C4&gt;0,TDE!C4,"")</f>
        <v>16</v>
      </c>
      <c r="C4">
        <f>IF(TDE!D4&gt;0,TDE!D4,"")</f>
        <v>16</v>
      </c>
      <c r="D4">
        <f>IF(TDE!E4&gt;0,TDE!E4,"")</f>
        <v>16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15</v>
      </c>
      <c r="I4">
        <f>IF(TDE!J4&gt;0,TDE!J4,"")</f>
        <v>15</v>
      </c>
      <c r="J4">
        <f>IF(TDE!K4&gt;0,TDE!K4,"")</f>
        <v>15</v>
      </c>
      <c r="K4">
        <f>IF(TDE!L4&gt;0,TDE!L4,"")</f>
        <v>15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14</v>
      </c>
      <c r="C5">
        <f>IF(TDE!D11&gt;0,TDE!D11,"")</f>
        <v>14</v>
      </c>
      <c r="D5">
        <f>IF(TDE!E11&gt;0,TDE!E11,"")</f>
        <v>14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13</v>
      </c>
      <c r="I5">
        <f>IF(TDE!J11&gt;0,TDE!J11,"")</f>
        <v>13</v>
      </c>
      <c r="J5">
        <f>IF(TDE!K11&gt;0,TDE!K11,"")</f>
        <v>13</v>
      </c>
      <c r="K5">
        <f>IF(TDE!L11&gt;0,TDE!L11,"")</f>
        <v>13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APR</v>
      </c>
      <c r="C11" t="str">
        <f>IF(TDE!D1&gt;0,TDE!D1,"")</f>
        <v>MAY</v>
      </c>
      <c r="D11" t="str">
        <f>IF(TDE!E1&gt;0,TDE!E1,"")</f>
        <v>JUN</v>
      </c>
      <c r="E11" t="str">
        <f>IF(TDE!F1&gt;0,TDE!F1,"")</f>
        <v>JUL</v>
      </c>
      <c r="F11" t="str">
        <f>IF(TDE!G1&gt;0,TDE!G1,"")</f>
        <v>AUG</v>
      </c>
      <c r="G11" t="str">
        <f>IF(TDE!H1&gt;0,TDE!H1,"")</f>
        <v>SEP</v>
      </c>
      <c r="H11" t="str">
        <f>IF(TDE!I1&gt;0,TDE!I1,"")</f>
        <v>OCT</v>
      </c>
      <c r="I11" t="str">
        <f>IF(TDE!J1&gt;0,TDE!J1,"")</f>
        <v>NOV</v>
      </c>
      <c r="J11" t="str">
        <f>IF(TDE!K1&gt;0,TDE!K1,"")</f>
        <v>DEC</v>
      </c>
      <c r="K11" t="str">
        <f>IF(TDE!L1&gt;0,TDE!L1,"")</f>
        <v>JAN'27</v>
      </c>
      <c r="L11" t="str">
        <f>IF(TDE!M1&gt;0,TDE!M1,"")</f>
        <v>FEB'27</v>
      </c>
      <c r="M11" t="str">
        <f>IF(TDE!N1&gt;0,TDE!N1,"")</f>
        <v>MAR'27</v>
      </c>
      <c r="N11" t="str">
        <f>IF(TDE!O1&gt;0,TDE!O1,"")</f>
        <v>APR'27</v>
      </c>
      <c r="O11" t="str">
        <f>IF(TDE!P1&gt;0,TDE!P1,"")</f>
        <v>MAY'27</v>
      </c>
      <c r="P11" t="str">
        <f>IF(TDE!Q1&gt;0,TDE!Q1,"")</f>
        <v>JUN'27</v>
      </c>
    </row>
    <row r="12" spans="1:16" x14ac:dyDescent="0.2">
      <c r="A12" t="str">
        <f>IF(TDE!B2&gt;0,TDE!B2,"")</f>
        <v>Staff</v>
      </c>
      <c r="B12">
        <f>IF(TDE!C9&gt;0,TDE!C9,"")</f>
        <v>14</v>
      </c>
      <c r="C12">
        <f>IF(TDE!D9&gt;0,TDE!D9,"")</f>
        <v>14</v>
      </c>
      <c r="D12">
        <f>IF(TDE!E9&gt;0,TDE!E9,"")</f>
        <v>14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13</v>
      </c>
      <c r="I12">
        <f>IF(TDE!J9&gt;0,TDE!J9,"")</f>
        <v>13</v>
      </c>
      <c r="J12">
        <f>IF(TDE!K9&gt;0,TDE!K9,"")</f>
        <v>13</v>
      </c>
      <c r="K12">
        <f>IF(TDE!L9&gt;0,TDE!L9,"")</f>
        <v>13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13.66666667</v>
      </c>
      <c r="O13">
        <f>IF(TDE!P10&gt;0,TDE!P10,"")</f>
        <v>13.66666667</v>
      </c>
      <c r="P13">
        <f>IF(TDE!Q10&gt;0,TDE!Q10,"")</f>
        <v>13.66666667</v>
      </c>
    </row>
    <row r="14" spans="1:16" x14ac:dyDescent="0.2">
      <c r="A14" t="str">
        <f>IF(TDE!B4&gt;0,TDE!B4,"")</f>
        <v>Plan</v>
      </c>
      <c r="B14">
        <f>IF(TDE!C11&gt;0,TDE!C11,"")</f>
        <v>14</v>
      </c>
      <c r="C14">
        <f>IF(TDE!D11&gt;0,TDE!D11,"")</f>
        <v>14</v>
      </c>
      <c r="D14">
        <f>IF(TDE!E11&gt;0,TDE!E11,"")</f>
        <v>14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13</v>
      </c>
      <c r="I14">
        <f>IF(TDE!J11&gt;0,TDE!J11,"")</f>
        <v>13</v>
      </c>
      <c r="J14">
        <f>IF(TDE!K11&gt;0,TDE!K11,"")</f>
        <v>13</v>
      </c>
      <c r="K14">
        <f>IF(TDE!L11&gt;0,TDE!L11,"")</f>
        <v>13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APR</v>
      </c>
      <c r="C21" t="str">
        <f>IF(TDE!D1&gt;0,TDE!D1,"")</f>
        <v>MAY</v>
      </c>
      <c r="D21" t="str">
        <f>IF(TDE!E1&gt;0,TDE!E1,"")</f>
        <v>JUN</v>
      </c>
      <c r="E21" t="str">
        <f>IF(TDE!F1&gt;0,TDE!F1,"")</f>
        <v>JUL</v>
      </c>
      <c r="F21" t="str">
        <f>IF(TDE!G1&gt;0,TDE!G1,"")</f>
        <v>AUG</v>
      </c>
      <c r="G21" t="str">
        <f>IF(TDE!H1&gt;0,TDE!H1,"")</f>
        <v>SEP</v>
      </c>
      <c r="H21" t="str">
        <f>IF(TDE!I1&gt;0,TDE!I1,"")</f>
        <v>OCT</v>
      </c>
      <c r="I21" t="str">
        <f>IF(TDE!J1&gt;0,TDE!J1,"")</f>
        <v>NOV</v>
      </c>
      <c r="J21" t="str">
        <f>IF(TDE!K1&gt;0,TDE!K1,"")</f>
        <v>DEC</v>
      </c>
      <c r="K21" t="str">
        <f>IF(TDE!L1&gt;0,TDE!L1,"")</f>
        <v>JAN'27</v>
      </c>
      <c r="L21" t="str">
        <f>IF(TDE!M1&gt;0,TDE!M1,"")</f>
        <v>FEB'27</v>
      </c>
      <c r="M21" t="str">
        <f>IF(TDE!N1&gt;0,TDE!N1,"")</f>
        <v>MAR'27</v>
      </c>
      <c r="N21" t="str">
        <f>IF(TDE!O1&gt;0,TDE!O1,"")</f>
        <v>APR'27</v>
      </c>
      <c r="O21" t="str">
        <f>IF(TDE!P1&gt;0,TDE!P1,"")</f>
        <v>MAY'27</v>
      </c>
      <c r="P21" t="str">
        <f>IF(TDE!Q1&gt;0,TDE!Q1,"")</f>
        <v>JUN'27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APR</v>
      </c>
      <c r="C31" t="str">
        <f>IF(TDE!D1&gt;0,TDE!D1,"")</f>
        <v>MAY</v>
      </c>
      <c r="D31" t="str">
        <f>IF(TDE!E1&gt;0,TDE!E1,"")</f>
        <v>JUN</v>
      </c>
      <c r="E31" t="str">
        <f>IF(TDE!F1&gt;0,TDE!F1,"")</f>
        <v>JUL</v>
      </c>
      <c r="F31" t="str">
        <f>IF(TDE!G1&gt;0,TDE!G1,"")</f>
        <v>AUG</v>
      </c>
      <c r="G31" t="str">
        <f>IF(TDE!H1&gt;0,TDE!H1,"")</f>
        <v>SEP</v>
      </c>
      <c r="H31" t="str">
        <f>IF(TDE!I1&gt;0,TDE!I1,"")</f>
        <v>OCT</v>
      </c>
      <c r="I31" t="str">
        <f>IF(TDE!J1&gt;0,TDE!J1,"")</f>
        <v>NOV</v>
      </c>
      <c r="J31" t="str">
        <f>IF(TDE!K1&gt;0,TDE!K1,"")</f>
        <v>DEC</v>
      </c>
      <c r="K31" t="str">
        <f>IF(TDE!L1&gt;0,TDE!L1,"")</f>
        <v>JAN'27</v>
      </c>
      <c r="L31" t="str">
        <f>IF(TDE!M1&gt;0,TDE!M1,"")</f>
        <v>FEB'27</v>
      </c>
      <c r="M31" t="str">
        <f>IF(TDE!N1&gt;0,TDE!N1,"")</f>
        <v>MAR'27</v>
      </c>
      <c r="N31" t="str">
        <f>IF(TDE!O1&gt;0,TDE!O1,"")</f>
        <v>APR'27</v>
      </c>
      <c r="O31" t="str">
        <f>IF(TDE!P1&gt;0,TDE!P1,"")</f>
        <v>MAY'27</v>
      </c>
      <c r="P31" t="str">
        <f>IF(TDE!Q1&gt;0,TDE!Q1,"")</f>
        <v>JUN'27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Q2</v>
      </c>
      <c r="C41" t="str">
        <f>IF(TDE!D31&gt;0,TDE!D31,"")</f>
        <v>Q3</v>
      </c>
      <c r="D41" t="str">
        <f>IF(TDE!E31&gt;0,TDE!E31,"")</f>
        <v>Q4</v>
      </c>
      <c r="E41" t="str">
        <f>IF(TDE!F31&gt;0,TDE!F31,"")</f>
        <v>Q1'27</v>
      </c>
      <c r="F41" t="str">
        <f>IF(TDE!G31&gt;0,TDE!G31,"")</f>
        <v>Q2'27</v>
      </c>
    </row>
    <row r="42" spans="1:16" x14ac:dyDescent="0.2">
      <c r="A42" t="str">
        <f>IF(TDE!B32&gt;0,TDE!B32,"")</f>
        <v>Staff</v>
      </c>
      <c r="B42">
        <f>IF(TDE!C32&gt;0,TDE!C32,"")</f>
        <v>16</v>
      </c>
      <c r="C42">
        <f>IF(TDE!D32&gt;0,TDE!D32,"")</f>
        <v>16</v>
      </c>
      <c r="D42">
        <f>IF(TDE!E32&gt;0,TDE!E32,"")</f>
        <v>15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16</v>
      </c>
      <c r="C44">
        <f>IF(TDE!D34&gt;0,TDE!D34,"")</f>
        <v>16</v>
      </c>
      <c r="D44">
        <f>IF(TDE!E34&gt;0,TDE!E34,"")</f>
        <v>15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14</v>
      </c>
      <c r="C45">
        <f>IF(TDE!D41&gt;0,TDE!D41,"")</f>
        <v>14</v>
      </c>
      <c r="D45">
        <f>IF(TDE!E41&gt;0,TDE!E41,"")</f>
        <v>13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49" t="str">
        <f>TDE!A66</f>
        <v>Financial Management</v>
      </c>
      <c r="B51" t="str">
        <f>TDE!C$61</f>
        <v>APR</v>
      </c>
      <c r="C51" t="str">
        <f>TDE!D$61</f>
        <v>MAY</v>
      </c>
      <c r="D51" t="str">
        <f>TDE!E$61</f>
        <v>JUN</v>
      </c>
      <c r="E51" t="str">
        <f>TDE!F$61</f>
        <v>JUL</v>
      </c>
      <c r="F51" t="str">
        <f>TDE!G$61</f>
        <v>AUG</v>
      </c>
      <c r="G51" t="str">
        <f>TDE!H$61</f>
        <v>SEP</v>
      </c>
      <c r="H51" t="str">
        <f>TDE!I$61</f>
        <v>OCT</v>
      </c>
      <c r="I51" t="str">
        <f>TDE!J$61</f>
        <v>NOV</v>
      </c>
      <c r="J51" t="str">
        <f>TDE!K$61</f>
        <v>DEC</v>
      </c>
      <c r="K51" t="str">
        <f>TDE!L$61</f>
        <v>JAN'27</v>
      </c>
      <c r="L51" t="str">
        <f>TDE!M$61</f>
        <v>FEB'27</v>
      </c>
      <c r="M51" t="str">
        <f>TDE!N$61</f>
        <v>MAR'27</v>
      </c>
      <c r="N51" t="str">
        <f>TDE!O$61</f>
        <v>APR'27</v>
      </c>
      <c r="O51" t="str">
        <f>TDE!P$61</f>
        <v>MAY'27</v>
      </c>
      <c r="P51" t="str">
        <f>TDE!Q$61</f>
        <v>JUN'27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57" customFormat="1" x14ac:dyDescent="0.2">
      <c r="A54" s="57" t="s">
        <v>24</v>
      </c>
      <c r="B54" s="58">
        <f>B52-B53</f>
        <v>0</v>
      </c>
      <c r="C54" s="58">
        <f t="shared" ref="C54:P54" si="0">C52-C53</f>
        <v>0</v>
      </c>
      <c r="D54" s="58">
        <f t="shared" si="0"/>
        <v>0</v>
      </c>
      <c r="E54" s="58">
        <f t="shared" si="0"/>
        <v>0</v>
      </c>
      <c r="F54" s="58">
        <f t="shared" si="0"/>
        <v>0</v>
      </c>
      <c r="G54" s="58">
        <f t="shared" si="0"/>
        <v>0</v>
      </c>
      <c r="H54" s="58">
        <f t="shared" si="0"/>
        <v>0</v>
      </c>
      <c r="I54" s="58">
        <f t="shared" si="0"/>
        <v>0</v>
      </c>
      <c r="J54" s="58">
        <f t="shared" si="0"/>
        <v>0</v>
      </c>
      <c r="K54" s="58">
        <f t="shared" si="0"/>
        <v>0</v>
      </c>
      <c r="L54" s="58">
        <f t="shared" si="0"/>
        <v>0</v>
      </c>
      <c r="M54" s="58">
        <f t="shared" si="0"/>
        <v>0</v>
      </c>
      <c r="N54" s="58">
        <f t="shared" si="0"/>
        <v>0</v>
      </c>
      <c r="O54" s="58">
        <f t="shared" si="0"/>
        <v>0</v>
      </c>
      <c r="P54" s="58">
        <f t="shared" si="0"/>
        <v>0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100</v>
      </c>
      <c r="C56" s="50">
        <f>(AVERAGE(E53:G53)/AVERAGE(E52:G52))*100</f>
        <v>100</v>
      </c>
      <c r="D56" s="50">
        <f>(AVERAGE(H53:J53)/AVERAGE(H52:J52))*100</f>
        <v>100</v>
      </c>
      <c r="E56" s="50">
        <f>(AVERAGE(K53:M53)/AVERAGE(K52:M52))*100</f>
        <v>100</v>
      </c>
      <c r="F56" s="50">
        <f>(AVERAGE(N53:P53)/AVERAGE(N52:P52))*100</f>
        <v>100</v>
      </c>
    </row>
    <row r="61" spans="1:16" x14ac:dyDescent="0.2">
      <c r="A61" s="49" t="str">
        <f>TDE!A68</f>
        <v>Resource Management</v>
      </c>
      <c r="B61" t="str">
        <f>TDE!C$61</f>
        <v>APR</v>
      </c>
      <c r="C61" t="str">
        <f>TDE!D$61</f>
        <v>MAY</v>
      </c>
      <c r="D61" t="str">
        <f>TDE!E$61</f>
        <v>JUN</v>
      </c>
      <c r="E61" t="str">
        <f>TDE!F$61</f>
        <v>JUL</v>
      </c>
      <c r="F61" t="str">
        <f>TDE!G$61</f>
        <v>AUG</v>
      </c>
      <c r="G61" t="str">
        <f>TDE!H$61</f>
        <v>SEP</v>
      </c>
      <c r="H61" t="str">
        <f>TDE!I$61</f>
        <v>OCT</v>
      </c>
      <c r="I61" t="str">
        <f>TDE!J$61</f>
        <v>NOV</v>
      </c>
      <c r="J61" t="str">
        <f>TDE!K$61</f>
        <v>DEC</v>
      </c>
      <c r="K61" t="str">
        <f>TDE!L$61</f>
        <v>JAN'27</v>
      </c>
      <c r="L61" t="str">
        <f>TDE!M$61</f>
        <v>FEB'27</v>
      </c>
      <c r="M61" t="str">
        <f>TDE!N$61</f>
        <v>MAR'27</v>
      </c>
      <c r="N61" t="str">
        <f>TDE!O$61</f>
        <v>APR'27</v>
      </c>
      <c r="O61" t="str">
        <f>TDE!P$61</f>
        <v>MAY'27</v>
      </c>
      <c r="P61" t="str">
        <f>TDE!Q$61</f>
        <v>JUN'27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57" customFormat="1" x14ac:dyDescent="0.2">
      <c r="A64" s="57" t="s">
        <v>24</v>
      </c>
      <c r="B64" s="58">
        <f>B62-B63</f>
        <v>0</v>
      </c>
      <c r="C64" s="58">
        <f t="shared" ref="C64:P64" si="2">C62-C63</f>
        <v>0</v>
      </c>
      <c r="D64" s="58">
        <f t="shared" si="2"/>
        <v>0</v>
      </c>
      <c r="E64" s="58">
        <f t="shared" si="2"/>
        <v>0</v>
      </c>
      <c r="F64" s="58">
        <f t="shared" si="2"/>
        <v>0</v>
      </c>
      <c r="G64" s="58">
        <f t="shared" si="2"/>
        <v>0</v>
      </c>
      <c r="H64" s="58">
        <f t="shared" si="2"/>
        <v>0</v>
      </c>
      <c r="I64" s="58">
        <f t="shared" si="2"/>
        <v>0</v>
      </c>
      <c r="J64" s="58">
        <f t="shared" si="2"/>
        <v>0</v>
      </c>
      <c r="K64" s="58">
        <f t="shared" si="2"/>
        <v>0</v>
      </c>
      <c r="L64" s="58">
        <f t="shared" si="2"/>
        <v>0</v>
      </c>
      <c r="M64" s="58">
        <f t="shared" si="2"/>
        <v>0</v>
      </c>
      <c r="N64" s="58">
        <f t="shared" si="2"/>
        <v>0</v>
      </c>
      <c r="O64" s="58">
        <f t="shared" si="2"/>
        <v>0</v>
      </c>
      <c r="P64" s="58">
        <f t="shared" si="2"/>
        <v>0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100</v>
      </c>
      <c r="C66" s="50">
        <f>(AVERAGE(E63:G63)/AVERAGE(E62:G62))*100</f>
        <v>100</v>
      </c>
      <c r="D66" s="50">
        <f>(AVERAGE(H63:J63)/AVERAGE(H62:J62))*100</f>
        <v>100</v>
      </c>
      <c r="E66" s="50">
        <f>(AVERAGE(K63:M63)/AVERAGE(K62:M62))*100</f>
        <v>100</v>
      </c>
      <c r="F66" s="50">
        <f>(AVERAGE(N63:P63)/AVERAGE(N62:P62))*100</f>
        <v>100</v>
      </c>
    </row>
    <row r="71" spans="1:16" x14ac:dyDescent="0.2">
      <c r="A71" s="49" t="str">
        <f>TDE!A74</f>
        <v>Talent Experience &amp; Development</v>
      </c>
      <c r="B71" t="str">
        <f>TDE!C$61</f>
        <v>APR</v>
      </c>
      <c r="C71" t="str">
        <f>TDE!D$61</f>
        <v>MAY</v>
      </c>
      <c r="D71" t="str">
        <f>TDE!E$61</f>
        <v>JUN</v>
      </c>
      <c r="E71" t="str">
        <f>TDE!F$61</f>
        <v>JUL</v>
      </c>
      <c r="F71" t="str">
        <f>TDE!G$61</f>
        <v>AUG</v>
      </c>
      <c r="G71" t="str">
        <f>TDE!H$61</f>
        <v>SEP</v>
      </c>
      <c r="H71" t="str">
        <f>TDE!I$61</f>
        <v>OCT</v>
      </c>
      <c r="I71" t="str">
        <f>TDE!J$61</f>
        <v>NOV</v>
      </c>
      <c r="J71" t="str">
        <f>TDE!K$61</f>
        <v>DEC</v>
      </c>
      <c r="K71" t="str">
        <f>TDE!L$61</f>
        <v>JAN'27</v>
      </c>
      <c r="L71" t="str">
        <f>TDE!M$61</f>
        <v>FEB'27</v>
      </c>
      <c r="M71" t="str">
        <f>TDE!N$61</f>
        <v>MAR'27</v>
      </c>
      <c r="N71" t="str">
        <f>TDE!O$61</f>
        <v>APR'27</v>
      </c>
      <c r="O71" t="str">
        <f>TDE!P$61</f>
        <v>MAY'27</v>
      </c>
      <c r="P71" t="str">
        <f>TDE!Q$61</f>
        <v>JUN'27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57" customFormat="1" x14ac:dyDescent="0.2">
      <c r="A74" s="57" t="s">
        <v>24</v>
      </c>
      <c r="B74" s="58">
        <f>B72-B73</f>
        <v>0</v>
      </c>
      <c r="C74" s="58">
        <f t="shared" ref="C74:P74" si="4">C72-C73</f>
        <v>0</v>
      </c>
      <c r="D74" s="58">
        <f t="shared" si="4"/>
        <v>0</v>
      </c>
      <c r="E74" s="58">
        <f t="shared" si="4"/>
        <v>0</v>
      </c>
      <c r="F74" s="58">
        <f t="shared" si="4"/>
        <v>0</v>
      </c>
      <c r="G74" s="58">
        <f t="shared" si="4"/>
        <v>0</v>
      </c>
      <c r="H74" s="58">
        <f t="shared" si="4"/>
        <v>0</v>
      </c>
      <c r="I74" s="58">
        <f t="shared" si="4"/>
        <v>0</v>
      </c>
      <c r="J74" s="58">
        <f t="shared" si="4"/>
        <v>0</v>
      </c>
      <c r="K74" s="58">
        <f t="shared" si="4"/>
        <v>0</v>
      </c>
      <c r="L74" s="58">
        <f t="shared" si="4"/>
        <v>0</v>
      </c>
      <c r="M74" s="58">
        <f t="shared" si="4"/>
        <v>0</v>
      </c>
      <c r="N74" s="58">
        <f t="shared" si="4"/>
        <v>0</v>
      </c>
      <c r="O74" s="58">
        <f t="shared" si="4"/>
        <v>0</v>
      </c>
      <c r="P74" s="58">
        <f t="shared" si="4"/>
        <v>0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100</v>
      </c>
      <c r="C76" s="50">
        <f>(AVERAGE(E73:G73)/AVERAGE(E72:G72))*100</f>
        <v>100</v>
      </c>
      <c r="D76" s="50">
        <f>(AVERAGE(H73:J73)/AVERAGE(H72:J72))*100</f>
        <v>100</v>
      </c>
      <c r="E76" s="50">
        <f>(AVERAGE(K73:M73)/AVERAGE(K72:M72))*100</f>
        <v>100</v>
      </c>
      <c r="F76" s="50">
        <f>(AVERAGE(N73:P73)/AVERAGE(N72:P72))*100</f>
        <v>100</v>
      </c>
    </row>
    <row r="81" spans="1:16" x14ac:dyDescent="0.2">
      <c r="A81" s="49" t="str">
        <f>TDE!A80</f>
        <v>Center of Excellences</v>
      </c>
      <c r="B81" t="str">
        <f>TDE!C$61</f>
        <v>APR</v>
      </c>
      <c r="C81" t="str">
        <f>TDE!D$61</f>
        <v>MAY</v>
      </c>
      <c r="D81" t="str">
        <f>TDE!E$61</f>
        <v>JUN</v>
      </c>
      <c r="E81" t="str">
        <f>TDE!F$61</f>
        <v>JUL</v>
      </c>
      <c r="F81" t="str">
        <f>TDE!G$61</f>
        <v>AUG</v>
      </c>
      <c r="G81" t="str">
        <f>TDE!H$61</f>
        <v>SEP</v>
      </c>
      <c r="H81" t="str">
        <f>TDE!I$61</f>
        <v>OCT</v>
      </c>
      <c r="I81" t="str">
        <f>TDE!J$61</f>
        <v>NOV</v>
      </c>
      <c r="J81" t="str">
        <f>TDE!K$61</f>
        <v>DEC</v>
      </c>
      <c r="K81" t="str">
        <f>TDE!L$61</f>
        <v>JAN'27</v>
      </c>
      <c r="L81" t="str">
        <f>TDE!M$61</f>
        <v>FEB'27</v>
      </c>
      <c r="M81" t="str">
        <f>TDE!N$61</f>
        <v>MAR'27</v>
      </c>
      <c r="N81" t="str">
        <f>TDE!O$61</f>
        <v>APR'27</v>
      </c>
      <c r="O81" t="str">
        <f>TDE!P$61</f>
        <v>MAY'27</v>
      </c>
      <c r="P81" t="str">
        <f>TDE!Q$61</f>
        <v>JUN'27</v>
      </c>
    </row>
    <row r="82" spans="1:16" x14ac:dyDescent="0.2">
      <c r="A82" t="str">
        <f>TDE!B80</f>
        <v>Staff</v>
      </c>
      <c r="B82">
        <f>TDE!C80</f>
        <v>3</v>
      </c>
      <c r="C82">
        <f>TDE!D80</f>
        <v>3</v>
      </c>
      <c r="D82">
        <f>TDE!E80</f>
        <v>3</v>
      </c>
      <c r="E82">
        <f>TDE!F80</f>
        <v>3</v>
      </c>
      <c r="F82">
        <f>TDE!G80</f>
        <v>3</v>
      </c>
      <c r="G82">
        <f>TDE!H80</f>
        <v>3</v>
      </c>
      <c r="H82">
        <f>TDE!I80</f>
        <v>2</v>
      </c>
      <c r="I82">
        <f>TDE!J80</f>
        <v>2</v>
      </c>
      <c r="J82">
        <f>TDE!K80</f>
        <v>2</v>
      </c>
      <c r="K82">
        <f>TDE!L80</f>
        <v>2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3</v>
      </c>
      <c r="C83">
        <f>TDE!D81</f>
        <v>3</v>
      </c>
      <c r="D83">
        <f>TDE!E81</f>
        <v>3</v>
      </c>
      <c r="E83">
        <f>TDE!F81</f>
        <v>3</v>
      </c>
      <c r="F83">
        <f>TDE!G81</f>
        <v>3</v>
      </c>
      <c r="G83">
        <f>TDE!H81</f>
        <v>3</v>
      </c>
      <c r="H83">
        <f>TDE!I81</f>
        <v>2</v>
      </c>
      <c r="I83">
        <f>TDE!J81</f>
        <v>2</v>
      </c>
      <c r="J83">
        <f>TDE!K81</f>
        <v>2</v>
      </c>
      <c r="K83">
        <f>TDE!L81</f>
        <v>2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57" customFormat="1" x14ac:dyDescent="0.2">
      <c r="A84" s="57" t="s">
        <v>24</v>
      </c>
      <c r="B84" s="58">
        <f>B82-B83</f>
        <v>0</v>
      </c>
      <c r="C84" s="58">
        <f t="shared" ref="C84:P84" si="6">C82-C83</f>
        <v>0</v>
      </c>
      <c r="D84" s="58">
        <f t="shared" si="6"/>
        <v>0</v>
      </c>
      <c r="E84" s="58">
        <f t="shared" si="6"/>
        <v>0</v>
      </c>
      <c r="F84" s="58">
        <f t="shared" si="6"/>
        <v>0</v>
      </c>
      <c r="G84" s="58">
        <f t="shared" si="6"/>
        <v>0</v>
      </c>
      <c r="H84" s="58">
        <f t="shared" si="6"/>
        <v>0</v>
      </c>
      <c r="I84" s="58">
        <f t="shared" si="6"/>
        <v>0</v>
      </c>
      <c r="J84" s="58">
        <f t="shared" si="6"/>
        <v>0</v>
      </c>
      <c r="K84" s="58">
        <f t="shared" si="6"/>
        <v>0</v>
      </c>
      <c r="L84" s="58">
        <f t="shared" si="6"/>
        <v>0</v>
      </c>
      <c r="M84" s="58">
        <f t="shared" si="6"/>
        <v>0</v>
      </c>
      <c r="N84" s="58">
        <f t="shared" si="6"/>
        <v>0</v>
      </c>
      <c r="O84" s="58">
        <f t="shared" si="6"/>
        <v>0</v>
      </c>
      <c r="P84" s="58">
        <f t="shared" si="6"/>
        <v>0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100</v>
      </c>
      <c r="C86" s="50">
        <f>(AVERAGE(E83:G83)/AVERAGE(E82:G82))*100</f>
        <v>100</v>
      </c>
      <c r="D86" s="50">
        <f>(AVERAGE(H83:J83)/AVERAGE(H82:J82))*100</f>
        <v>100</v>
      </c>
      <c r="E86" s="50">
        <f>(AVERAGE(K83:M83)/AVERAGE(K82:M82))*100</f>
        <v>100</v>
      </c>
      <c r="F86" s="50">
        <f>(AVERAGE(N83:P83)/AVERAGE(N82:P82))*100</f>
        <v>100</v>
      </c>
    </row>
    <row r="151" spans="1:16" x14ac:dyDescent="0.2">
      <c r="B151" t="str">
        <f>TDE!C1</f>
        <v>APR</v>
      </c>
      <c r="C151" t="str">
        <f>TDE!D1</f>
        <v>MAY</v>
      </c>
      <c r="D151" t="str">
        <f>TDE!E1</f>
        <v>JUN</v>
      </c>
      <c r="E151" t="str">
        <f>TDE!F1</f>
        <v>JUL</v>
      </c>
      <c r="F151" t="str">
        <f>TDE!G1</f>
        <v>AUG</v>
      </c>
      <c r="G151" t="str">
        <f>TDE!H1</f>
        <v>SEP</v>
      </c>
      <c r="H151" t="str">
        <f>TDE!I1</f>
        <v>OCT</v>
      </c>
      <c r="I151" t="str">
        <f>TDE!J1</f>
        <v>NOV</v>
      </c>
      <c r="J151" t="str">
        <f>TDE!K1</f>
        <v>DEC</v>
      </c>
      <c r="K151" t="str">
        <f>TDE!L1</f>
        <v>JAN'27</v>
      </c>
      <c r="L151" t="str">
        <f>TDE!M1</f>
        <v>FEB'27</v>
      </c>
      <c r="M151" t="str">
        <f>TDE!N1</f>
        <v>MAR'27</v>
      </c>
      <c r="N151" t="str">
        <f>TDE!O1</f>
        <v>APR'27</v>
      </c>
      <c r="O151" t="str">
        <f>TDE!P1</f>
        <v>MAY'27</v>
      </c>
      <c r="P151" t="str">
        <f>TDE!Q1</f>
        <v>JUN'27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Q2</v>
      </c>
      <c r="C155" t="str">
        <f>TDE!D31</f>
        <v>Q3</v>
      </c>
      <c r="D155" t="str">
        <f>TDE!E31</f>
        <v>Q4</v>
      </c>
      <c r="E155" t="str">
        <f>TDE!F31</f>
        <v>Q1'27</v>
      </c>
      <c r="F155" t="str">
        <f>TDE!G31</f>
        <v>Q2'27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workbookViewId="0">
      <pane ySplit="1" topLeftCell="A15" activePane="bottomLeft" state="frozen"/>
      <selection pane="bottomLeft" activeCell="H54" sqref="H54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44" t="s">
        <v>118</v>
      </c>
      <c r="B1" s="74" t="s">
        <v>4</v>
      </c>
      <c r="C1" s="74" t="s">
        <v>5</v>
      </c>
      <c r="D1" s="74" t="s">
        <v>6</v>
      </c>
      <c r="E1" s="3" t="s">
        <v>7</v>
      </c>
      <c r="F1" s="3" t="s">
        <v>8</v>
      </c>
      <c r="G1" s="3" t="s">
        <v>9</v>
      </c>
      <c r="H1" s="4" t="s">
        <v>10</v>
      </c>
      <c r="I1" s="4" t="s">
        <v>11</v>
      </c>
      <c r="J1" s="4" t="s">
        <v>12</v>
      </c>
      <c r="K1" s="5" t="s">
        <v>13</v>
      </c>
      <c r="L1" s="5" t="s">
        <v>14</v>
      </c>
      <c r="M1" s="5" t="s">
        <v>15</v>
      </c>
      <c r="N1" s="75" t="s">
        <v>179</v>
      </c>
      <c r="O1" s="75" t="s">
        <v>180</v>
      </c>
      <c r="P1" s="75" t="s">
        <v>181</v>
      </c>
      <c r="Q1" s="45"/>
      <c r="R1" s="45"/>
      <c r="S1" s="45"/>
      <c r="T1" s="45"/>
      <c r="U1" s="45"/>
      <c r="V1" s="45"/>
    </row>
    <row r="2" spans="1:22" x14ac:dyDescent="0.2">
      <c r="A2" s="7" t="s">
        <v>135</v>
      </c>
      <c r="B2" s="7">
        <v>0.61250000000000004</v>
      </c>
      <c r="C2" s="7">
        <v>0.86250000000000004</v>
      </c>
      <c r="D2" s="7">
        <v>0.66249999999999998</v>
      </c>
      <c r="E2" s="7">
        <v>0.625</v>
      </c>
      <c r="F2" s="7">
        <v>0.55000000000000004</v>
      </c>
      <c r="G2" s="7">
        <v>0.55000000000000004</v>
      </c>
      <c r="H2" s="7">
        <v>0.85</v>
      </c>
      <c r="I2" s="7">
        <v>0.85</v>
      </c>
      <c r="J2" s="7">
        <v>0.85</v>
      </c>
      <c r="K2" s="7">
        <v>0.35</v>
      </c>
      <c r="L2" s="7">
        <v>0.35</v>
      </c>
      <c r="M2" s="7">
        <v>0.35</v>
      </c>
      <c r="N2" s="7">
        <v>0.25</v>
      </c>
      <c r="O2" s="7">
        <v>0.25</v>
      </c>
      <c r="P2" s="7">
        <v>0.25</v>
      </c>
      <c r="Q2" s="7"/>
      <c r="R2" s="7"/>
      <c r="S2" s="47"/>
      <c r="T2" s="7"/>
      <c r="U2" s="7"/>
      <c r="V2" s="47"/>
    </row>
    <row r="3" spans="1:22" x14ac:dyDescent="0.2">
      <c r="A3" s="7" t="s">
        <v>119</v>
      </c>
      <c r="B3" s="7">
        <v>1.83</v>
      </c>
      <c r="C3" s="7">
        <v>1.88</v>
      </c>
      <c r="D3" s="7">
        <v>1.5</v>
      </c>
      <c r="E3" s="7">
        <v>1.35</v>
      </c>
      <c r="F3" s="7">
        <v>1.35</v>
      </c>
      <c r="G3" s="7">
        <v>1.35</v>
      </c>
      <c r="H3" s="7">
        <v>1.4</v>
      </c>
      <c r="I3" s="7">
        <v>1.2</v>
      </c>
      <c r="J3" s="7">
        <v>1.2</v>
      </c>
      <c r="K3" s="7">
        <v>1.2</v>
      </c>
      <c r="L3" s="7">
        <v>1.25</v>
      </c>
      <c r="M3" s="7">
        <v>0.8</v>
      </c>
      <c r="N3" s="7">
        <v>0.75</v>
      </c>
      <c r="O3" s="7">
        <v>0.75</v>
      </c>
      <c r="P3" s="7">
        <v>0.75</v>
      </c>
      <c r="Q3" s="7"/>
      <c r="R3" s="7"/>
      <c r="S3" s="47"/>
      <c r="T3" s="7"/>
      <c r="U3" s="7"/>
      <c r="V3" s="47"/>
    </row>
    <row r="4" spans="1:22" x14ac:dyDescent="0.2">
      <c r="A4" s="7" t="s">
        <v>136</v>
      </c>
      <c r="B4" s="7">
        <v>1.4375</v>
      </c>
      <c r="C4" s="7">
        <v>1.4125000000000001</v>
      </c>
      <c r="D4" s="7">
        <v>1.8625</v>
      </c>
      <c r="E4" s="7">
        <v>1.1000000000000001</v>
      </c>
      <c r="F4" s="7">
        <v>0.95</v>
      </c>
      <c r="G4" s="7">
        <v>0.95</v>
      </c>
      <c r="H4" s="7">
        <v>0.95</v>
      </c>
      <c r="I4" s="7">
        <v>0.95</v>
      </c>
      <c r="J4" s="7">
        <v>0.95</v>
      </c>
      <c r="K4" s="7">
        <v>1.2625</v>
      </c>
      <c r="L4" s="7">
        <v>1.2625</v>
      </c>
      <c r="M4" s="7">
        <v>1.2625</v>
      </c>
      <c r="N4" s="7">
        <v>0.96250000000000002</v>
      </c>
      <c r="O4" s="7">
        <v>0.96250000000000002</v>
      </c>
      <c r="P4" s="7">
        <v>0.96250000000000002</v>
      </c>
      <c r="Q4" s="7"/>
      <c r="R4" s="7"/>
      <c r="S4" s="47"/>
      <c r="T4" s="7"/>
      <c r="U4" s="7"/>
      <c r="V4" s="47"/>
    </row>
    <row r="5" spans="1:22" x14ac:dyDescent="0.2">
      <c r="A5" s="7" t="s">
        <v>137</v>
      </c>
      <c r="B5" s="7">
        <v>2.75</v>
      </c>
      <c r="C5" s="7">
        <v>3.3250000000000002</v>
      </c>
      <c r="D5" s="7">
        <v>4.2549999999999999</v>
      </c>
      <c r="E5" s="7">
        <v>4.1500000000000004</v>
      </c>
      <c r="F5" s="7">
        <v>4.5999999999999996</v>
      </c>
      <c r="G5" s="7">
        <v>4.6500000000000004</v>
      </c>
      <c r="H5" s="7">
        <v>4.3499999999999996</v>
      </c>
      <c r="I5" s="7">
        <v>4.3499999999999996</v>
      </c>
      <c r="J5" s="7">
        <v>4.3499999999999996</v>
      </c>
      <c r="K5" s="7">
        <v>5.0999999999999996</v>
      </c>
      <c r="L5" s="7">
        <v>5.0999999999999996</v>
      </c>
      <c r="M5" s="7">
        <v>5.0999999999999996</v>
      </c>
      <c r="N5" s="7">
        <v>4.8</v>
      </c>
      <c r="O5" s="7">
        <v>4.8</v>
      </c>
      <c r="P5" s="7">
        <v>4.8</v>
      </c>
      <c r="Q5" s="7"/>
      <c r="R5" s="7"/>
      <c r="S5" s="47"/>
      <c r="T5" s="7"/>
      <c r="U5" s="7"/>
      <c r="V5" s="47"/>
    </row>
    <row r="6" spans="1:22" x14ac:dyDescent="0.2">
      <c r="A6" s="7" t="s">
        <v>120</v>
      </c>
      <c r="B6" s="7">
        <v>6.2949999999999999</v>
      </c>
      <c r="C6" s="7">
        <v>5.2750000000000004</v>
      </c>
      <c r="D6" s="7">
        <v>5.4</v>
      </c>
      <c r="E6" s="7">
        <v>4.2862499999999999</v>
      </c>
      <c r="F6" s="7">
        <v>4.7612500000000004</v>
      </c>
      <c r="G6" s="7">
        <v>4.1612499999999999</v>
      </c>
      <c r="H6" s="7">
        <v>4.4112499999999999</v>
      </c>
      <c r="I6" s="7">
        <v>4.5112500000000004</v>
      </c>
      <c r="J6" s="7">
        <v>4.5112500000000004</v>
      </c>
      <c r="K6" s="7">
        <v>3.1112500000000001</v>
      </c>
      <c r="L6" s="7">
        <v>3.1112500000000001</v>
      </c>
      <c r="M6" s="7">
        <v>3.2112500000000002</v>
      </c>
      <c r="N6" s="7">
        <v>2.5362499999999999</v>
      </c>
      <c r="O6" s="7">
        <v>2.5362499999999999</v>
      </c>
      <c r="P6" s="7">
        <v>2.5362499999999999</v>
      </c>
      <c r="Q6" s="7"/>
      <c r="R6" s="7"/>
      <c r="S6" s="47"/>
      <c r="T6" s="7"/>
      <c r="U6" s="7"/>
      <c r="V6" s="47"/>
    </row>
    <row r="7" spans="1:22" x14ac:dyDescent="0.2">
      <c r="A7" s="7" t="s">
        <v>128</v>
      </c>
      <c r="B7" s="7">
        <v>7.7</v>
      </c>
      <c r="C7" s="7">
        <v>7.875</v>
      </c>
      <c r="D7" s="7">
        <v>7.875</v>
      </c>
      <c r="E7" s="7">
        <v>8.0574999999999992</v>
      </c>
      <c r="F7" s="7">
        <v>7.5575000000000001</v>
      </c>
      <c r="G7" s="7">
        <v>7.7374999999999998</v>
      </c>
      <c r="H7" s="7">
        <v>8.2750000000000004</v>
      </c>
      <c r="I7" s="7">
        <v>8.1374999999999993</v>
      </c>
      <c r="J7" s="7">
        <v>8.4375</v>
      </c>
      <c r="K7" s="7">
        <v>8.2750000000000004</v>
      </c>
      <c r="L7" s="7">
        <v>8.1374999999999993</v>
      </c>
      <c r="M7" s="7">
        <v>8.1374999999999993</v>
      </c>
      <c r="N7" s="7">
        <v>7.1749999999999998</v>
      </c>
      <c r="O7" s="7">
        <v>7.0374999999999996</v>
      </c>
      <c r="P7" s="7">
        <v>7.0374999999999996</v>
      </c>
      <c r="Q7" s="7"/>
      <c r="R7" s="7"/>
      <c r="S7" s="47"/>
      <c r="T7" s="7"/>
      <c r="U7" s="7"/>
      <c r="V7" s="47"/>
    </row>
    <row r="9" spans="1:22" x14ac:dyDescent="0.2">
      <c r="A9" s="48" t="s">
        <v>99</v>
      </c>
    </row>
    <row r="11" spans="1:22" x14ac:dyDescent="0.2">
      <c r="A11" s="77" t="s">
        <v>90</v>
      </c>
      <c r="B11" s="44" t="s">
        <v>101</v>
      </c>
      <c r="C11" s="44" t="s">
        <v>30</v>
      </c>
      <c r="D11" s="44" t="s">
        <v>102</v>
      </c>
      <c r="E11" s="44" t="s">
        <v>103</v>
      </c>
      <c r="F11" s="44" t="s">
        <v>104</v>
      </c>
      <c r="G11" s="44" t="s">
        <v>105</v>
      </c>
      <c r="H11" s="44" t="s">
        <v>106</v>
      </c>
      <c r="I11" s="44" t="s">
        <v>107</v>
      </c>
      <c r="J11" s="44" t="s">
        <v>108</v>
      </c>
      <c r="K11" s="44" t="s">
        <v>109</v>
      </c>
      <c r="L11" s="44" t="s">
        <v>110</v>
      </c>
      <c r="M11" s="44" t="s">
        <v>111</v>
      </c>
      <c r="N11" s="44" t="s">
        <v>112</v>
      </c>
      <c r="O11" s="44" t="s">
        <v>113</v>
      </c>
      <c r="P11" s="44" t="s">
        <v>114</v>
      </c>
      <c r="Q11" s="44" t="s">
        <v>115</v>
      </c>
      <c r="R11" s="44" t="s">
        <v>116</v>
      </c>
      <c r="S11" s="44" t="s">
        <v>117</v>
      </c>
      <c r="T11" s="44" t="s">
        <v>76</v>
      </c>
    </row>
    <row r="12" spans="1:22" x14ac:dyDescent="0.2">
      <c r="A12" s="7" t="s">
        <v>91</v>
      </c>
      <c r="B12" s="7">
        <v>216</v>
      </c>
      <c r="C12" s="7">
        <v>0</v>
      </c>
      <c r="D12" s="7">
        <v>0</v>
      </c>
      <c r="E12" s="7">
        <v>216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</row>
    <row r="13" spans="1:22" x14ac:dyDescent="0.2">
      <c r="A13" s="7" t="s">
        <v>92</v>
      </c>
      <c r="B13" s="7">
        <v>162.78</v>
      </c>
      <c r="C13" s="7">
        <v>3.6</v>
      </c>
      <c r="D13" s="7">
        <v>0</v>
      </c>
      <c r="E13" s="7">
        <v>46.3</v>
      </c>
      <c r="F13" s="7">
        <v>2.2999999999999998</v>
      </c>
      <c r="G13" s="7">
        <v>0</v>
      </c>
      <c r="H13" s="7">
        <v>1.05</v>
      </c>
      <c r="I13" s="7">
        <v>1.35</v>
      </c>
      <c r="J13" s="7">
        <v>0</v>
      </c>
      <c r="K13" s="7">
        <v>7.6</v>
      </c>
      <c r="L13" s="7">
        <v>12</v>
      </c>
      <c r="M13" s="7">
        <v>83.45</v>
      </c>
      <c r="N13" s="7">
        <v>5.13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</row>
    <row r="14" spans="1:22" x14ac:dyDescent="0.2">
      <c r="A14" s="7" t="s">
        <v>291</v>
      </c>
      <c r="B14" s="7">
        <v>63.6</v>
      </c>
      <c r="C14" s="7">
        <v>0</v>
      </c>
      <c r="D14" s="7">
        <v>61.8</v>
      </c>
      <c r="E14" s="7">
        <v>0</v>
      </c>
      <c r="F14" s="7">
        <v>0</v>
      </c>
      <c r="G14" s="7">
        <v>0.6</v>
      </c>
      <c r="H14" s="7">
        <v>0</v>
      </c>
      <c r="I14" s="7">
        <v>1.2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</row>
    <row r="15" spans="1:22" x14ac:dyDescent="0.2">
      <c r="A15" s="7" t="s">
        <v>93</v>
      </c>
      <c r="B15" s="7">
        <v>51.075000000000003</v>
      </c>
      <c r="C15" s="7">
        <v>0.9</v>
      </c>
      <c r="D15" s="7">
        <v>0</v>
      </c>
      <c r="E15" s="7">
        <v>22.8</v>
      </c>
      <c r="F15" s="7">
        <v>1.875</v>
      </c>
      <c r="G15" s="7">
        <v>0</v>
      </c>
      <c r="H15" s="7">
        <v>0</v>
      </c>
      <c r="I15" s="7">
        <v>0</v>
      </c>
      <c r="J15" s="7">
        <v>0</v>
      </c>
      <c r="K15" s="7">
        <v>1.8</v>
      </c>
      <c r="L15" s="7">
        <v>7.7</v>
      </c>
      <c r="M15" s="7">
        <v>16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</row>
    <row r="16" spans="1:22" x14ac:dyDescent="0.2">
      <c r="A16" s="7" t="s">
        <v>129</v>
      </c>
      <c r="B16" s="7">
        <v>35.454999999999998</v>
      </c>
      <c r="C16" s="7">
        <v>0</v>
      </c>
      <c r="D16" s="7">
        <v>0</v>
      </c>
      <c r="E16" s="7">
        <v>7.2</v>
      </c>
      <c r="F16" s="7">
        <v>0.375</v>
      </c>
      <c r="G16" s="7">
        <v>0</v>
      </c>
      <c r="H16" s="7">
        <v>1.8</v>
      </c>
      <c r="I16" s="7">
        <v>0.65</v>
      </c>
      <c r="J16" s="7">
        <v>0</v>
      </c>
      <c r="K16" s="7">
        <v>1.65</v>
      </c>
      <c r="L16" s="7">
        <v>7.2</v>
      </c>
      <c r="M16" s="7">
        <v>5.4</v>
      </c>
      <c r="N16" s="7">
        <v>0</v>
      </c>
      <c r="O16" s="7">
        <v>0</v>
      </c>
      <c r="P16" s="7">
        <v>0</v>
      </c>
      <c r="Q16" s="7">
        <v>0</v>
      </c>
      <c r="R16" s="7">
        <v>11.18</v>
      </c>
      <c r="S16" s="7">
        <v>0</v>
      </c>
      <c r="T16" s="7">
        <v>0</v>
      </c>
    </row>
    <row r="17" spans="1:17" x14ac:dyDescent="0.2">
      <c r="A17" s="7" t="s">
        <v>292</v>
      </c>
    </row>
    <row r="19" spans="1:17" x14ac:dyDescent="0.2">
      <c r="A19" s="76" t="s">
        <v>100</v>
      </c>
    </row>
    <row r="21" spans="1:17" x14ac:dyDescent="0.2">
      <c r="A21" s="44" t="s">
        <v>90</v>
      </c>
      <c r="B21" s="78" t="s">
        <v>94</v>
      </c>
      <c r="C21" s="78" t="s">
        <v>95</v>
      </c>
      <c r="D21" s="78" t="s">
        <v>96</v>
      </c>
      <c r="E21" s="78" t="s">
        <v>97</v>
      </c>
      <c r="F21" s="78" t="s">
        <v>98</v>
      </c>
      <c r="G21" s="45"/>
      <c r="H21" s="45"/>
      <c r="I21" s="45"/>
      <c r="K21" s="45"/>
      <c r="L21" s="45"/>
      <c r="M21" s="45"/>
      <c r="N21" s="45"/>
      <c r="Q21" s="45"/>
    </row>
    <row r="22" spans="1:17" x14ac:dyDescent="0.2">
      <c r="A22" s="7" t="s">
        <v>91</v>
      </c>
      <c r="B22" s="79"/>
      <c r="C22" s="79"/>
      <c r="D22" s="79"/>
      <c r="E22" s="79"/>
      <c r="F22" s="79">
        <v>198.06</v>
      </c>
      <c r="G22" s="7"/>
      <c r="H22" s="7"/>
      <c r="I22" s="7"/>
      <c r="K22" s="7"/>
      <c r="L22" s="7"/>
      <c r="M22" s="7"/>
      <c r="N22" s="7"/>
      <c r="Q22" s="7"/>
    </row>
    <row r="23" spans="1:17" x14ac:dyDescent="0.2">
      <c r="A23" s="7" t="s">
        <v>92</v>
      </c>
      <c r="B23" s="79">
        <v>1.65</v>
      </c>
      <c r="C23" s="79">
        <v>110.52500000000001</v>
      </c>
      <c r="D23" s="79">
        <v>5.04</v>
      </c>
      <c r="E23" s="79">
        <v>0.6</v>
      </c>
      <c r="F23" s="79"/>
      <c r="G23" s="7"/>
      <c r="H23" s="7"/>
      <c r="I23" s="7"/>
      <c r="K23" s="7"/>
      <c r="L23" s="7"/>
      <c r="M23" s="7"/>
      <c r="N23" s="7"/>
      <c r="Q23" s="7"/>
    </row>
    <row r="24" spans="1:17" x14ac:dyDescent="0.2">
      <c r="A24" s="7" t="s">
        <v>291</v>
      </c>
      <c r="B24" s="7">
        <v>0.3</v>
      </c>
      <c r="C24" s="7">
        <v>48.756250000000001</v>
      </c>
      <c r="D24" s="80">
        <v>3.4649999999999999</v>
      </c>
      <c r="E24" s="7">
        <v>1.25</v>
      </c>
      <c r="F24" s="7"/>
      <c r="G24" s="7"/>
      <c r="H24" s="7"/>
      <c r="I24" s="7"/>
      <c r="K24" s="7"/>
      <c r="L24" s="7"/>
      <c r="M24" s="7"/>
      <c r="N24" s="7"/>
      <c r="Q24" s="7"/>
    </row>
    <row r="25" spans="1:17" x14ac:dyDescent="0.2">
      <c r="A25" s="7" t="s">
        <v>93</v>
      </c>
      <c r="B25" s="7"/>
      <c r="C25" s="7">
        <v>30.484999999999999</v>
      </c>
      <c r="D25" s="7"/>
      <c r="E25" s="7"/>
      <c r="F25" s="7">
        <v>21.01</v>
      </c>
      <c r="G25" s="7"/>
      <c r="H25" s="7"/>
      <c r="I25" s="7"/>
      <c r="K25" s="7"/>
      <c r="L25" s="7"/>
      <c r="M25" s="7"/>
      <c r="N25" s="7"/>
      <c r="Q25" s="7"/>
    </row>
    <row r="26" spans="1:17" x14ac:dyDescent="0.2">
      <c r="A26" s="7" t="s">
        <v>129</v>
      </c>
      <c r="B26" s="7"/>
      <c r="C26" s="7"/>
      <c r="D26" s="7"/>
      <c r="E26" s="7"/>
      <c r="F26" s="7">
        <v>27.8</v>
      </c>
      <c r="G26" s="7"/>
      <c r="H26" s="7"/>
      <c r="I26" s="7"/>
      <c r="K26" s="7"/>
      <c r="L26" s="7"/>
      <c r="M26" s="7"/>
      <c r="N26" s="7"/>
      <c r="Q26" s="7"/>
    </row>
    <row r="27" spans="1:17" x14ac:dyDescent="0.2">
      <c r="A27" s="7" t="s">
        <v>293</v>
      </c>
      <c r="B27" s="7"/>
      <c r="C27" s="7">
        <v>23.375</v>
      </c>
      <c r="D27" s="7"/>
      <c r="E27" s="7">
        <v>0.21</v>
      </c>
      <c r="F27" s="7"/>
      <c r="H27" s="7"/>
    </row>
    <row r="30" spans="1:17" x14ac:dyDescent="0.2">
      <c r="B30" s="46" t="s">
        <v>1</v>
      </c>
      <c r="C30" s="46" t="s">
        <v>2</v>
      </c>
      <c r="D30" s="46" t="s">
        <v>3</v>
      </c>
      <c r="E30" s="46" t="s">
        <v>4</v>
      </c>
      <c r="F30" s="46" t="s">
        <v>5</v>
      </c>
      <c r="G30" s="46" t="s">
        <v>6</v>
      </c>
      <c r="H30" s="46" t="s">
        <v>7</v>
      </c>
      <c r="I30" s="46" t="s">
        <v>8</v>
      </c>
      <c r="J30" s="46" t="s">
        <v>9</v>
      </c>
      <c r="K30" s="46" t="s">
        <v>10</v>
      </c>
      <c r="L30" s="46" t="s">
        <v>11</v>
      </c>
      <c r="M30" s="46" t="s">
        <v>12</v>
      </c>
      <c r="N30" s="16"/>
      <c r="O30" s="16"/>
      <c r="P30" s="16"/>
    </row>
    <row r="31" spans="1:17" s="63" customFormat="1" ht="15" x14ac:dyDescent="0.2">
      <c r="A31" s="69" t="s">
        <v>18</v>
      </c>
      <c r="B31" s="64">
        <f t="shared" ref="B31:M31" si="0">SUM(B32,B33)</f>
        <v>2717433</v>
      </c>
      <c r="C31" s="64">
        <f t="shared" si="0"/>
        <v>6209433</v>
      </c>
      <c r="D31" s="64">
        <f t="shared" si="0"/>
        <v>13563433</v>
      </c>
      <c r="E31" s="64">
        <f t="shared" si="0"/>
        <v>7233433</v>
      </c>
      <c r="F31" s="64">
        <f t="shared" si="0"/>
        <v>7406433</v>
      </c>
      <c r="G31" s="64">
        <f t="shared" si="0"/>
        <v>19319433</v>
      </c>
      <c r="H31" s="64">
        <f t="shared" si="0"/>
        <v>13479433</v>
      </c>
      <c r="I31" s="64">
        <f t="shared" si="0"/>
        <v>10679433</v>
      </c>
      <c r="J31" s="64">
        <f t="shared" si="0"/>
        <v>18089433</v>
      </c>
      <c r="K31" s="64">
        <f t="shared" si="0"/>
        <v>16179433</v>
      </c>
      <c r="L31" s="64">
        <f t="shared" si="0"/>
        <v>14539433</v>
      </c>
      <c r="M31" s="64">
        <f t="shared" si="0"/>
        <v>19853233</v>
      </c>
    </row>
    <row r="32" spans="1:17" s="62" customFormat="1" ht="15" x14ac:dyDescent="0.2">
      <c r="A32" s="66" t="s">
        <v>124</v>
      </c>
      <c r="B32" s="65">
        <v>1787433</v>
      </c>
      <c r="C32" s="65">
        <v>4779433</v>
      </c>
      <c r="D32" s="65">
        <v>7833433</v>
      </c>
      <c r="E32" s="65">
        <v>5233433</v>
      </c>
      <c r="F32" s="65">
        <v>4206433</v>
      </c>
      <c r="G32" s="65">
        <v>14379433</v>
      </c>
      <c r="H32" s="65">
        <v>9279433</v>
      </c>
      <c r="I32" s="65">
        <v>6279433</v>
      </c>
      <c r="J32" s="65">
        <v>10379433</v>
      </c>
      <c r="K32" s="65">
        <v>11279433</v>
      </c>
      <c r="L32" s="65">
        <v>4379433</v>
      </c>
      <c r="M32" s="65">
        <v>10453233</v>
      </c>
    </row>
    <row r="33" spans="1:13" s="62" customFormat="1" ht="15" x14ac:dyDescent="0.2">
      <c r="A33" s="66" t="s">
        <v>125</v>
      </c>
      <c r="B33" s="65">
        <v>930000</v>
      </c>
      <c r="C33" s="65">
        <v>1430000</v>
      </c>
      <c r="D33" s="65">
        <v>5730000</v>
      </c>
      <c r="E33" s="65">
        <v>2000000</v>
      </c>
      <c r="F33" s="65">
        <v>3200000</v>
      </c>
      <c r="G33" s="65">
        <v>4940000</v>
      </c>
      <c r="H33" s="65">
        <v>4200000</v>
      </c>
      <c r="I33" s="65">
        <v>4400000</v>
      </c>
      <c r="J33" s="65">
        <v>7710000</v>
      </c>
      <c r="K33" s="65">
        <v>4900000</v>
      </c>
      <c r="L33" s="65">
        <v>10160000</v>
      </c>
      <c r="M33" s="65">
        <v>9400000</v>
      </c>
    </row>
    <row r="34" spans="1:13" s="63" customFormat="1" ht="15" x14ac:dyDescent="0.2">
      <c r="A34" s="68" t="s">
        <v>121</v>
      </c>
      <c r="B34" s="64">
        <f>SUM(B35,B36)</f>
        <v>1049908</v>
      </c>
      <c r="C34" s="64">
        <f t="shared" ref="C34:E34" si="1">SUM(C35,C36)</f>
        <v>6155989</v>
      </c>
      <c r="D34" s="64">
        <f t="shared" si="1"/>
        <v>9094371</v>
      </c>
      <c r="E34" s="64">
        <f t="shared" si="1"/>
        <v>6308025</v>
      </c>
      <c r="F34" s="64">
        <v>6214287</v>
      </c>
      <c r="G34" s="64">
        <v>12403326</v>
      </c>
    </row>
    <row r="35" spans="1:13" s="62" customFormat="1" ht="15" x14ac:dyDescent="0.2">
      <c r="A35" s="67" t="s">
        <v>126</v>
      </c>
      <c r="B35" s="65">
        <v>1002658</v>
      </c>
      <c r="C35" s="65">
        <v>5710093</v>
      </c>
      <c r="D35" s="65">
        <v>8544505</v>
      </c>
      <c r="E35" s="65">
        <v>4855248</v>
      </c>
      <c r="F35" s="65">
        <v>4826028</v>
      </c>
      <c r="G35" s="65">
        <v>11323054</v>
      </c>
    </row>
    <row r="36" spans="1:13" s="62" customFormat="1" ht="15" x14ac:dyDescent="0.2">
      <c r="A36" s="67" t="s">
        <v>127</v>
      </c>
      <c r="B36" s="65">
        <v>47250</v>
      </c>
      <c r="C36" s="65">
        <v>445896</v>
      </c>
      <c r="D36" s="65">
        <v>549866</v>
      </c>
      <c r="E36" s="65">
        <v>1452777</v>
      </c>
      <c r="F36" s="65">
        <v>1388259</v>
      </c>
      <c r="G36" s="65">
        <v>1080272</v>
      </c>
    </row>
    <row r="40" spans="1:13" s="70" customFormat="1" x14ac:dyDescent="0.2">
      <c r="B40" s="70" t="str">
        <f>B30</f>
        <v>JAN</v>
      </c>
      <c r="C40" s="70" t="str">
        <f t="shared" ref="C40:M40" si="2">C30</f>
        <v>FEB</v>
      </c>
      <c r="D40" s="70" t="str">
        <f t="shared" si="2"/>
        <v>MAR</v>
      </c>
      <c r="E40" s="70" t="str">
        <f t="shared" si="2"/>
        <v>APR</v>
      </c>
      <c r="F40" s="70" t="str">
        <f t="shared" si="2"/>
        <v>MAY</v>
      </c>
      <c r="G40" s="70" t="str">
        <f t="shared" si="2"/>
        <v>JUN</v>
      </c>
      <c r="H40" s="70" t="str">
        <f t="shared" si="2"/>
        <v>JUL</v>
      </c>
      <c r="I40" s="70" t="str">
        <f t="shared" si="2"/>
        <v>AUG</v>
      </c>
      <c r="J40" s="70" t="str">
        <f t="shared" si="2"/>
        <v>SEP</v>
      </c>
      <c r="K40" s="70" t="str">
        <f t="shared" si="2"/>
        <v>OCT</v>
      </c>
      <c r="L40" s="70" t="str">
        <f t="shared" si="2"/>
        <v>NOV</v>
      </c>
      <c r="M40" s="70" t="str">
        <f t="shared" si="2"/>
        <v>DEC</v>
      </c>
    </row>
    <row r="41" spans="1:13" s="70" customFormat="1" x14ac:dyDescent="0.2">
      <c r="A41" s="70" t="str">
        <f>A31</f>
        <v>Plan</v>
      </c>
      <c r="B41" s="71">
        <f>B31/1000000</f>
        <v>2.7174330000000002</v>
      </c>
      <c r="C41" s="71">
        <f t="shared" ref="C41:M41" si="3">C31/1000000</f>
        <v>6.2094329999999998</v>
      </c>
      <c r="D41" s="71">
        <f t="shared" si="3"/>
        <v>13.563433</v>
      </c>
      <c r="E41" s="71">
        <f t="shared" si="3"/>
        <v>7.2334329999999998</v>
      </c>
      <c r="F41" s="71">
        <f t="shared" si="3"/>
        <v>7.4064329999999998</v>
      </c>
      <c r="G41" s="71">
        <f t="shared" si="3"/>
        <v>19.319433</v>
      </c>
      <c r="H41" s="71">
        <f t="shared" si="3"/>
        <v>13.479433</v>
      </c>
      <c r="I41" s="71">
        <f t="shared" si="3"/>
        <v>10.679433</v>
      </c>
      <c r="J41" s="71">
        <f t="shared" si="3"/>
        <v>18.089433</v>
      </c>
      <c r="K41" s="71">
        <f t="shared" si="3"/>
        <v>16.179433</v>
      </c>
      <c r="L41" s="71">
        <f t="shared" si="3"/>
        <v>14.539433000000001</v>
      </c>
      <c r="M41" s="71">
        <f t="shared" si="3"/>
        <v>19.853232999999999</v>
      </c>
    </row>
    <row r="42" spans="1:13" s="70" customFormat="1" x14ac:dyDescent="0.2">
      <c r="A42" s="70" t="str">
        <f>A34</f>
        <v>Actual</v>
      </c>
      <c r="B42" s="71">
        <f>B34/1000000</f>
        <v>1.0499080000000001</v>
      </c>
      <c r="C42" s="71">
        <f t="shared" ref="C42:F42" si="4">C34/1000000</f>
        <v>6.1559889999999999</v>
      </c>
      <c r="D42" s="71">
        <f t="shared" si="4"/>
        <v>9.0943710000000006</v>
      </c>
      <c r="E42" s="71">
        <f t="shared" si="4"/>
        <v>6.3080249999999998</v>
      </c>
      <c r="F42" s="71">
        <f t="shared" si="4"/>
        <v>6.2142869999999997</v>
      </c>
      <c r="G42" s="71">
        <f>G34/1000000</f>
        <v>12.403326</v>
      </c>
      <c r="H42" s="71"/>
      <c r="I42" s="71"/>
      <c r="J42" s="71"/>
      <c r="K42" s="71"/>
      <c r="L42" s="71"/>
      <c r="M42" s="71"/>
    </row>
    <row r="43" spans="1:13" s="70" customFormat="1" x14ac:dyDescent="0.2">
      <c r="A43" s="70" t="str">
        <f>A32</f>
        <v>Plan-PS</v>
      </c>
      <c r="B43" s="71">
        <f>B32/1000000</f>
        <v>1.787433</v>
      </c>
      <c r="C43" s="71">
        <f t="shared" ref="C43:M43" si="5">C32/1000000</f>
        <v>4.779433</v>
      </c>
      <c r="D43" s="71">
        <f t="shared" si="5"/>
        <v>7.8334330000000003</v>
      </c>
      <c r="E43" s="71">
        <f t="shared" si="5"/>
        <v>5.2334329999999998</v>
      </c>
      <c r="F43" s="71">
        <f t="shared" si="5"/>
        <v>4.2064329999999996</v>
      </c>
      <c r="G43" s="71">
        <f t="shared" si="5"/>
        <v>14.379433000000001</v>
      </c>
      <c r="H43" s="71">
        <f t="shared" si="5"/>
        <v>9.2794329999999992</v>
      </c>
      <c r="I43" s="71">
        <f t="shared" si="5"/>
        <v>6.279433</v>
      </c>
      <c r="J43" s="71">
        <f t="shared" si="5"/>
        <v>10.379433000000001</v>
      </c>
      <c r="K43" s="71">
        <f t="shared" si="5"/>
        <v>11.279432999999999</v>
      </c>
      <c r="L43" s="71">
        <f t="shared" si="5"/>
        <v>4.3794329999999997</v>
      </c>
      <c r="M43" s="71">
        <f t="shared" si="5"/>
        <v>10.453233000000001</v>
      </c>
    </row>
    <row r="44" spans="1:13" s="70" customFormat="1" x14ac:dyDescent="0.2">
      <c r="A44" s="70" t="str">
        <f>A35</f>
        <v>Actual-PS</v>
      </c>
      <c r="B44" s="71">
        <f>B35/1000000</f>
        <v>1.002658</v>
      </c>
      <c r="C44" s="71">
        <f t="shared" ref="C44:G44" si="6">C35/1000000</f>
        <v>5.7100929999999996</v>
      </c>
      <c r="D44" s="71">
        <f t="shared" si="6"/>
        <v>8.5445049999999991</v>
      </c>
      <c r="E44" s="71">
        <f t="shared" si="6"/>
        <v>4.8552479999999996</v>
      </c>
      <c r="F44" s="71">
        <f t="shared" si="6"/>
        <v>4.826028</v>
      </c>
      <c r="G44" s="71">
        <f t="shared" si="6"/>
        <v>11.323054000000001</v>
      </c>
      <c r="H44" s="71"/>
      <c r="I44" s="71"/>
      <c r="J44" s="71"/>
      <c r="K44" s="71"/>
      <c r="L44" s="71"/>
      <c r="M44" s="71"/>
    </row>
    <row r="45" spans="1:13" s="70" customFormat="1" x14ac:dyDescent="0.2">
      <c r="A45" s="70" t="str">
        <f>A33</f>
        <v>Plan-PD</v>
      </c>
      <c r="B45" s="71">
        <f>B33/1000000</f>
        <v>0.93</v>
      </c>
      <c r="C45" s="71">
        <f t="shared" ref="C45:M45" si="7">C33/1000000</f>
        <v>1.43</v>
      </c>
      <c r="D45" s="71">
        <f t="shared" si="7"/>
        <v>5.73</v>
      </c>
      <c r="E45" s="71">
        <f t="shared" si="7"/>
        <v>2</v>
      </c>
      <c r="F45" s="71">
        <f t="shared" si="7"/>
        <v>3.2</v>
      </c>
      <c r="G45" s="71">
        <f t="shared" si="7"/>
        <v>4.9400000000000004</v>
      </c>
      <c r="H45" s="71">
        <f t="shared" si="7"/>
        <v>4.2</v>
      </c>
      <c r="I45" s="71">
        <f t="shared" si="7"/>
        <v>4.4000000000000004</v>
      </c>
      <c r="J45" s="71">
        <f t="shared" si="7"/>
        <v>7.71</v>
      </c>
      <c r="K45" s="71">
        <f t="shared" si="7"/>
        <v>4.9000000000000004</v>
      </c>
      <c r="L45" s="71">
        <f t="shared" si="7"/>
        <v>10.16</v>
      </c>
      <c r="M45" s="71">
        <f t="shared" si="7"/>
        <v>9.4</v>
      </c>
    </row>
    <row r="46" spans="1:13" s="70" customFormat="1" x14ac:dyDescent="0.2">
      <c r="A46" s="70" t="str">
        <f>A36</f>
        <v>Actual-PD</v>
      </c>
      <c r="B46" s="71">
        <f>B36/1000000</f>
        <v>4.725E-2</v>
      </c>
      <c r="C46" s="71">
        <f t="shared" ref="C46:G46" si="8">C36/1000000</f>
        <v>0.44589600000000001</v>
      </c>
      <c r="D46" s="71">
        <f t="shared" si="8"/>
        <v>0.54986599999999997</v>
      </c>
      <c r="E46" s="71">
        <f t="shared" si="8"/>
        <v>1.452777</v>
      </c>
      <c r="F46" s="71">
        <f t="shared" si="8"/>
        <v>1.3882589999999999</v>
      </c>
      <c r="G46" s="71">
        <f t="shared" si="8"/>
        <v>1.0802719999999999</v>
      </c>
      <c r="H46" s="71"/>
      <c r="I46" s="71"/>
      <c r="J46" s="71"/>
      <c r="K46" s="71"/>
      <c r="L46" s="71"/>
      <c r="M46" s="71"/>
    </row>
    <row r="47" spans="1:13" s="70" customFormat="1" x14ac:dyDescent="0.2"/>
    <row r="48" spans="1:13" s="70" customFormat="1" x14ac:dyDescent="0.2"/>
    <row r="49" spans="1:16" s="70" customFormat="1" x14ac:dyDescent="0.2"/>
    <row r="50" spans="1:16" s="70" customFormat="1" x14ac:dyDescent="0.2"/>
    <row r="51" spans="1:16" s="70" customFormat="1" x14ac:dyDescent="0.2">
      <c r="B51" s="100" t="s">
        <v>1</v>
      </c>
      <c r="C51" s="100" t="s">
        <v>2</v>
      </c>
      <c r="D51" s="100" t="s">
        <v>3</v>
      </c>
      <c r="E51" s="100" t="s">
        <v>4</v>
      </c>
      <c r="F51" s="100" t="s">
        <v>5</v>
      </c>
      <c r="G51" s="100" t="s">
        <v>6</v>
      </c>
      <c r="H51" s="100" t="s">
        <v>7</v>
      </c>
      <c r="I51" s="100" t="s">
        <v>8</v>
      </c>
      <c r="J51" s="100" t="s">
        <v>9</v>
      </c>
      <c r="K51" s="100" t="s">
        <v>10</v>
      </c>
      <c r="L51" s="100" t="s">
        <v>11</v>
      </c>
      <c r="M51" s="100" t="s">
        <v>12</v>
      </c>
    </row>
    <row r="52" spans="1:16" s="70" customFormat="1" x14ac:dyDescent="0.2">
      <c r="A52" s="70" t="str">
        <f>A41</f>
        <v>Plan</v>
      </c>
      <c r="B52" s="100">
        <v>2.72</v>
      </c>
      <c r="C52" s="100">
        <v>6.21</v>
      </c>
      <c r="D52" s="100">
        <v>13.56</v>
      </c>
      <c r="E52" s="100">
        <v>7.23</v>
      </c>
      <c r="F52" s="100">
        <v>7.41</v>
      </c>
      <c r="G52" s="100">
        <v>19.32</v>
      </c>
      <c r="H52" s="100">
        <v>13.48</v>
      </c>
      <c r="I52" s="100">
        <v>10.68</v>
      </c>
      <c r="J52" s="100">
        <v>18.09</v>
      </c>
      <c r="K52" s="100">
        <v>16.18</v>
      </c>
      <c r="L52" s="100">
        <v>14.54</v>
      </c>
      <c r="M52" s="100">
        <v>19.850000000000001</v>
      </c>
    </row>
    <row r="53" spans="1:16" s="70" customFormat="1" x14ac:dyDescent="0.2">
      <c r="A53" s="70" t="str">
        <f t="shared" ref="A53:A57" si="9">A42</f>
        <v>Actual</v>
      </c>
      <c r="B53" s="100">
        <v>1.05</v>
      </c>
      <c r="C53" s="100">
        <v>6.16</v>
      </c>
      <c r="D53" s="100">
        <v>9.09</v>
      </c>
      <c r="E53" s="100">
        <v>6.31</v>
      </c>
      <c r="F53" s="100">
        <v>6.21</v>
      </c>
      <c r="G53" s="100">
        <v>12.4</v>
      </c>
      <c r="H53" s="100"/>
      <c r="I53" s="100"/>
      <c r="J53" s="100"/>
      <c r="K53" s="100"/>
      <c r="L53" s="100"/>
      <c r="M53" s="100"/>
    </row>
    <row r="54" spans="1:16" s="70" customFormat="1" x14ac:dyDescent="0.2">
      <c r="A54" s="70" t="str">
        <f t="shared" si="9"/>
        <v>Plan-PS</v>
      </c>
      <c r="B54" s="100">
        <v>1.79</v>
      </c>
      <c r="C54" s="100">
        <v>4.78</v>
      </c>
      <c r="D54" s="100">
        <v>7.83</v>
      </c>
      <c r="E54" s="100">
        <v>5.23</v>
      </c>
      <c r="F54" s="100">
        <v>4.21</v>
      </c>
      <c r="G54" s="100">
        <v>14.38</v>
      </c>
      <c r="H54" s="100">
        <v>9.2799999999999994</v>
      </c>
      <c r="I54" s="100">
        <v>6.28</v>
      </c>
      <c r="J54" s="100">
        <v>10.38</v>
      </c>
      <c r="K54" s="100">
        <v>11.28</v>
      </c>
      <c r="L54" s="100">
        <v>4.38</v>
      </c>
      <c r="M54" s="100">
        <v>10.45</v>
      </c>
    </row>
    <row r="55" spans="1:16" s="70" customFormat="1" x14ac:dyDescent="0.2">
      <c r="A55" s="70" t="str">
        <f t="shared" si="9"/>
        <v>Actual-PS</v>
      </c>
      <c r="B55" s="100">
        <v>1</v>
      </c>
      <c r="C55" s="100">
        <v>5.71</v>
      </c>
      <c r="D55" s="100">
        <v>8.5399999999999991</v>
      </c>
      <c r="E55" s="100">
        <v>4.8600000000000003</v>
      </c>
      <c r="F55" s="100">
        <v>4.83</v>
      </c>
      <c r="G55" s="100">
        <v>11.32</v>
      </c>
      <c r="H55" s="100"/>
      <c r="I55" s="100"/>
      <c r="J55" s="100"/>
      <c r="K55" s="100"/>
      <c r="L55" s="100"/>
      <c r="M55" s="100"/>
    </row>
    <row r="56" spans="1:16" s="70" customFormat="1" x14ac:dyDescent="0.2">
      <c r="A56" s="70" t="str">
        <f t="shared" si="9"/>
        <v>Plan-PD</v>
      </c>
      <c r="B56" s="100">
        <v>0.93</v>
      </c>
      <c r="C56" s="100">
        <v>1.43</v>
      </c>
      <c r="D56" s="100">
        <v>5.73</v>
      </c>
      <c r="E56" s="100">
        <v>2</v>
      </c>
      <c r="F56" s="100">
        <v>3.2</v>
      </c>
      <c r="G56" s="100">
        <v>4.9400000000000004</v>
      </c>
      <c r="H56" s="100">
        <v>4.2</v>
      </c>
      <c r="I56" s="100">
        <v>4.4000000000000004</v>
      </c>
      <c r="J56" s="100">
        <v>7.71</v>
      </c>
      <c r="K56" s="100">
        <v>4.9000000000000004</v>
      </c>
      <c r="L56" s="100">
        <v>10.16</v>
      </c>
      <c r="M56" s="100">
        <v>9.4</v>
      </c>
    </row>
    <row r="57" spans="1:16" s="70" customFormat="1" x14ac:dyDescent="0.2">
      <c r="A57" s="70" t="str">
        <f t="shared" si="9"/>
        <v>Actual-PD</v>
      </c>
      <c r="B57" s="100">
        <v>0.05</v>
      </c>
      <c r="C57" s="100">
        <v>0.45</v>
      </c>
      <c r="D57" s="100">
        <v>0.55000000000000004</v>
      </c>
      <c r="E57" s="100">
        <v>1.45</v>
      </c>
      <c r="F57" s="100">
        <v>1.39</v>
      </c>
      <c r="G57" s="100">
        <v>1.08</v>
      </c>
      <c r="H57" s="100"/>
      <c r="I57" s="100"/>
      <c r="J57" s="100"/>
      <c r="K57" s="100"/>
      <c r="L57" s="100"/>
      <c r="M57" s="100"/>
    </row>
    <row r="61" spans="1:16" x14ac:dyDescent="0.2">
      <c r="A61" s="44" t="s">
        <v>118</v>
      </c>
      <c r="B61" s="74" t="s">
        <v>4</v>
      </c>
      <c r="C61" s="74" t="s">
        <v>5</v>
      </c>
      <c r="D61" s="74" t="s">
        <v>6</v>
      </c>
      <c r="E61" s="3" t="s">
        <v>7</v>
      </c>
      <c r="F61" s="3" t="s">
        <v>8</v>
      </c>
      <c r="G61" s="3" t="s">
        <v>9</v>
      </c>
      <c r="H61" s="4" t="s">
        <v>10</v>
      </c>
      <c r="I61" s="4" t="s">
        <v>11</v>
      </c>
      <c r="J61" s="4" t="s">
        <v>12</v>
      </c>
      <c r="K61" s="5" t="s">
        <v>13</v>
      </c>
      <c r="L61" s="5" t="s">
        <v>14</v>
      </c>
      <c r="M61" s="5" t="s">
        <v>15</v>
      </c>
      <c r="N61" s="75" t="s">
        <v>179</v>
      </c>
      <c r="O61" s="75" t="s">
        <v>180</v>
      </c>
      <c r="P61" s="75" t="s">
        <v>181</v>
      </c>
    </row>
    <row r="62" spans="1:16" x14ac:dyDescent="0.2">
      <c r="A62" s="7" t="s">
        <v>130</v>
      </c>
      <c r="B62" s="7">
        <v>72.98</v>
      </c>
      <c r="C62" s="7">
        <v>78.489999999999995</v>
      </c>
      <c r="D62" s="7">
        <v>73.37</v>
      </c>
      <c r="E62" s="7">
        <v>75.7</v>
      </c>
      <c r="F62" s="7">
        <v>84.62</v>
      </c>
      <c r="G62" s="7">
        <v>80.34</v>
      </c>
      <c r="H62" s="7">
        <v>76.22</v>
      </c>
      <c r="I62" s="7">
        <v>72.7</v>
      </c>
      <c r="J62" s="7">
        <v>71</v>
      </c>
      <c r="K62" s="7">
        <v>58.02</v>
      </c>
      <c r="L62" s="7">
        <v>56.99</v>
      </c>
      <c r="M62" s="7">
        <v>56.99</v>
      </c>
      <c r="N62" s="7">
        <v>41.74</v>
      </c>
      <c r="O62" s="7">
        <v>39.08</v>
      </c>
      <c r="P62" s="7">
        <v>38.4</v>
      </c>
    </row>
    <row r="63" spans="1:16" x14ac:dyDescent="0.2">
      <c r="A63" s="7" t="s">
        <v>131</v>
      </c>
      <c r="B63" s="7">
        <v>23.63</v>
      </c>
      <c r="C63" s="7">
        <v>22.68</v>
      </c>
      <c r="D63" s="7">
        <v>24.44</v>
      </c>
      <c r="E63" s="7">
        <v>21.08</v>
      </c>
      <c r="F63" s="7">
        <v>21.48</v>
      </c>
      <c r="G63" s="7">
        <v>21.11</v>
      </c>
      <c r="H63" s="7">
        <v>21.95</v>
      </c>
      <c r="I63" s="7">
        <v>21.76</v>
      </c>
      <c r="J63" s="7">
        <v>21.96</v>
      </c>
      <c r="K63" s="7">
        <v>21.06</v>
      </c>
      <c r="L63" s="7">
        <v>20.97</v>
      </c>
      <c r="M63" s="7">
        <v>20.62</v>
      </c>
      <c r="N63" s="7">
        <v>18.23</v>
      </c>
      <c r="O63" s="7">
        <v>18.100000000000001</v>
      </c>
      <c r="P63" s="7">
        <v>18.100000000000001</v>
      </c>
    </row>
    <row r="64" spans="1:16" x14ac:dyDescent="0.2">
      <c r="A64" s="7" t="s">
        <v>132</v>
      </c>
      <c r="B64" s="7">
        <v>10.8</v>
      </c>
      <c r="C64" s="7">
        <v>10.3</v>
      </c>
      <c r="D64" s="7">
        <v>10.25</v>
      </c>
      <c r="E64" s="7">
        <v>6.93</v>
      </c>
      <c r="F64" s="7">
        <v>6.93</v>
      </c>
      <c r="G64" s="7">
        <v>6.98</v>
      </c>
      <c r="H64" s="7">
        <v>7.56</v>
      </c>
      <c r="I64" s="7">
        <v>7.41</v>
      </c>
      <c r="J64" s="7">
        <v>7.31</v>
      </c>
      <c r="K64" s="7">
        <v>6.86</v>
      </c>
      <c r="L64" s="7">
        <v>6.86</v>
      </c>
      <c r="M64" s="7">
        <v>6.86</v>
      </c>
      <c r="N64" s="7">
        <v>6.61</v>
      </c>
      <c r="O64" s="7">
        <v>6.61</v>
      </c>
      <c r="P64" s="7">
        <v>6.61</v>
      </c>
    </row>
    <row r="65" spans="1:16" x14ac:dyDescent="0.2">
      <c r="A65" s="7" t="s">
        <v>133</v>
      </c>
      <c r="B65" s="7">
        <v>0.26</v>
      </c>
      <c r="C65" s="7">
        <v>0.21</v>
      </c>
      <c r="D65" s="7">
        <v>0.13</v>
      </c>
      <c r="E65" s="7">
        <v>0.21</v>
      </c>
      <c r="F65" s="7">
        <v>0.22</v>
      </c>
      <c r="G65" s="7">
        <v>0.22</v>
      </c>
      <c r="H65" s="7">
        <v>0.41</v>
      </c>
      <c r="I65" s="7">
        <v>0.41</v>
      </c>
      <c r="J65" s="7">
        <v>0.22</v>
      </c>
      <c r="K65" s="7">
        <v>0.22</v>
      </c>
      <c r="L65" s="7">
        <v>0.22</v>
      </c>
      <c r="M65" s="7">
        <v>0.22</v>
      </c>
      <c r="N65" s="7">
        <v>0.21</v>
      </c>
      <c r="O65" s="7">
        <v>0.21</v>
      </c>
      <c r="P65" s="7">
        <v>0.21</v>
      </c>
    </row>
    <row r="66" spans="1:16" x14ac:dyDescent="0.2">
      <c r="A66" s="7" t="s">
        <v>134</v>
      </c>
      <c r="B66" s="7">
        <v>0.38</v>
      </c>
      <c r="C66" s="7">
        <v>0.75</v>
      </c>
      <c r="D66" s="7">
        <v>0.6</v>
      </c>
      <c r="E66" s="7">
        <v>1.28</v>
      </c>
      <c r="F66" s="7">
        <v>1.1499999999999999</v>
      </c>
      <c r="G66" s="7">
        <v>1.1499999999999999</v>
      </c>
      <c r="H66" s="7">
        <v>1.18</v>
      </c>
      <c r="I66" s="7">
        <v>1.05</v>
      </c>
      <c r="J66" s="7">
        <v>1.18</v>
      </c>
      <c r="K66" s="7">
        <v>0.7</v>
      </c>
      <c r="L66" s="7">
        <v>0.7</v>
      </c>
      <c r="M66" s="7">
        <v>0.7</v>
      </c>
      <c r="N66" s="7">
        <v>0.2</v>
      </c>
      <c r="O66" s="7">
        <v>0.2</v>
      </c>
      <c r="P66" s="7">
        <v>0.2</v>
      </c>
    </row>
    <row r="67" spans="1:16" x14ac:dyDescent="0.2">
      <c r="A67" s="7"/>
      <c r="B67" s="7"/>
      <c r="C67" s="7"/>
      <c r="D67" s="7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"/>
    </row>
    <row r="68" spans="1:16" x14ac:dyDescent="0.2">
      <c r="A68" s="7"/>
      <c r="B68" s="7"/>
      <c r="C68" s="7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"/>
    </row>
    <row r="69" spans="1:16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spans="1:16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 x14ac:dyDescent="0.2">
      <c r="A71" s="7"/>
      <c r="B71" s="7"/>
      <c r="C71" s="7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workbookViewId="0">
      <selection activeCell="M41" sqref="M41"/>
    </sheetView>
  </sheetViews>
  <sheetFormatPr baseColWidth="10" defaultRowHeight="16" x14ac:dyDescent="0.2"/>
  <cols>
    <col min="1" max="1" width="27.1640625" bestFit="1" customWidth="1"/>
  </cols>
  <sheetData>
    <row r="1" spans="1:20" s="49" customFormat="1" x14ac:dyDescent="0.2">
      <c r="A1" s="49" t="str">
        <f>IF(Project!A1&gt;0,Project!A1,"")</f>
        <v>Group</v>
      </c>
      <c r="B1" s="49" t="str">
        <f>IF(Project!B1&gt;0,Project!B1,"")</f>
        <v>APR</v>
      </c>
      <c r="C1" s="49" t="str">
        <f>IF(Project!C1&gt;0,Project!C1,"")</f>
        <v>MAY</v>
      </c>
      <c r="D1" s="49" t="str">
        <f>IF(Project!D1&gt;0,Project!D1,"")</f>
        <v>JUN</v>
      </c>
      <c r="E1" s="49" t="str">
        <f>IF(Project!E1&gt;0,Project!E1,"")</f>
        <v>JUL</v>
      </c>
      <c r="F1" s="49" t="str">
        <f>IF(Project!F1&gt;0,Project!F1,"")</f>
        <v>AUG</v>
      </c>
      <c r="G1" s="49" t="str">
        <f>IF(Project!G1&gt;0,Project!G1,"")</f>
        <v>SEP</v>
      </c>
      <c r="H1" s="49" t="str">
        <f>IF(Project!H1&gt;0,Project!H1,"")</f>
        <v>OCT</v>
      </c>
      <c r="I1" s="49" t="str">
        <f>IF(Project!I1&gt;0,Project!I1,"")</f>
        <v>NOV</v>
      </c>
      <c r="J1" s="49" t="str">
        <f>IF(Project!J1&gt;0,Project!J1,"")</f>
        <v>DEC</v>
      </c>
      <c r="K1" s="49" t="str">
        <f>IF(Project!K1&gt;0,Project!K1,"")</f>
        <v>JAN'27</v>
      </c>
      <c r="L1" s="49" t="str">
        <f>IF(Project!L1&gt;0,Project!L1,"")</f>
        <v>FEB'27</v>
      </c>
      <c r="M1" s="49" t="str">
        <f>IF(Project!M1&gt;0,Project!M1,"")</f>
        <v>MAR'27</v>
      </c>
      <c r="N1" s="49" t="str">
        <f>IF(Project!N1&gt;0,Project!N1,"")</f>
        <v>APR'27</v>
      </c>
      <c r="O1" s="49" t="str">
        <f>IF(Project!O1&gt;0,Project!O1,"")</f>
        <v>MAY'27</v>
      </c>
      <c r="P1" s="49" t="str">
        <f>IF(Project!P1&gt;0,Project!P1,"")</f>
        <v>JUN'27</v>
      </c>
      <c r="Q1" s="49" t="str">
        <f>IF(Project!Q1&gt;0,Project!Q1,"")</f>
        <v/>
      </c>
      <c r="R1" s="49" t="str">
        <f>IF(Project!R1&gt;0,Project!R1,"")</f>
        <v/>
      </c>
      <c r="S1" s="49" t="str">
        <f>IF(Project!S1&gt;0,Project!S1,"")</f>
        <v/>
      </c>
      <c r="T1" s="49" t="str">
        <f>IF(Project!T1&gt;0,Project!T1,"")</f>
        <v/>
      </c>
    </row>
    <row r="2" spans="1:20" x14ac:dyDescent="0.2">
      <c r="A2" t="str">
        <f>IF(Project!A2&gt;0,Project!A2,"")</f>
        <v>KM</v>
      </c>
      <c r="B2">
        <f>IF(Project!B2&gt;0,Project!B2,"")</f>
        <v>0.61250000000000004</v>
      </c>
      <c r="C2">
        <f>IF(Project!C2&gt;0,Project!C2,"")</f>
        <v>0.86250000000000004</v>
      </c>
      <c r="D2">
        <f>IF(Project!D2&gt;0,Project!D2,"")</f>
        <v>0.66249999999999998</v>
      </c>
      <c r="E2">
        <f>IF(Project!E2&gt;0,Project!E2,"")</f>
        <v>0.625</v>
      </c>
      <c r="F2">
        <f>IF(Project!F2&gt;0,Project!F2,"")</f>
        <v>0.55000000000000004</v>
      </c>
      <c r="G2">
        <f>IF(Project!G2&gt;0,Project!G2,"")</f>
        <v>0.55000000000000004</v>
      </c>
      <c r="H2">
        <f>IF(Project!H2&gt;0,Project!H2,"")</f>
        <v>0.85</v>
      </c>
      <c r="I2">
        <f>IF(Project!I2&gt;0,Project!I2,"")</f>
        <v>0.85</v>
      </c>
      <c r="J2">
        <f>IF(Project!J2&gt;0,Project!J2,"")</f>
        <v>0.85</v>
      </c>
      <c r="K2">
        <f>IF(Project!K2&gt;0,Project!K2,"")</f>
        <v>0.35</v>
      </c>
      <c r="L2">
        <f>IF(Project!L2&gt;0,Project!L2,"")</f>
        <v>0.35</v>
      </c>
      <c r="M2">
        <f>IF(Project!M2&gt;0,Project!M2,"")</f>
        <v>0.35</v>
      </c>
      <c r="N2">
        <f>IF(Project!N2&gt;0,Project!N2,"")</f>
        <v>0.25</v>
      </c>
      <c r="O2">
        <f>IF(Project!O2&gt;0,Project!O2,"")</f>
        <v>0.25</v>
      </c>
      <c r="P2">
        <f>IF(Project!P2&gt;0,Project!P2,"")</f>
        <v>0.25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1.83</v>
      </c>
      <c r="C3">
        <f>IF(Project!C3&gt;0,Project!C3,"")</f>
        <v>1.88</v>
      </c>
      <c r="D3">
        <f>IF(Project!D3&gt;0,Project!D3,"")</f>
        <v>1.5</v>
      </c>
      <c r="E3">
        <f>IF(Project!E3&gt;0,Project!E3,"")</f>
        <v>1.35</v>
      </c>
      <c r="F3">
        <f>IF(Project!F3&gt;0,Project!F3,"")</f>
        <v>1.35</v>
      </c>
      <c r="G3">
        <f>IF(Project!G3&gt;0,Project!G3,"")</f>
        <v>1.35</v>
      </c>
      <c r="H3">
        <f>IF(Project!H3&gt;0,Project!H3,"")</f>
        <v>1.4</v>
      </c>
      <c r="I3">
        <f>IF(Project!I3&gt;0,Project!I3,"")</f>
        <v>1.2</v>
      </c>
      <c r="J3">
        <f>IF(Project!J3&gt;0,Project!J3,"")</f>
        <v>1.2</v>
      </c>
      <c r="K3">
        <f>IF(Project!K3&gt;0,Project!K3,"")</f>
        <v>1.2</v>
      </c>
      <c r="L3">
        <f>IF(Project!L3&gt;0,Project!L3,"")</f>
        <v>1.25</v>
      </c>
      <c r="M3">
        <f>IF(Project!M3&gt;0,Project!M3,"")</f>
        <v>0.8</v>
      </c>
      <c r="N3">
        <f>IF(Project!N3&gt;0,Project!N3,"")</f>
        <v>0.75</v>
      </c>
      <c r="O3">
        <f>IF(Project!O3&gt;0,Project!O3,"")</f>
        <v>0.75</v>
      </c>
      <c r="P3">
        <f>IF(Project!P3&gt;0,Project!P3,"")</f>
        <v>0.75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R-Guard</v>
      </c>
      <c r="B4">
        <f>IF(Project!B4&gt;0,Project!B4,"")</f>
        <v>1.4375</v>
      </c>
      <c r="C4">
        <f>IF(Project!C4&gt;0,Project!C4,"")</f>
        <v>1.4125000000000001</v>
      </c>
      <c r="D4">
        <f>IF(Project!D4&gt;0,Project!D4,"")</f>
        <v>1.8625</v>
      </c>
      <c r="E4">
        <f>IF(Project!E4&gt;0,Project!E4,"")</f>
        <v>1.1000000000000001</v>
      </c>
      <c r="F4">
        <f>IF(Project!F4&gt;0,Project!F4,"")</f>
        <v>0.95</v>
      </c>
      <c r="G4">
        <f>IF(Project!G4&gt;0,Project!G4,"")</f>
        <v>0.95</v>
      </c>
      <c r="H4">
        <f>IF(Project!H4&gt;0,Project!H4,"")</f>
        <v>0.95</v>
      </c>
      <c r="I4">
        <f>IF(Project!I4&gt;0,Project!I4,"")</f>
        <v>0.95</v>
      </c>
      <c r="J4">
        <f>IF(Project!J4&gt;0,Project!J4,"")</f>
        <v>0.95</v>
      </c>
      <c r="K4">
        <f>IF(Project!K4&gt;0,Project!K4,"")</f>
        <v>1.2625</v>
      </c>
      <c r="L4">
        <f>IF(Project!L4&gt;0,Project!L4,"")</f>
        <v>1.2625</v>
      </c>
      <c r="M4">
        <f>IF(Project!M4&gt;0,Project!M4,"")</f>
        <v>1.2625</v>
      </c>
      <c r="N4">
        <f>IF(Project!N4&gt;0,Project!N4,"")</f>
        <v>0.96250000000000002</v>
      </c>
      <c r="O4">
        <f>IF(Project!O4&gt;0,Project!O4,"")</f>
        <v>0.96250000000000002</v>
      </c>
      <c r="P4">
        <f>IF(Project!P4&gt;0,Project!P4,"")</f>
        <v>0.96250000000000002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SA-RA</v>
      </c>
      <c r="B5">
        <f>IF(Project!B5&gt;0,Project!B5,"")</f>
        <v>2.75</v>
      </c>
      <c r="C5">
        <f>IF(Project!C5&gt;0,Project!C5,"")</f>
        <v>3.3250000000000002</v>
      </c>
      <c r="D5">
        <f>IF(Project!D5&gt;0,Project!D5,"")</f>
        <v>4.2549999999999999</v>
      </c>
      <c r="E5">
        <f>IF(Project!E5&gt;0,Project!E5,"")</f>
        <v>4.1500000000000004</v>
      </c>
      <c r="F5">
        <f>IF(Project!F5&gt;0,Project!F5,"")</f>
        <v>4.5999999999999996</v>
      </c>
      <c r="G5">
        <f>IF(Project!G5&gt;0,Project!G5,"")</f>
        <v>4.6500000000000004</v>
      </c>
      <c r="H5">
        <f>IF(Project!H5&gt;0,Project!H5,"")</f>
        <v>4.3499999999999996</v>
      </c>
      <c r="I5">
        <f>IF(Project!I5&gt;0,Project!I5,"")</f>
        <v>4.3499999999999996</v>
      </c>
      <c r="J5">
        <f>IF(Project!J5&gt;0,Project!J5,"")</f>
        <v>4.3499999999999996</v>
      </c>
      <c r="K5">
        <f>IF(Project!K5&gt;0,Project!K5,"")</f>
        <v>5.0999999999999996</v>
      </c>
      <c r="L5">
        <f>IF(Project!L5&gt;0,Project!L5,"")</f>
        <v>5.0999999999999996</v>
      </c>
      <c r="M5">
        <f>IF(Project!M5&gt;0,Project!M5,"")</f>
        <v>5.0999999999999996</v>
      </c>
      <c r="N5">
        <f>IF(Project!N5&gt;0,Project!N5,"")</f>
        <v>4.8</v>
      </c>
      <c r="O5">
        <f>IF(Project!O5&gt;0,Project!O5,"")</f>
        <v>4.8</v>
      </c>
      <c r="P5">
        <f>IF(Project!P5&gt;0,Project!P5,"")</f>
        <v>4.8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6.2949999999999999</v>
      </c>
      <c r="C6">
        <f>IF(Project!C6&gt;0,Project!C6,"")</f>
        <v>5.2750000000000004</v>
      </c>
      <c r="D6">
        <f>IF(Project!D6&gt;0,Project!D6,"")</f>
        <v>5.4</v>
      </c>
      <c r="E6">
        <f>IF(Project!E6&gt;0,Project!E6,"")</f>
        <v>4.2862499999999999</v>
      </c>
      <c r="F6">
        <f>IF(Project!F6&gt;0,Project!F6,"")</f>
        <v>4.7612500000000004</v>
      </c>
      <c r="G6">
        <f>IF(Project!G6&gt;0,Project!G6,"")</f>
        <v>4.1612499999999999</v>
      </c>
      <c r="H6">
        <f>IF(Project!H6&gt;0,Project!H6,"")</f>
        <v>4.4112499999999999</v>
      </c>
      <c r="I6">
        <f>IF(Project!I6&gt;0,Project!I6,"")</f>
        <v>4.5112500000000004</v>
      </c>
      <c r="J6">
        <f>IF(Project!J6&gt;0,Project!J6,"")</f>
        <v>4.5112500000000004</v>
      </c>
      <c r="K6">
        <f>IF(Project!K6&gt;0,Project!K6,"")</f>
        <v>3.1112500000000001</v>
      </c>
      <c r="L6">
        <f>IF(Project!L6&gt;0,Project!L6,"")</f>
        <v>3.1112500000000001</v>
      </c>
      <c r="M6">
        <f>IF(Project!M6&gt;0,Project!M6,"")</f>
        <v>3.2112500000000002</v>
      </c>
      <c r="N6">
        <f>IF(Project!N6&gt;0,Project!N6,"")</f>
        <v>2.5362499999999999</v>
      </c>
      <c r="O6">
        <f>IF(Project!O6&gt;0,Project!O6,"")</f>
        <v>2.5362499999999999</v>
      </c>
      <c r="P6">
        <f>IF(Project!P6&gt;0,Project!P6,"")</f>
        <v>2.5362499999999999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7.7</v>
      </c>
      <c r="C7">
        <f>IF(Project!C7&gt;0,Project!C7,"")</f>
        <v>7.875</v>
      </c>
      <c r="D7">
        <f>IF(Project!D7&gt;0,Project!D7,"")</f>
        <v>7.875</v>
      </c>
      <c r="E7">
        <f>IF(Project!E7&gt;0,Project!E7,"")</f>
        <v>8.0574999999999992</v>
      </c>
      <c r="F7">
        <f>IF(Project!F7&gt;0,Project!F7,"")</f>
        <v>7.5575000000000001</v>
      </c>
      <c r="G7">
        <f>IF(Project!G7&gt;0,Project!G7,"")</f>
        <v>7.7374999999999998</v>
      </c>
      <c r="H7">
        <f>IF(Project!H7&gt;0,Project!H7,"")</f>
        <v>8.2750000000000004</v>
      </c>
      <c r="I7">
        <f>IF(Project!I7&gt;0,Project!I7,"")</f>
        <v>8.1374999999999993</v>
      </c>
      <c r="J7">
        <f>IF(Project!J7&gt;0,Project!J7,"")</f>
        <v>8.4375</v>
      </c>
      <c r="K7">
        <f>IF(Project!K7&gt;0,Project!K7,"")</f>
        <v>8.2750000000000004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7.1749999999999998</v>
      </c>
      <c r="O7">
        <f>IF(Project!O7&gt;0,Project!O7,"")</f>
        <v>7.0374999999999996</v>
      </c>
      <c r="P7">
        <f>IF(Project!P7&gt;0,Project!P7,"")</f>
        <v>7.0374999999999996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49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49" customFormat="1" x14ac:dyDescent="0.2">
      <c r="A11" s="49" t="str">
        <f>IF(Project!A11&gt;0,Project!A11,"")</f>
        <v>Group Name</v>
      </c>
      <c r="B11" s="49" t="str">
        <f>IF(Project!B11&gt;0,Project!B11,"")</f>
        <v>Total</v>
      </c>
      <c r="C11" s="49" t="str">
        <f>IF(Project!C11&gt;0,Project!C11,"")</f>
        <v>CPS</v>
      </c>
      <c r="D11" s="49" t="str">
        <f>IF(Project!D11&gt;0,Project!D11,"")</f>
        <v>PSE-PE</v>
      </c>
      <c r="E11" s="49" t="str">
        <f>IF(Project!E11&gt;0,Project!E11,"")</f>
        <v>PSE-SE</v>
      </c>
      <c r="F11" s="49" t="str">
        <f>IF(Project!F11&gt;0,Project!F11,"")</f>
        <v>SD-Design</v>
      </c>
      <c r="G11" s="49" t="str">
        <f>IF(Project!G11&gt;0,Project!G11,"")</f>
        <v>SD-Data</v>
      </c>
      <c r="H11" s="49" t="str">
        <f>IF(Project!H11&gt;0,Project!H11,"")</f>
        <v>SD-SA</v>
      </c>
      <c r="I11" s="49" t="str">
        <f>IF(Project!I11&gt;0,Project!I11,"")</f>
        <v>SD-SRE</v>
      </c>
      <c r="J11" s="49" t="str">
        <f>IF(Project!J11&gt;0,Project!J11,"")</f>
        <v>SD-CyberSec</v>
      </c>
      <c r="K11" s="49" t="str">
        <f>IF(Project!K11&gt;0,Project!K11,"")</f>
        <v>SD-PM</v>
      </c>
      <c r="L11" s="49" t="str">
        <f>IF(Project!L11&gt;0,Project!L11,"")</f>
        <v>SD-BA</v>
      </c>
      <c r="M11" s="49" t="str">
        <f>IF(Project!M11&gt;0,Project!M11,"")</f>
        <v>SD-QA</v>
      </c>
      <c r="N11" s="49" t="str">
        <f>IF(Project!N11&gt;0,Project!N11,"")</f>
        <v>SD-TM</v>
      </c>
      <c r="O11" s="49" t="str">
        <f>IF(Project!O11&gt;0,Project!O11,"")</f>
        <v>AIC-AI</v>
      </c>
      <c r="P11" s="49" t="str">
        <f>IF(Project!P11&gt;0,Project!P11,"")</f>
        <v>AIC-AIE</v>
      </c>
      <c r="Q11" s="49" t="str">
        <f>IF(Project!Q11&gt;0,Project!Q11,"")</f>
        <v>AIC-IoT</v>
      </c>
      <c r="R11" s="49" t="str">
        <f>IF(Project!R11&gt;0,Project!R11,"")</f>
        <v>AIC-SAI</v>
      </c>
      <c r="S11" s="49" t="str">
        <f>IF(Project!S11&gt;0,Project!S11,"")</f>
        <v>AIC-PSI</v>
      </c>
      <c r="T11" s="49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CDAS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SCG Home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>Credit &amp; Collateral Management for CBM</v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49" customFormat="1" x14ac:dyDescent="0.2">
      <c r="A19" s="49" t="str">
        <f>IF(Project!A19&gt;0,Project!A19,"")</f>
        <v>Project by Type</v>
      </c>
      <c r="B19" s="49" t="str">
        <f>IF(Project!B19&gt;0,Project!B19,"")</f>
        <v/>
      </c>
      <c r="C19" s="49" t="str">
        <f>IF(Project!C19&gt;0,Project!C19,"")</f>
        <v/>
      </c>
      <c r="D19" s="49" t="str">
        <f>IF(Project!D19&gt;0,Project!D19,"")</f>
        <v/>
      </c>
      <c r="E19" s="49" t="str">
        <f>IF(Project!E19&gt;0,Project!E19,"")</f>
        <v/>
      </c>
      <c r="F19" s="49" t="str">
        <f>IF(Project!F19&gt;0,Project!F19,"")</f>
        <v/>
      </c>
      <c r="G19" s="49" t="str">
        <f>IF(Project!G19&gt;0,Project!G19,"")</f>
        <v/>
      </c>
      <c r="H19" s="49" t="str">
        <f>IF(Project!H19&gt;0,Project!H19,"")</f>
        <v/>
      </c>
      <c r="I19" s="49" t="str">
        <f>IF(Project!I19&gt;0,Project!I19,"")</f>
        <v/>
      </c>
      <c r="J19" s="49" t="str">
        <f>IF(Project!J19&gt;0,Project!J19,"")</f>
        <v/>
      </c>
      <c r="K19" s="49" t="str">
        <f>IF(Project!K19&gt;0,Project!K19,"")</f>
        <v/>
      </c>
      <c r="L19" s="49" t="str">
        <f>IF(Project!L19&gt;0,Project!L19,"")</f>
        <v/>
      </c>
      <c r="M19" s="49" t="str">
        <f>IF(Project!M19&gt;0,Project!M19,"")</f>
        <v/>
      </c>
      <c r="N19" s="49" t="str">
        <f>IF(Project!N19&gt;0,Project!N19,"")</f>
        <v/>
      </c>
      <c r="O19" s="49" t="str">
        <f>IF(Project!O19&gt;0,Project!O19,"")</f>
        <v/>
      </c>
      <c r="P19" s="49" t="str">
        <f>IF(Project!P19&gt;0,Project!P19,"")</f>
        <v/>
      </c>
      <c r="Q19" s="49" t="str">
        <f>IF(Project!Q19&gt;0,Project!Q19,"")</f>
        <v/>
      </c>
      <c r="R19" s="49" t="str">
        <f>IF(Project!R19&gt;0,Project!R19,"")</f>
        <v/>
      </c>
      <c r="S19" s="49" t="str">
        <f>IF(Project!S19&gt;0,Project!S19,"")</f>
        <v/>
      </c>
      <c r="T19" s="49" t="str">
        <f>IF(Project!T19&gt;0,Project!T19,"")</f>
        <v/>
      </c>
    </row>
    <row r="20" spans="1:20" s="49" customFormat="1" x14ac:dyDescent="0.2">
      <c r="A20" s="49" t="str">
        <f>IF(Project!A20&gt;0,Project!A20,"")</f>
        <v/>
      </c>
      <c r="B20" s="49" t="str">
        <f>IF(Project!B20&gt;0,Project!B20,"")</f>
        <v/>
      </c>
      <c r="C20" s="49" t="str">
        <f>IF(Project!C20&gt;0,Project!C20,"")</f>
        <v/>
      </c>
      <c r="D20" s="49" t="str">
        <f>IF(Project!D20&gt;0,Project!D20,"")</f>
        <v/>
      </c>
      <c r="E20" s="49" t="str">
        <f>IF(Project!E20&gt;0,Project!E20,"")</f>
        <v/>
      </c>
      <c r="F20" s="49" t="str">
        <f>IF(Project!F20&gt;0,Project!F20,"")</f>
        <v/>
      </c>
      <c r="G20" s="49" t="str">
        <f>IF(Project!G20&gt;0,Project!G20,"")</f>
        <v/>
      </c>
      <c r="H20" s="49" t="str">
        <f>IF(Project!H20&gt;0,Project!H20,"")</f>
        <v/>
      </c>
      <c r="I20" s="49" t="str">
        <f>IF(Project!I20&gt;0,Project!I20,"")</f>
        <v/>
      </c>
      <c r="J20" s="49" t="str">
        <f>IF(Project!J20&gt;0,Project!J20,"")</f>
        <v/>
      </c>
      <c r="K20" s="49" t="str">
        <f>IF(Project!K20&gt;0,Project!K20,"")</f>
        <v/>
      </c>
      <c r="L20" s="49" t="str">
        <f>IF(Project!L20&gt;0,Project!L20,"")</f>
        <v/>
      </c>
      <c r="M20" s="49" t="str">
        <f>IF(Project!M20&gt;0,Project!M20,"")</f>
        <v/>
      </c>
      <c r="N20" s="49" t="str">
        <f>IF(Project!N20&gt;0,Project!N20,"")</f>
        <v/>
      </c>
      <c r="O20" s="49" t="str">
        <f>IF(Project!O20&gt;0,Project!O20,"")</f>
        <v/>
      </c>
      <c r="P20" s="49" t="str">
        <f>IF(Project!P20&gt;0,Project!P20,"")</f>
        <v/>
      </c>
      <c r="Q20" s="49" t="str">
        <f>IF(Project!Q20&gt;0,Project!Q20,"")</f>
        <v/>
      </c>
      <c r="R20" s="49" t="str">
        <f>IF(Project!R20&gt;0,Project!R20,"")</f>
        <v/>
      </c>
      <c r="S20" s="49" t="str">
        <f>IF(Project!S20&gt;0,Project!S20,"")</f>
        <v/>
      </c>
      <c r="T20" s="49" t="str">
        <f>IF(Project!T20&gt;0,Project!T20,"")</f>
        <v/>
      </c>
    </row>
    <row r="21" spans="1:20" x14ac:dyDescent="0.2">
      <c r="A21" s="49" t="str">
        <f>IF(Project!A21&gt;0,Project!A21,"")</f>
        <v>Group Name</v>
      </c>
      <c r="B21" s="52" t="str">
        <f>IF(Project!A22&gt;0,Project!A22,"")</f>
        <v>IT Dist</v>
      </c>
      <c r="C21" s="53" t="str">
        <f>IF(Project!A23&gt;0,Project!A23,"")</f>
        <v>SCGP e-Ordering</v>
      </c>
      <c r="D21" s="54" t="str">
        <f>IF(Project!A24&gt;0,Project!A24,"")</f>
        <v>CDAS</v>
      </c>
      <c r="E21" s="56" t="str">
        <f>IF(Project!A25&gt;0,Project!A25,"")</f>
        <v>PromptPlus</v>
      </c>
      <c r="F21" s="55" t="str">
        <f>IF(Project!A26&gt;0,Project!A26,"")</f>
        <v>SCG Home</v>
      </c>
      <c r="G21" s="81" t="str">
        <f>IF(Project!A27&gt;0,Project!A27,"")</f>
        <v>Credit &amp; Collateral Management</v>
      </c>
    </row>
    <row r="22" spans="1:20" x14ac:dyDescent="0.2">
      <c r="A22" s="49" t="str">
        <f>IF(Project!B21&gt;0,Project!B21,"")</f>
        <v>Presale</v>
      </c>
      <c r="B22" s="52" t="str">
        <f>IF(Project!B22&gt;0,Project!B22,"")</f>
        <v/>
      </c>
      <c r="C22" s="53">
        <f>IF(Project!B23&gt;0,Project!B23,"")</f>
        <v>1.65</v>
      </c>
      <c r="D22" s="54">
        <f>IF(Project!B24&gt;0,Project!B24,"")</f>
        <v>0.3</v>
      </c>
      <c r="E22" s="56" t="str">
        <f>IF(Project!B25&gt;0,Project!B25,"")</f>
        <v/>
      </c>
      <c r="F22" s="55"/>
      <c r="G22" s="81" t="str">
        <f>IF(Project!B27&gt;0,Project!B27,"")</f>
        <v/>
      </c>
    </row>
    <row r="23" spans="1:20" x14ac:dyDescent="0.2">
      <c r="A23" s="49" t="str">
        <f>IF(Project!C21&gt;0,Project!C21,"")</f>
        <v>Project</v>
      </c>
      <c r="B23" s="52" t="str">
        <f>IF(Project!C22&gt;0,Project!C22,"")</f>
        <v/>
      </c>
      <c r="C23" s="53">
        <f>IF(Project!C23&gt;0,Project!C23,"")</f>
        <v>110.52500000000001</v>
      </c>
      <c r="D23" s="54">
        <f>IF(Project!C24&gt;0,Project!C24,"")</f>
        <v>48.756250000000001</v>
      </c>
      <c r="E23" s="56">
        <f>IF(Project!C25&gt;0,Project!C25,"")</f>
        <v>30.484999999999999</v>
      </c>
      <c r="F23" s="55" t="str">
        <f>IF(Project!C26&gt;0,Project!C26,"")</f>
        <v/>
      </c>
      <c r="G23" s="81">
        <f>IF(Project!C27&gt;0,Project!C27,"")</f>
        <v>23.375</v>
      </c>
    </row>
    <row r="24" spans="1:20" x14ac:dyDescent="0.2">
      <c r="A24" s="49" t="str">
        <f>IF(Project!D21&gt;0,Project!D21,"")</f>
        <v>TM</v>
      </c>
      <c r="B24" s="52" t="str">
        <f>IF(Project!D22&gt;0,Project!D22,"")</f>
        <v/>
      </c>
      <c r="C24" s="53">
        <f>IF(Project!D23&gt;0,Project!D23,"")</f>
        <v>5.04</v>
      </c>
      <c r="D24" s="54">
        <f>IF(Project!D24&gt;0,Project!D24,"")</f>
        <v>3.4649999999999999</v>
      </c>
      <c r="E24" s="56" t="str">
        <f>IF(Project!D25&gt;0,Project!D25,"")</f>
        <v/>
      </c>
      <c r="F24" s="55" t="str">
        <f>IF(Project!D26&gt;0,Project!D26,"")</f>
        <v/>
      </c>
      <c r="G24" s="81"/>
    </row>
    <row r="25" spans="1:20" x14ac:dyDescent="0.2">
      <c r="A25" s="49" t="str">
        <f>IF(Project!E21&gt;0,Project!E21,"")</f>
        <v>Infra</v>
      </c>
      <c r="B25" s="52" t="str">
        <f>IF(Project!E22&gt;0,Project!E22,"")</f>
        <v/>
      </c>
      <c r="C25" s="53">
        <f>IF(Project!E23&gt;0,Project!E23,"")</f>
        <v>0.6</v>
      </c>
      <c r="D25" s="54">
        <f>IF(Project!E24&gt;0,Project!E24,"")</f>
        <v>1.25</v>
      </c>
      <c r="E25" s="56" t="str">
        <f>IF(Project!E25&gt;0,Project!E25,"")</f>
        <v/>
      </c>
      <c r="F25" s="55" t="str">
        <f>IF(Project!E26&gt;0,Project!E26,"")</f>
        <v/>
      </c>
      <c r="G25" s="81">
        <f>IF(Project!E27&gt;0,Project!E27,"")</f>
        <v>0.21</v>
      </c>
    </row>
    <row r="26" spans="1:20" x14ac:dyDescent="0.2">
      <c r="A26" s="49" t="str">
        <f>IF(Project!F21&gt;0,Project!F21,"")</f>
        <v>Warmbody</v>
      </c>
      <c r="B26" s="52">
        <f>IF(Project!F22&gt;0,Project!F22,"")</f>
        <v>198.06</v>
      </c>
      <c r="C26" s="53" t="str">
        <f>IF(Project!F23&gt;0,Project!F23,"")</f>
        <v/>
      </c>
      <c r="D26" s="54" t="str">
        <f>IF(Project!F24&gt;0,Project!F24,"")</f>
        <v/>
      </c>
      <c r="E26" s="56">
        <f>IF(Project!F25&gt;0,Project!F25,"")</f>
        <v>21.01</v>
      </c>
      <c r="F26" s="55">
        <f>IF(Project!F26&gt;0,Project!F26,"")</f>
        <v>27.8</v>
      </c>
      <c r="G26" s="81"/>
    </row>
    <row r="27" spans="1:20" x14ac:dyDescent="0.2">
      <c r="A27" s="49"/>
    </row>
    <row r="28" spans="1:20" x14ac:dyDescent="0.2">
      <c r="A28" s="49"/>
    </row>
    <row r="29" spans="1:20" x14ac:dyDescent="0.2">
      <c r="A29" s="49"/>
    </row>
    <row r="31" spans="1:20" x14ac:dyDescent="0.2">
      <c r="A31" s="49"/>
      <c r="B31" s="49" t="str">
        <f>Project!B51</f>
        <v>JAN</v>
      </c>
      <c r="C31" s="49" t="str">
        <f>Project!C51</f>
        <v>FEB</v>
      </c>
      <c r="D31" s="49" t="str">
        <f>Project!D51</f>
        <v>MAR</v>
      </c>
      <c r="E31" s="49" t="str">
        <f>Project!E51</f>
        <v>APR</v>
      </c>
      <c r="F31" s="49" t="str">
        <f>Project!F51</f>
        <v>MAY</v>
      </c>
      <c r="G31" s="49" t="str">
        <f>Project!G51</f>
        <v>JUN</v>
      </c>
      <c r="H31" s="49" t="str">
        <f>Project!H51</f>
        <v>JUL</v>
      </c>
      <c r="I31" s="49" t="str">
        <f>Project!I51</f>
        <v>AUG</v>
      </c>
      <c r="J31" s="49" t="str">
        <f>Project!J51</f>
        <v>SEP</v>
      </c>
      <c r="K31" s="49" t="str">
        <f>Project!K51</f>
        <v>OCT</v>
      </c>
      <c r="L31" s="49" t="str">
        <f>Project!L51</f>
        <v>NOV</v>
      </c>
      <c r="M31" s="49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  <c r="F33">
        <f>Project!F53</f>
        <v>6.21</v>
      </c>
      <c r="G33">
        <f>Project!G53</f>
        <v>12.4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  <c r="F35">
        <f>Project!F55</f>
        <v>4.83</v>
      </c>
      <c r="G35">
        <f>Project!G55</f>
        <v>11.32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  <c r="F37">
        <f>Project!F57</f>
        <v>1.39</v>
      </c>
      <c r="G37">
        <f>Project!G57</f>
        <v>1.08</v>
      </c>
    </row>
    <row r="40" spans="1:16" x14ac:dyDescent="0.2">
      <c r="A40" s="45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</row>
    <row r="41" spans="1:16" x14ac:dyDescent="0.2">
      <c r="A41" s="7"/>
      <c r="B41" s="16" t="str">
        <f>Project!B61</f>
        <v>APR</v>
      </c>
      <c r="C41" s="16" t="str">
        <f>Project!C61</f>
        <v>MAY</v>
      </c>
      <c r="D41" s="16" t="str">
        <f>Project!D61</f>
        <v>JUN</v>
      </c>
      <c r="E41" s="16" t="str">
        <f>Project!E61</f>
        <v>JUL</v>
      </c>
      <c r="F41" s="16" t="str">
        <f>Project!F61</f>
        <v>AUG</v>
      </c>
      <c r="G41" s="16" t="str">
        <f>Project!G61</f>
        <v>SEP</v>
      </c>
      <c r="H41" s="16" t="str">
        <f>Project!H61</f>
        <v>OCT</v>
      </c>
      <c r="I41" s="16" t="str">
        <f>Project!I61</f>
        <v>NOV</v>
      </c>
      <c r="J41" s="16" t="str">
        <f>Project!J61</f>
        <v>DEC</v>
      </c>
      <c r="K41" s="16" t="str">
        <f>Project!K61</f>
        <v>JAN'27</v>
      </c>
      <c r="L41" s="16" t="str">
        <f>Project!L61</f>
        <v>FEB'27</v>
      </c>
      <c r="M41" s="16" t="str">
        <f>Project!M61</f>
        <v>MAR'27</v>
      </c>
      <c r="N41" s="16" t="str">
        <f>Project!N61</f>
        <v>APR'27</v>
      </c>
      <c r="O41" s="16" t="str">
        <f>Project!O61</f>
        <v>MAY'27</v>
      </c>
      <c r="P41" s="16" t="str">
        <f>Project!P61</f>
        <v>JUN'27</v>
      </c>
    </row>
    <row r="42" spans="1:16" x14ac:dyDescent="0.2">
      <c r="A42" s="7" t="str">
        <f>Project!A62</f>
        <v>1.1 PS</v>
      </c>
      <c r="B42" s="7">
        <f>Project!B62</f>
        <v>72.98</v>
      </c>
      <c r="C42" s="7">
        <f>Project!C62</f>
        <v>78.489999999999995</v>
      </c>
      <c r="D42" s="7">
        <f>Project!D62</f>
        <v>73.37</v>
      </c>
      <c r="E42" s="7">
        <f>Project!E62</f>
        <v>75.7</v>
      </c>
      <c r="F42" s="7">
        <f>Project!F62</f>
        <v>84.62</v>
      </c>
      <c r="G42" s="7">
        <f>Project!G62</f>
        <v>80.34</v>
      </c>
      <c r="H42" s="7">
        <f>Project!H62</f>
        <v>76.22</v>
      </c>
      <c r="I42" s="7">
        <f>Project!I62</f>
        <v>72.7</v>
      </c>
      <c r="J42" s="7">
        <f>Project!J62</f>
        <v>71</v>
      </c>
      <c r="K42" s="7">
        <f>Project!K62</f>
        <v>58.02</v>
      </c>
      <c r="L42" s="7">
        <f>Project!L62</f>
        <v>56.99</v>
      </c>
      <c r="M42" s="7">
        <f>Project!M62</f>
        <v>56.99</v>
      </c>
      <c r="N42" s="7">
        <f>Project!N62</f>
        <v>41.74</v>
      </c>
      <c r="O42" s="7">
        <f>Project!O62</f>
        <v>39.08</v>
      </c>
      <c r="P42" s="7">
        <f>Project!P62</f>
        <v>38.4</v>
      </c>
    </row>
    <row r="43" spans="1:16" x14ac:dyDescent="0.2">
      <c r="A43" s="7" t="str">
        <f>Project!A63</f>
        <v>1.2 Product</v>
      </c>
      <c r="B43" s="7">
        <f>Project!B63</f>
        <v>23.63</v>
      </c>
      <c r="C43" s="7">
        <f>Project!C63</f>
        <v>22.68</v>
      </c>
      <c r="D43" s="7">
        <f>Project!D63</f>
        <v>24.44</v>
      </c>
      <c r="E43" s="7">
        <f>Project!E63</f>
        <v>21.08</v>
      </c>
      <c r="F43" s="7">
        <f>Project!F63</f>
        <v>21.48</v>
      </c>
      <c r="G43" s="7">
        <f>Project!G63</f>
        <v>21.11</v>
      </c>
      <c r="H43" s="7">
        <f>Project!H63</f>
        <v>21.95</v>
      </c>
      <c r="I43" s="7">
        <f>Project!I63</f>
        <v>21.76</v>
      </c>
      <c r="J43" s="7">
        <f>Project!J63</f>
        <v>21.96</v>
      </c>
      <c r="K43" s="7">
        <f>Project!K63</f>
        <v>21.06</v>
      </c>
      <c r="L43" s="7">
        <f>Project!L63</f>
        <v>20.97</v>
      </c>
      <c r="M43" s="7">
        <f>Project!M63</f>
        <v>20.62</v>
      </c>
      <c r="N43" s="7">
        <f>Project!N63</f>
        <v>18.23</v>
      </c>
      <c r="O43" s="7">
        <f>Project!O63</f>
        <v>18.100000000000001</v>
      </c>
      <c r="P43" s="7">
        <f>Project!P63</f>
        <v>18.100000000000001</v>
      </c>
    </row>
    <row r="44" spans="1:16" x14ac:dyDescent="0.2">
      <c r="A44" s="7" t="str">
        <f>Project!A64</f>
        <v>2 R&amp;D</v>
      </c>
      <c r="B44" s="7">
        <f>Project!B64</f>
        <v>10.8</v>
      </c>
      <c r="C44" s="7">
        <f>Project!C64</f>
        <v>10.3</v>
      </c>
      <c r="D44" s="7">
        <f>Project!D64</f>
        <v>10.25</v>
      </c>
      <c r="E44" s="7">
        <f>Project!E64</f>
        <v>6.93</v>
      </c>
      <c r="F44" s="7">
        <f>Project!F64</f>
        <v>6.93</v>
      </c>
      <c r="G44" s="7">
        <f>Project!G64</f>
        <v>6.98</v>
      </c>
      <c r="H44" s="7">
        <f>Project!H64</f>
        <v>7.56</v>
      </c>
      <c r="I44" s="7">
        <f>Project!I64</f>
        <v>7.41</v>
      </c>
      <c r="J44" s="7">
        <f>Project!J64</f>
        <v>7.31</v>
      </c>
      <c r="K44" s="7">
        <f>Project!K64</f>
        <v>6.86</v>
      </c>
      <c r="L44" s="7">
        <f>Project!L64</f>
        <v>6.86</v>
      </c>
      <c r="M44" s="7">
        <f>Project!M64</f>
        <v>6.86</v>
      </c>
      <c r="N44" s="7">
        <f>Project!N64</f>
        <v>6.61</v>
      </c>
      <c r="O44" s="7">
        <f>Project!O64</f>
        <v>6.61</v>
      </c>
      <c r="P44" s="7">
        <f>Project!P64</f>
        <v>6.61</v>
      </c>
    </row>
    <row r="45" spans="1:16" x14ac:dyDescent="0.2">
      <c r="A45" t="str">
        <f>Project!A65</f>
        <v>3 Policy</v>
      </c>
      <c r="B45">
        <f>Project!B65</f>
        <v>0.26</v>
      </c>
      <c r="C45">
        <f>Project!C65</f>
        <v>0.21</v>
      </c>
      <c r="D45">
        <f>Project!D65</f>
        <v>0.13</v>
      </c>
      <c r="E45">
        <f>Project!E65</f>
        <v>0.21</v>
      </c>
      <c r="F45">
        <f>Project!F65</f>
        <v>0.22</v>
      </c>
      <c r="G45">
        <f>Project!G65</f>
        <v>0.22</v>
      </c>
      <c r="H45">
        <f>Project!H65</f>
        <v>0.41</v>
      </c>
      <c r="I45">
        <f>Project!I65</f>
        <v>0.41</v>
      </c>
      <c r="J45">
        <f>Project!J65</f>
        <v>0.22</v>
      </c>
      <c r="K45">
        <f>Project!K65</f>
        <v>0.22</v>
      </c>
      <c r="L45">
        <f>Project!L65</f>
        <v>0.22</v>
      </c>
      <c r="M45">
        <f>Project!M65</f>
        <v>0.22</v>
      </c>
      <c r="N45">
        <f>Project!N65</f>
        <v>0.21</v>
      </c>
      <c r="O45">
        <f>Project!O65</f>
        <v>0.21</v>
      </c>
      <c r="P45">
        <f>Project!P65</f>
        <v>0.21</v>
      </c>
    </row>
    <row r="46" spans="1:16" x14ac:dyDescent="0.2">
      <c r="A46" t="str">
        <f>Project!A66</f>
        <v>7 DO Tools</v>
      </c>
      <c r="B46">
        <f>Project!B66</f>
        <v>0.38</v>
      </c>
      <c r="C46">
        <f>Project!C66</f>
        <v>0.75</v>
      </c>
      <c r="D46">
        <f>Project!D66</f>
        <v>0.6</v>
      </c>
      <c r="E46">
        <f>Project!E66</f>
        <v>1.28</v>
      </c>
      <c r="F46">
        <f>Project!F66</f>
        <v>1.1499999999999999</v>
      </c>
      <c r="G46">
        <f>Project!G66</f>
        <v>1.1499999999999999</v>
      </c>
      <c r="H46">
        <f>Project!H66</f>
        <v>1.18</v>
      </c>
      <c r="I46">
        <f>Project!I66</f>
        <v>1.05</v>
      </c>
      <c r="J46">
        <f>Project!J66</f>
        <v>1.18</v>
      </c>
      <c r="K46">
        <f>Project!K66</f>
        <v>0.7</v>
      </c>
      <c r="L46">
        <f>Project!L66</f>
        <v>0.7</v>
      </c>
      <c r="M46">
        <f>Project!M66</f>
        <v>0.7</v>
      </c>
      <c r="N46">
        <f>Project!N66</f>
        <v>0.2</v>
      </c>
      <c r="O46">
        <f>Project!O66</f>
        <v>0.2</v>
      </c>
      <c r="P46">
        <f>Project!P66</f>
        <v>0.2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549C6-9A45-EA46-98DE-C10CCA7514FA}">
  <dimension ref="A1:Q4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U17" sqref="U17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150</v>
      </c>
      <c r="D2" s="7">
        <v>153</v>
      </c>
      <c r="E2" s="7">
        <v>155</v>
      </c>
      <c r="F2" s="7">
        <v>155</v>
      </c>
      <c r="G2" s="7">
        <v>155</v>
      </c>
      <c r="H2" s="7">
        <v>155</v>
      </c>
      <c r="I2" s="7">
        <v>154</v>
      </c>
      <c r="J2" s="7">
        <v>154</v>
      </c>
      <c r="K2" s="7">
        <v>154</v>
      </c>
      <c r="L2" s="7">
        <v>156</v>
      </c>
      <c r="M2" s="7">
        <v>157</v>
      </c>
      <c r="N2" s="7">
        <v>157</v>
      </c>
      <c r="O2" s="7">
        <v>157</v>
      </c>
      <c r="P2" s="7">
        <v>157</v>
      </c>
      <c r="Q2" s="7">
        <v>157</v>
      </c>
    </row>
    <row r="3" spans="1:17" x14ac:dyDescent="0.2">
      <c r="A3" s="11" t="s">
        <v>22</v>
      </c>
      <c r="B3" s="8" t="s">
        <v>17</v>
      </c>
      <c r="C3" s="7">
        <v>155</v>
      </c>
      <c r="D3" s="7">
        <v>155</v>
      </c>
      <c r="E3" s="7">
        <v>155</v>
      </c>
      <c r="F3" s="7">
        <v>155</v>
      </c>
      <c r="G3" s="7">
        <v>155</v>
      </c>
      <c r="H3" s="7">
        <v>155</v>
      </c>
      <c r="I3" s="7">
        <v>155</v>
      </c>
      <c r="J3" s="7">
        <v>155</v>
      </c>
      <c r="K3" s="7">
        <v>155</v>
      </c>
      <c r="L3" s="7">
        <v>155</v>
      </c>
      <c r="M3" s="7">
        <v>155</v>
      </c>
      <c r="N3" s="7">
        <v>155</v>
      </c>
      <c r="O3" s="7">
        <v>155</v>
      </c>
      <c r="P3" s="7">
        <v>155</v>
      </c>
      <c r="Q3" s="7">
        <v>155</v>
      </c>
    </row>
    <row r="4" spans="1:17" x14ac:dyDescent="0.2">
      <c r="A4" s="12" t="s">
        <v>22</v>
      </c>
      <c r="B4" s="9" t="s">
        <v>18</v>
      </c>
      <c r="C4" s="7">
        <v>144</v>
      </c>
      <c r="D4" s="7">
        <v>150</v>
      </c>
      <c r="E4" s="7">
        <v>148</v>
      </c>
      <c r="F4" s="7">
        <v>145</v>
      </c>
      <c r="G4" s="13">
        <v>163</v>
      </c>
      <c r="H4" s="13">
        <v>159</v>
      </c>
      <c r="I4" s="13">
        <v>156</v>
      </c>
      <c r="J4" s="7">
        <v>152</v>
      </c>
      <c r="K4" s="7">
        <v>149</v>
      </c>
      <c r="L4" s="7">
        <v>128</v>
      </c>
      <c r="M4" s="7">
        <v>127</v>
      </c>
      <c r="N4" s="7">
        <v>126</v>
      </c>
      <c r="O4" s="7">
        <v>106</v>
      </c>
      <c r="P4" s="7">
        <v>102</v>
      </c>
      <c r="Q4" s="7">
        <v>101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0.95889999999999997</v>
      </c>
      <c r="D6" s="18">
        <v>0.97760000000000002</v>
      </c>
      <c r="E6" s="18">
        <v>0.95399999999999996</v>
      </c>
      <c r="F6" s="18">
        <v>0.93789999999999996</v>
      </c>
      <c r="G6" s="18">
        <v>1.0499000000000001</v>
      </c>
      <c r="H6" s="18">
        <v>1.0273000000000001</v>
      </c>
      <c r="I6" s="18">
        <v>1.0111000000000001</v>
      </c>
      <c r="J6" s="18">
        <v>0.9869</v>
      </c>
      <c r="K6" s="18">
        <v>0.96970000000000001</v>
      </c>
      <c r="L6" s="18">
        <v>0.82</v>
      </c>
      <c r="M6" s="18">
        <v>0.81040000000000001</v>
      </c>
      <c r="N6" s="18">
        <v>0.80279999999999996</v>
      </c>
      <c r="O6" s="18">
        <v>0.67749999999999999</v>
      </c>
      <c r="P6" s="18">
        <v>0.64880000000000004</v>
      </c>
      <c r="Q6" s="18">
        <v>0.64300000000000002</v>
      </c>
    </row>
    <row r="7" spans="1:17" x14ac:dyDescent="0.2">
      <c r="A7" s="16"/>
      <c r="B7" s="17" t="s">
        <v>24</v>
      </c>
      <c r="C7" s="19">
        <v>6</v>
      </c>
      <c r="D7" s="19">
        <v>3</v>
      </c>
      <c r="E7" s="19">
        <v>7</v>
      </c>
      <c r="F7" s="19">
        <v>10</v>
      </c>
      <c r="G7" s="19">
        <v>-8</v>
      </c>
      <c r="H7" s="19">
        <v>-4</v>
      </c>
      <c r="I7" s="19">
        <v>-2</v>
      </c>
      <c r="J7" s="19">
        <v>2</v>
      </c>
      <c r="K7" s="19">
        <v>5</v>
      </c>
      <c r="L7" s="19">
        <v>28</v>
      </c>
      <c r="M7" s="19">
        <v>30</v>
      </c>
      <c r="N7" s="19">
        <v>31</v>
      </c>
      <c r="O7" s="19">
        <v>51</v>
      </c>
      <c r="P7" s="19">
        <v>55</v>
      </c>
      <c r="Q7" s="19">
        <v>56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117</v>
      </c>
      <c r="D9" s="7">
        <v>118</v>
      </c>
      <c r="E9" s="7">
        <v>117</v>
      </c>
      <c r="F9" s="7">
        <v>116</v>
      </c>
      <c r="G9" s="7">
        <v>116</v>
      </c>
      <c r="H9" s="7">
        <v>116</v>
      </c>
      <c r="I9" s="7">
        <v>115</v>
      </c>
      <c r="J9" s="7">
        <v>115</v>
      </c>
      <c r="K9" s="7">
        <v>115</v>
      </c>
      <c r="L9" s="7">
        <v>117</v>
      </c>
      <c r="M9" s="7">
        <v>118</v>
      </c>
      <c r="N9" s="7">
        <v>118</v>
      </c>
      <c r="O9" s="7">
        <v>118</v>
      </c>
      <c r="P9" s="7">
        <v>118</v>
      </c>
      <c r="Q9" s="7">
        <v>118</v>
      </c>
    </row>
    <row r="10" spans="1:17" x14ac:dyDescent="0.2">
      <c r="A10" s="8" t="s">
        <v>17</v>
      </c>
      <c r="B10" s="11" t="s">
        <v>19</v>
      </c>
      <c r="C10" s="7">
        <v>117</v>
      </c>
      <c r="D10" s="7">
        <v>117</v>
      </c>
      <c r="E10" s="7">
        <v>117</v>
      </c>
      <c r="F10" s="7">
        <v>117</v>
      </c>
      <c r="G10" s="7">
        <v>117</v>
      </c>
      <c r="H10" s="7">
        <v>117</v>
      </c>
      <c r="I10" s="7">
        <v>117</v>
      </c>
      <c r="J10" s="7">
        <v>117</v>
      </c>
      <c r="K10" s="7">
        <v>117</v>
      </c>
      <c r="L10" s="7">
        <v>117</v>
      </c>
      <c r="M10" s="7">
        <v>117</v>
      </c>
      <c r="N10" s="7">
        <v>117</v>
      </c>
      <c r="O10" s="7">
        <v>117</v>
      </c>
      <c r="P10" s="7">
        <v>117</v>
      </c>
      <c r="Q10" s="7">
        <v>117</v>
      </c>
    </row>
    <row r="11" spans="1:17" x14ac:dyDescent="0.2">
      <c r="A11" s="15" t="s">
        <v>18</v>
      </c>
      <c r="B11" s="12" t="s">
        <v>19</v>
      </c>
      <c r="C11" s="7">
        <v>113</v>
      </c>
      <c r="D11" s="7">
        <v>115</v>
      </c>
      <c r="E11" s="7">
        <v>113</v>
      </c>
      <c r="F11" s="7">
        <v>110</v>
      </c>
      <c r="G11" s="13">
        <v>117</v>
      </c>
      <c r="H11" s="7">
        <v>114</v>
      </c>
      <c r="I11" s="7">
        <v>112</v>
      </c>
      <c r="J11" s="7">
        <v>111</v>
      </c>
      <c r="K11" s="7">
        <v>109</v>
      </c>
      <c r="L11" s="7">
        <v>97</v>
      </c>
      <c r="M11" s="7">
        <v>96</v>
      </c>
      <c r="N11" s="7">
        <v>95</v>
      </c>
      <c r="O11" s="7">
        <v>85</v>
      </c>
      <c r="P11" s="7">
        <v>82</v>
      </c>
      <c r="Q11" s="7">
        <v>81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21</v>
      </c>
      <c r="D13" s="7">
        <v>21</v>
      </c>
      <c r="E13" s="7">
        <v>21</v>
      </c>
      <c r="F13" s="7">
        <v>21</v>
      </c>
      <c r="G13" s="7">
        <v>21</v>
      </c>
      <c r="H13" s="7">
        <v>21</v>
      </c>
      <c r="I13" s="7">
        <v>21</v>
      </c>
      <c r="J13" s="7">
        <v>21</v>
      </c>
      <c r="K13" s="7">
        <v>21</v>
      </c>
      <c r="L13" s="7">
        <v>21</v>
      </c>
      <c r="M13" s="7">
        <v>21</v>
      </c>
      <c r="N13" s="7">
        <v>21</v>
      </c>
      <c r="O13" s="7">
        <v>21</v>
      </c>
      <c r="P13" s="7">
        <v>21</v>
      </c>
      <c r="Q13" s="7">
        <v>21</v>
      </c>
    </row>
    <row r="14" spans="1:17" x14ac:dyDescent="0.2">
      <c r="A14" s="8" t="s">
        <v>17</v>
      </c>
      <c r="B14" s="11" t="s">
        <v>20</v>
      </c>
      <c r="C14" s="7">
        <v>21</v>
      </c>
      <c r="D14" s="7">
        <v>21</v>
      </c>
      <c r="E14" s="7">
        <v>21</v>
      </c>
      <c r="F14" s="7">
        <v>21</v>
      </c>
      <c r="G14" s="7">
        <v>21</v>
      </c>
      <c r="H14" s="7">
        <v>21</v>
      </c>
      <c r="I14" s="7">
        <v>21</v>
      </c>
      <c r="J14" s="7">
        <v>21</v>
      </c>
      <c r="K14" s="7">
        <v>21</v>
      </c>
      <c r="L14" s="7">
        <v>21</v>
      </c>
      <c r="M14" s="7">
        <v>21</v>
      </c>
      <c r="N14" s="7">
        <v>21</v>
      </c>
      <c r="O14" s="7">
        <v>21</v>
      </c>
      <c r="P14" s="7">
        <v>21</v>
      </c>
      <c r="Q14" s="7">
        <v>21</v>
      </c>
    </row>
    <row r="15" spans="1:17" x14ac:dyDescent="0.2">
      <c r="A15" s="15" t="s">
        <v>18</v>
      </c>
      <c r="B15" s="12" t="s">
        <v>20</v>
      </c>
      <c r="C15" s="7">
        <v>21</v>
      </c>
      <c r="D15" s="7">
        <v>21</v>
      </c>
      <c r="E15" s="7">
        <v>20</v>
      </c>
      <c r="F15" s="7">
        <v>19</v>
      </c>
      <c r="G15" s="7">
        <v>21</v>
      </c>
      <c r="H15" s="7">
        <v>21</v>
      </c>
      <c r="I15" s="7">
        <v>21</v>
      </c>
      <c r="J15" s="7">
        <v>21</v>
      </c>
      <c r="K15" s="7">
        <v>20</v>
      </c>
      <c r="L15" s="7">
        <v>19</v>
      </c>
      <c r="M15" s="7">
        <v>19</v>
      </c>
      <c r="N15" s="7">
        <v>19</v>
      </c>
      <c r="O15" s="7">
        <v>18</v>
      </c>
      <c r="P15" s="7">
        <v>17</v>
      </c>
      <c r="Q15" s="7">
        <v>17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10</v>
      </c>
      <c r="D19" s="7">
        <v>14</v>
      </c>
      <c r="E19" s="7">
        <v>15</v>
      </c>
      <c r="F19" s="7">
        <v>16</v>
      </c>
      <c r="G19" s="13">
        <v>25</v>
      </c>
      <c r="H19" s="13">
        <v>25</v>
      </c>
      <c r="I19" s="13">
        <v>23</v>
      </c>
      <c r="J19" s="13">
        <v>21</v>
      </c>
      <c r="K19" s="13">
        <v>21</v>
      </c>
      <c r="L19" s="7">
        <v>12</v>
      </c>
      <c r="M19" s="7">
        <v>12</v>
      </c>
      <c r="N19" s="7">
        <v>12</v>
      </c>
      <c r="O19" s="7">
        <v>3</v>
      </c>
      <c r="P19" s="7">
        <v>3</v>
      </c>
      <c r="Q19" s="7">
        <v>3</v>
      </c>
    </row>
    <row r="22" spans="1:17" x14ac:dyDescent="0.2">
      <c r="A22" s="59" t="s">
        <v>22</v>
      </c>
      <c r="B22" s="60" t="s">
        <v>122</v>
      </c>
      <c r="C22" s="61">
        <v>11</v>
      </c>
      <c r="D22" s="61">
        <v>11</v>
      </c>
      <c r="E22" s="61">
        <v>11</v>
      </c>
      <c r="F22" s="61">
        <v>11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126.8</v>
      </c>
      <c r="D23" s="61">
        <v>132.74</v>
      </c>
      <c r="E23" s="61">
        <v>132.78</v>
      </c>
      <c r="F23" s="61">
        <v>66.14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153</v>
      </c>
      <c r="D32" s="20">
        <v>155</v>
      </c>
      <c r="E32" s="20">
        <v>154</v>
      </c>
      <c r="F32" s="20">
        <v>157</v>
      </c>
      <c r="G32" s="20">
        <v>157</v>
      </c>
      <c r="H32" s="20"/>
    </row>
    <row r="33" spans="1:8" x14ac:dyDescent="0.2">
      <c r="A33" s="11" t="s">
        <v>22</v>
      </c>
      <c r="B33" s="8" t="s">
        <v>17</v>
      </c>
      <c r="C33" s="20">
        <v>155</v>
      </c>
      <c r="D33" s="20">
        <v>155</v>
      </c>
      <c r="E33" s="20">
        <v>155</v>
      </c>
      <c r="F33" s="20">
        <v>155</v>
      </c>
      <c r="G33" s="20">
        <v>155</v>
      </c>
      <c r="H33" s="20"/>
    </row>
    <row r="34" spans="1:8" x14ac:dyDescent="0.2">
      <c r="A34" s="12" t="s">
        <v>22</v>
      </c>
      <c r="B34" s="9" t="s">
        <v>18</v>
      </c>
      <c r="C34" s="20">
        <v>147</v>
      </c>
      <c r="D34" s="13">
        <v>156</v>
      </c>
      <c r="E34" s="20">
        <v>152</v>
      </c>
      <c r="F34" s="20">
        <v>127</v>
      </c>
      <c r="G34" s="20">
        <v>103</v>
      </c>
      <c r="H34" s="20"/>
    </row>
    <row r="35" spans="1:8" x14ac:dyDescent="0.2">
      <c r="A35" s="16"/>
      <c r="B35" s="7"/>
      <c r="C35" s="24">
        <v>3.6499999999999998E-2</v>
      </c>
      <c r="D35" s="24">
        <v>-5.0000000000000001E-3</v>
      </c>
      <c r="E35" s="24">
        <v>1.0800000000000001E-2</v>
      </c>
      <c r="F35" s="24">
        <v>0.189</v>
      </c>
      <c r="G35" s="24">
        <v>0.34360000000000002</v>
      </c>
      <c r="H35" s="7"/>
    </row>
    <row r="36" spans="1:8" x14ac:dyDescent="0.2">
      <c r="A36" s="7"/>
      <c r="B36" s="17" t="s">
        <v>23</v>
      </c>
      <c r="C36" s="18">
        <v>0.96350000000000002</v>
      </c>
      <c r="D36" s="18">
        <v>1.0049999999999999</v>
      </c>
      <c r="E36" s="18">
        <v>0.98919999999999997</v>
      </c>
      <c r="F36" s="18">
        <v>0.81100000000000005</v>
      </c>
      <c r="G36" s="18">
        <v>0.65639999999999998</v>
      </c>
      <c r="H36" s="19"/>
    </row>
    <row r="37" spans="1:8" x14ac:dyDescent="0.2">
      <c r="A37" s="16"/>
      <c r="B37" s="17" t="s">
        <v>24</v>
      </c>
      <c r="C37" s="19">
        <v>6</v>
      </c>
      <c r="D37" s="19">
        <v>-1</v>
      </c>
      <c r="E37" s="19">
        <v>2</v>
      </c>
      <c r="F37" s="19">
        <v>12</v>
      </c>
      <c r="G37" s="19">
        <v>54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117</v>
      </c>
      <c r="D39" s="20">
        <v>116</v>
      </c>
      <c r="E39" s="20">
        <v>115</v>
      </c>
      <c r="F39" s="20">
        <v>118</v>
      </c>
      <c r="G39" s="20">
        <v>118</v>
      </c>
      <c r="H39" s="20"/>
    </row>
    <row r="40" spans="1:8" x14ac:dyDescent="0.2">
      <c r="A40" s="8" t="s">
        <v>17</v>
      </c>
      <c r="B40" s="11" t="s">
        <v>19</v>
      </c>
      <c r="C40" s="20">
        <v>117</v>
      </c>
      <c r="D40" s="20">
        <v>117</v>
      </c>
      <c r="E40" s="20">
        <v>117</v>
      </c>
      <c r="F40" s="20">
        <v>117</v>
      </c>
      <c r="G40" s="20">
        <v>117</v>
      </c>
      <c r="H40" s="20"/>
    </row>
    <row r="41" spans="1:8" x14ac:dyDescent="0.2">
      <c r="A41" s="15" t="s">
        <v>18</v>
      </c>
      <c r="B41" s="12" t="s">
        <v>19</v>
      </c>
      <c r="C41" s="20">
        <v>114</v>
      </c>
      <c r="D41" s="20">
        <v>114</v>
      </c>
      <c r="E41" s="20">
        <v>111</v>
      </c>
      <c r="F41" s="20">
        <v>96</v>
      </c>
      <c r="G41" s="20">
        <v>82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21</v>
      </c>
      <c r="D43" s="20">
        <v>21</v>
      </c>
      <c r="E43" s="20">
        <v>21</v>
      </c>
      <c r="F43" s="20">
        <v>21</v>
      </c>
      <c r="G43" s="20">
        <v>21</v>
      </c>
      <c r="H43" s="20"/>
    </row>
    <row r="44" spans="1:8" x14ac:dyDescent="0.2">
      <c r="A44" s="8" t="s">
        <v>17</v>
      </c>
      <c r="B44" s="11" t="s">
        <v>20</v>
      </c>
      <c r="C44" s="20">
        <v>21</v>
      </c>
      <c r="D44" s="20">
        <v>21</v>
      </c>
      <c r="E44" s="20">
        <v>21</v>
      </c>
      <c r="F44" s="20">
        <v>21</v>
      </c>
      <c r="G44" s="20">
        <v>21</v>
      </c>
      <c r="H44" s="20"/>
    </row>
    <row r="45" spans="1:8" x14ac:dyDescent="0.2">
      <c r="A45" s="15" t="s">
        <v>18</v>
      </c>
      <c r="B45" s="12" t="s">
        <v>20</v>
      </c>
      <c r="C45" s="20">
        <v>21</v>
      </c>
      <c r="D45" s="20">
        <v>20</v>
      </c>
      <c r="E45" s="20">
        <v>20</v>
      </c>
      <c r="F45" s="20">
        <v>19</v>
      </c>
      <c r="G45" s="20">
        <v>18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13</v>
      </c>
      <c r="D49" s="13">
        <v>22</v>
      </c>
      <c r="E49" s="13">
        <v>21</v>
      </c>
      <c r="F49" s="20">
        <v>12</v>
      </c>
      <c r="G49" s="20">
        <v>3</v>
      </c>
      <c r="H49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015-7BB2-AC45-881D-E4A438F6EDE6}">
  <dimension ref="A1:Q4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111</v>
      </c>
      <c r="D2" s="7">
        <v>114</v>
      </c>
      <c r="E2" s="7">
        <v>116</v>
      </c>
      <c r="F2" s="7">
        <v>118</v>
      </c>
      <c r="G2" s="7">
        <v>118</v>
      </c>
      <c r="H2" s="7">
        <v>118</v>
      </c>
      <c r="I2" s="7">
        <v>118</v>
      </c>
      <c r="J2" s="7">
        <v>118</v>
      </c>
      <c r="K2" s="7">
        <v>118</v>
      </c>
      <c r="L2" s="7">
        <v>118</v>
      </c>
      <c r="M2" s="7">
        <v>118</v>
      </c>
      <c r="N2" s="7">
        <v>118</v>
      </c>
      <c r="O2" s="7">
        <v>118</v>
      </c>
      <c r="P2" s="7">
        <v>118</v>
      </c>
      <c r="Q2" s="7">
        <v>118</v>
      </c>
    </row>
    <row r="3" spans="1:17" x14ac:dyDescent="0.2">
      <c r="A3" s="11" t="s">
        <v>22</v>
      </c>
      <c r="B3" s="8" t="s">
        <v>17</v>
      </c>
      <c r="C3" s="7">
        <v>117</v>
      </c>
      <c r="D3" s="7">
        <v>117</v>
      </c>
      <c r="E3" s="7">
        <v>117</v>
      </c>
      <c r="F3" s="7">
        <v>117</v>
      </c>
      <c r="G3" s="7">
        <v>117</v>
      </c>
      <c r="H3" s="7">
        <v>117</v>
      </c>
      <c r="I3" s="7">
        <v>117</v>
      </c>
      <c r="J3" s="7">
        <v>117</v>
      </c>
      <c r="K3" s="7">
        <v>117</v>
      </c>
      <c r="L3" s="7">
        <v>117</v>
      </c>
      <c r="M3" s="7">
        <v>117</v>
      </c>
      <c r="N3" s="7">
        <v>117</v>
      </c>
      <c r="O3" s="7">
        <v>117</v>
      </c>
      <c r="P3" s="7">
        <v>117</v>
      </c>
      <c r="Q3" s="7">
        <v>117</v>
      </c>
    </row>
    <row r="4" spans="1:17" x14ac:dyDescent="0.2">
      <c r="A4" s="12" t="s">
        <v>22</v>
      </c>
      <c r="B4" s="9" t="s">
        <v>18</v>
      </c>
      <c r="C4" s="7">
        <v>108</v>
      </c>
      <c r="D4" s="13">
        <v>114</v>
      </c>
      <c r="E4" s="7">
        <v>113</v>
      </c>
      <c r="F4" s="7">
        <v>111</v>
      </c>
      <c r="G4" s="13">
        <v>128</v>
      </c>
      <c r="H4" s="13">
        <v>126</v>
      </c>
      <c r="I4" s="13">
        <v>122</v>
      </c>
      <c r="J4" s="13">
        <v>119</v>
      </c>
      <c r="K4" s="7">
        <v>116</v>
      </c>
      <c r="L4" s="7">
        <v>97</v>
      </c>
      <c r="M4" s="7">
        <v>95</v>
      </c>
      <c r="N4" s="7">
        <v>95</v>
      </c>
      <c r="O4" s="7">
        <v>77</v>
      </c>
      <c r="P4" s="7">
        <v>72</v>
      </c>
      <c r="Q4" s="7">
        <v>72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0.97499999999999998</v>
      </c>
      <c r="D6" s="18">
        <v>1.0038</v>
      </c>
      <c r="E6" s="18">
        <v>0.97719999999999996</v>
      </c>
      <c r="F6" s="18">
        <v>0.93889999999999996</v>
      </c>
      <c r="G6" s="18">
        <v>1.0855999999999999</v>
      </c>
      <c r="H6" s="18">
        <v>1.0636000000000001</v>
      </c>
      <c r="I6" s="18">
        <v>1.0369999999999999</v>
      </c>
      <c r="J6" s="18">
        <v>1.0058</v>
      </c>
      <c r="K6" s="18">
        <v>0.98409999999999997</v>
      </c>
      <c r="L6" s="18">
        <v>0.81930000000000003</v>
      </c>
      <c r="M6" s="18">
        <v>0.80610000000000004</v>
      </c>
      <c r="N6" s="18">
        <v>0.80530000000000002</v>
      </c>
      <c r="O6" s="18">
        <v>0.65129999999999999</v>
      </c>
      <c r="P6" s="18">
        <v>0.61419999999999997</v>
      </c>
      <c r="Q6" s="18">
        <v>0.60650000000000004</v>
      </c>
    </row>
    <row r="7" spans="1:17" x14ac:dyDescent="0.2">
      <c r="A7" s="16"/>
      <c r="B7" s="17" t="s">
        <v>24</v>
      </c>
      <c r="C7" s="19">
        <v>3</v>
      </c>
      <c r="D7" s="19">
        <v>0</v>
      </c>
      <c r="E7" s="19">
        <v>3</v>
      </c>
      <c r="F7" s="19">
        <v>7</v>
      </c>
      <c r="G7" s="19">
        <v>-10</v>
      </c>
      <c r="H7" s="19">
        <v>-8</v>
      </c>
      <c r="I7" s="19">
        <v>-4</v>
      </c>
      <c r="J7" s="19">
        <v>-1</v>
      </c>
      <c r="K7" s="19">
        <v>2</v>
      </c>
      <c r="L7" s="19">
        <v>21</v>
      </c>
      <c r="M7" s="19">
        <v>23</v>
      </c>
      <c r="N7" s="19">
        <v>23</v>
      </c>
      <c r="O7" s="19">
        <v>41</v>
      </c>
      <c r="P7" s="19">
        <v>46</v>
      </c>
      <c r="Q7" s="19">
        <v>46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80</v>
      </c>
      <c r="D9" s="7">
        <v>81</v>
      </c>
      <c r="E9" s="7">
        <v>80</v>
      </c>
      <c r="F9" s="7">
        <v>81</v>
      </c>
      <c r="G9" s="7">
        <v>81</v>
      </c>
      <c r="H9" s="7">
        <v>81</v>
      </c>
      <c r="I9" s="7">
        <v>81</v>
      </c>
      <c r="J9" s="7">
        <v>81</v>
      </c>
      <c r="K9" s="7">
        <v>81</v>
      </c>
      <c r="L9" s="7">
        <v>81</v>
      </c>
      <c r="M9" s="7">
        <v>81</v>
      </c>
      <c r="N9" s="7">
        <v>81</v>
      </c>
      <c r="O9" s="7">
        <v>81</v>
      </c>
      <c r="P9" s="7">
        <v>81</v>
      </c>
      <c r="Q9" s="7">
        <v>81</v>
      </c>
    </row>
    <row r="10" spans="1:17" x14ac:dyDescent="0.2">
      <c r="A10" s="8" t="s">
        <v>17</v>
      </c>
      <c r="B10" s="11" t="s">
        <v>19</v>
      </c>
      <c r="C10" s="7">
        <v>81</v>
      </c>
      <c r="D10" s="7">
        <v>81</v>
      </c>
      <c r="E10" s="7">
        <v>81</v>
      </c>
      <c r="F10" s="7">
        <v>81</v>
      </c>
      <c r="G10" s="7">
        <v>81</v>
      </c>
      <c r="H10" s="7">
        <v>81</v>
      </c>
      <c r="I10" s="7">
        <v>81</v>
      </c>
      <c r="J10" s="7">
        <v>81</v>
      </c>
      <c r="K10" s="7">
        <v>81</v>
      </c>
      <c r="L10" s="7">
        <v>81</v>
      </c>
      <c r="M10" s="7">
        <v>81</v>
      </c>
      <c r="N10" s="7">
        <v>81</v>
      </c>
      <c r="O10" s="7">
        <v>81</v>
      </c>
      <c r="P10" s="7">
        <v>81</v>
      </c>
      <c r="Q10" s="7">
        <v>81</v>
      </c>
    </row>
    <row r="11" spans="1:17" x14ac:dyDescent="0.2">
      <c r="A11" s="15" t="s">
        <v>18</v>
      </c>
      <c r="B11" s="12" t="s">
        <v>19</v>
      </c>
      <c r="C11" s="7">
        <v>80</v>
      </c>
      <c r="D11" s="13">
        <v>82</v>
      </c>
      <c r="E11" s="13">
        <v>80</v>
      </c>
      <c r="F11" s="7">
        <v>78</v>
      </c>
      <c r="G11" s="13">
        <v>84</v>
      </c>
      <c r="H11" s="13">
        <v>82</v>
      </c>
      <c r="I11" s="7">
        <v>81</v>
      </c>
      <c r="J11" s="7">
        <v>79</v>
      </c>
      <c r="K11" s="7">
        <v>78</v>
      </c>
      <c r="L11" s="7">
        <v>68</v>
      </c>
      <c r="M11" s="7">
        <v>66</v>
      </c>
      <c r="N11" s="7">
        <v>66</v>
      </c>
      <c r="O11" s="7">
        <v>57</v>
      </c>
      <c r="P11" s="7">
        <v>54</v>
      </c>
      <c r="Q11" s="7">
        <v>53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19</v>
      </c>
      <c r="D13" s="7">
        <v>19</v>
      </c>
      <c r="E13" s="7">
        <v>19</v>
      </c>
      <c r="F13" s="7">
        <v>19</v>
      </c>
      <c r="G13" s="7">
        <v>19</v>
      </c>
      <c r="H13" s="7">
        <v>19</v>
      </c>
      <c r="I13" s="7">
        <v>19</v>
      </c>
      <c r="J13" s="7">
        <v>19</v>
      </c>
      <c r="K13" s="7">
        <v>19</v>
      </c>
      <c r="L13" s="7">
        <v>19</v>
      </c>
      <c r="M13" s="7">
        <v>19</v>
      </c>
      <c r="N13" s="7">
        <v>19</v>
      </c>
      <c r="O13" s="7">
        <v>19</v>
      </c>
      <c r="P13" s="7">
        <v>19</v>
      </c>
      <c r="Q13" s="7">
        <v>19</v>
      </c>
    </row>
    <row r="14" spans="1:17" x14ac:dyDescent="0.2">
      <c r="A14" s="8" t="s">
        <v>17</v>
      </c>
      <c r="B14" s="11" t="s">
        <v>20</v>
      </c>
      <c r="C14" s="7">
        <v>19</v>
      </c>
      <c r="D14" s="7">
        <v>19</v>
      </c>
      <c r="E14" s="7">
        <v>19</v>
      </c>
      <c r="F14" s="7">
        <v>19</v>
      </c>
      <c r="G14" s="7">
        <v>19</v>
      </c>
      <c r="H14" s="7">
        <v>19</v>
      </c>
      <c r="I14" s="7">
        <v>19</v>
      </c>
      <c r="J14" s="7">
        <v>19</v>
      </c>
      <c r="K14" s="7">
        <v>19</v>
      </c>
      <c r="L14" s="7">
        <v>19</v>
      </c>
      <c r="M14" s="7">
        <v>19</v>
      </c>
      <c r="N14" s="7">
        <v>19</v>
      </c>
      <c r="O14" s="7">
        <v>19</v>
      </c>
      <c r="P14" s="7">
        <v>19</v>
      </c>
      <c r="Q14" s="7">
        <v>19</v>
      </c>
    </row>
    <row r="15" spans="1:17" x14ac:dyDescent="0.2">
      <c r="A15" s="15" t="s">
        <v>18</v>
      </c>
      <c r="B15" s="12" t="s">
        <v>20</v>
      </c>
      <c r="C15" s="7">
        <v>19</v>
      </c>
      <c r="D15" s="7">
        <v>19</v>
      </c>
      <c r="E15" s="7">
        <v>18</v>
      </c>
      <c r="F15" s="7">
        <v>17</v>
      </c>
      <c r="G15" s="7">
        <v>19</v>
      </c>
      <c r="H15" s="7">
        <v>19</v>
      </c>
      <c r="I15" s="7">
        <v>19</v>
      </c>
      <c r="J15" s="7">
        <v>19</v>
      </c>
      <c r="K15" s="7">
        <v>18</v>
      </c>
      <c r="L15" s="7">
        <v>17</v>
      </c>
      <c r="M15" s="7">
        <v>17</v>
      </c>
      <c r="N15" s="7">
        <v>17</v>
      </c>
      <c r="O15" s="7">
        <v>16</v>
      </c>
      <c r="P15" s="7">
        <v>15</v>
      </c>
      <c r="Q15" s="7">
        <v>15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10</v>
      </c>
      <c r="D19" s="7">
        <v>14</v>
      </c>
      <c r="E19" s="7">
        <v>15</v>
      </c>
      <c r="F19" s="7">
        <v>16</v>
      </c>
      <c r="G19" s="13">
        <v>25</v>
      </c>
      <c r="H19" s="13">
        <v>25</v>
      </c>
      <c r="I19" s="13">
        <v>23</v>
      </c>
      <c r="J19" s="13">
        <v>21</v>
      </c>
      <c r="K19" s="13">
        <v>21</v>
      </c>
      <c r="L19" s="7">
        <v>12</v>
      </c>
      <c r="M19" s="7">
        <v>12</v>
      </c>
      <c r="N19" s="7">
        <v>12</v>
      </c>
      <c r="O19" s="7">
        <v>3</v>
      </c>
      <c r="P19" s="7">
        <v>3</v>
      </c>
      <c r="Q19" s="7">
        <v>3</v>
      </c>
    </row>
    <row r="22" spans="1:17" x14ac:dyDescent="0.2">
      <c r="A22" s="59" t="s">
        <v>22</v>
      </c>
      <c r="B22" s="60" t="s">
        <v>122</v>
      </c>
      <c r="C22" s="61">
        <v>6</v>
      </c>
      <c r="D22" s="61">
        <v>6</v>
      </c>
      <c r="E22" s="61">
        <v>6</v>
      </c>
      <c r="F22" s="61">
        <v>6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94.74</v>
      </c>
      <c r="D23" s="61">
        <v>99.94</v>
      </c>
      <c r="E23" s="61">
        <v>100.63</v>
      </c>
      <c r="F23" s="61">
        <v>50.11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114</v>
      </c>
      <c r="D32" s="20">
        <v>118</v>
      </c>
      <c r="E32" s="20">
        <v>118</v>
      </c>
      <c r="F32" s="20">
        <v>118</v>
      </c>
      <c r="G32" s="20">
        <v>118</v>
      </c>
      <c r="H32" s="20"/>
    </row>
    <row r="33" spans="1:8" x14ac:dyDescent="0.2">
      <c r="A33" s="11" t="s">
        <v>22</v>
      </c>
      <c r="B33" s="8" t="s">
        <v>17</v>
      </c>
      <c r="C33" s="20">
        <v>117</v>
      </c>
      <c r="D33" s="20">
        <v>117</v>
      </c>
      <c r="E33" s="20">
        <v>117</v>
      </c>
      <c r="F33" s="20">
        <v>117</v>
      </c>
      <c r="G33" s="20">
        <v>117</v>
      </c>
      <c r="H33" s="20"/>
    </row>
    <row r="34" spans="1:8" x14ac:dyDescent="0.2">
      <c r="A34" s="12" t="s">
        <v>22</v>
      </c>
      <c r="B34" s="9" t="s">
        <v>18</v>
      </c>
      <c r="C34" s="20">
        <v>112</v>
      </c>
      <c r="D34" s="13">
        <v>121</v>
      </c>
      <c r="E34" s="13">
        <v>119</v>
      </c>
      <c r="F34" s="20">
        <v>96</v>
      </c>
      <c r="G34" s="20">
        <v>74</v>
      </c>
      <c r="H34" s="20"/>
    </row>
    <row r="35" spans="1:8" x14ac:dyDescent="0.2">
      <c r="A35" s="16"/>
      <c r="B35" s="7"/>
      <c r="C35" s="24">
        <v>1.46E-2</v>
      </c>
      <c r="D35" s="24">
        <v>-2.9399999999999999E-2</v>
      </c>
      <c r="E35" s="24">
        <v>-8.8999999999999999E-3</v>
      </c>
      <c r="F35" s="24">
        <v>0.1898</v>
      </c>
      <c r="G35" s="24">
        <v>0.376</v>
      </c>
      <c r="H35" s="7"/>
    </row>
    <row r="36" spans="1:8" x14ac:dyDescent="0.2">
      <c r="A36" s="7"/>
      <c r="B36" s="17" t="s">
        <v>23</v>
      </c>
      <c r="C36" s="18">
        <v>0.98540000000000005</v>
      </c>
      <c r="D36" s="18">
        <v>1.0294000000000001</v>
      </c>
      <c r="E36" s="18">
        <v>1.0088999999999999</v>
      </c>
      <c r="F36" s="18">
        <v>0.81020000000000003</v>
      </c>
      <c r="G36" s="18">
        <v>0.624</v>
      </c>
      <c r="H36" s="19"/>
    </row>
    <row r="37" spans="1:8" x14ac:dyDescent="0.2">
      <c r="A37" s="16"/>
      <c r="B37" s="17" t="s">
        <v>24</v>
      </c>
      <c r="C37" s="19">
        <v>2</v>
      </c>
      <c r="D37" s="19">
        <v>-3</v>
      </c>
      <c r="E37" s="19">
        <v>-1</v>
      </c>
      <c r="F37" s="19">
        <v>8</v>
      </c>
      <c r="G37" s="19">
        <v>44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80</v>
      </c>
      <c r="D39" s="20">
        <v>81</v>
      </c>
      <c r="E39" s="20">
        <v>81</v>
      </c>
      <c r="F39" s="20">
        <v>81</v>
      </c>
      <c r="G39" s="20">
        <v>81</v>
      </c>
      <c r="H39" s="20"/>
    </row>
    <row r="40" spans="1:8" x14ac:dyDescent="0.2">
      <c r="A40" s="8" t="s">
        <v>17</v>
      </c>
      <c r="B40" s="11" t="s">
        <v>19</v>
      </c>
      <c r="C40" s="20">
        <v>81</v>
      </c>
      <c r="D40" s="20">
        <v>81</v>
      </c>
      <c r="E40" s="20">
        <v>81</v>
      </c>
      <c r="F40" s="20">
        <v>81</v>
      </c>
      <c r="G40" s="20">
        <v>81</v>
      </c>
      <c r="H40" s="20"/>
    </row>
    <row r="41" spans="1:8" x14ac:dyDescent="0.2">
      <c r="A41" s="15" t="s">
        <v>18</v>
      </c>
      <c r="B41" s="12" t="s">
        <v>19</v>
      </c>
      <c r="C41" s="13">
        <v>81</v>
      </c>
      <c r="D41" s="13">
        <v>81</v>
      </c>
      <c r="E41" s="20">
        <v>79</v>
      </c>
      <c r="F41" s="20">
        <v>67</v>
      </c>
      <c r="G41" s="20">
        <v>55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19</v>
      </c>
      <c r="D43" s="20">
        <v>19</v>
      </c>
      <c r="E43" s="20">
        <v>19</v>
      </c>
      <c r="F43" s="20">
        <v>19</v>
      </c>
      <c r="G43" s="20">
        <v>19</v>
      </c>
      <c r="H43" s="20"/>
    </row>
    <row r="44" spans="1:8" x14ac:dyDescent="0.2">
      <c r="A44" s="8" t="s">
        <v>17</v>
      </c>
      <c r="B44" s="11" t="s">
        <v>20</v>
      </c>
      <c r="C44" s="20">
        <v>19</v>
      </c>
      <c r="D44" s="20">
        <v>19</v>
      </c>
      <c r="E44" s="20">
        <v>19</v>
      </c>
      <c r="F44" s="20">
        <v>19</v>
      </c>
      <c r="G44" s="20">
        <v>19</v>
      </c>
      <c r="H44" s="20"/>
    </row>
    <row r="45" spans="1:8" x14ac:dyDescent="0.2">
      <c r="A45" s="15" t="s">
        <v>18</v>
      </c>
      <c r="B45" s="12" t="s">
        <v>20</v>
      </c>
      <c r="C45" s="20">
        <v>19</v>
      </c>
      <c r="D45" s="20">
        <v>18</v>
      </c>
      <c r="E45" s="20">
        <v>18</v>
      </c>
      <c r="F45" s="20">
        <v>17</v>
      </c>
      <c r="G45" s="20">
        <v>16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13</v>
      </c>
      <c r="D49" s="13">
        <v>22</v>
      </c>
      <c r="E49" s="13">
        <v>21</v>
      </c>
      <c r="F49" s="20">
        <v>12</v>
      </c>
      <c r="G49" s="20">
        <v>3</v>
      </c>
      <c r="H49" s="2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1BCB6-460F-6742-96BE-B685DA945EFE}">
  <dimension ref="A1:Q6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30</v>
      </c>
      <c r="B2" s="6" t="s">
        <v>16</v>
      </c>
      <c r="C2" s="7">
        <v>17</v>
      </c>
      <c r="D2" s="7">
        <v>17</v>
      </c>
      <c r="E2" s="7">
        <v>17</v>
      </c>
      <c r="F2" s="7">
        <v>17</v>
      </c>
      <c r="G2" s="7">
        <v>17</v>
      </c>
      <c r="H2" s="7">
        <v>17</v>
      </c>
      <c r="I2" s="7">
        <v>17</v>
      </c>
      <c r="J2" s="7">
        <v>17</v>
      </c>
      <c r="K2" s="7">
        <v>17</v>
      </c>
      <c r="L2" s="7">
        <v>17</v>
      </c>
      <c r="M2" s="7">
        <v>17</v>
      </c>
      <c r="N2" s="7">
        <v>17</v>
      </c>
      <c r="O2" s="7">
        <v>17</v>
      </c>
      <c r="P2" s="7">
        <v>17</v>
      </c>
      <c r="Q2" s="7">
        <v>17</v>
      </c>
    </row>
    <row r="3" spans="1:17" x14ac:dyDescent="0.2">
      <c r="A3" s="11" t="s">
        <v>30</v>
      </c>
      <c r="B3" s="8" t="s">
        <v>17</v>
      </c>
      <c r="C3" s="7">
        <v>17</v>
      </c>
      <c r="D3" s="7">
        <v>17</v>
      </c>
      <c r="E3" s="7">
        <v>17</v>
      </c>
      <c r="F3" s="7">
        <v>17</v>
      </c>
      <c r="G3" s="7">
        <v>17</v>
      </c>
      <c r="H3" s="7">
        <v>17</v>
      </c>
      <c r="I3" s="7">
        <v>17</v>
      </c>
      <c r="J3" s="7">
        <v>17</v>
      </c>
      <c r="K3" s="7">
        <v>17</v>
      </c>
      <c r="L3" s="7">
        <v>17</v>
      </c>
      <c r="M3" s="7">
        <v>17</v>
      </c>
      <c r="N3" s="7">
        <v>17</v>
      </c>
      <c r="O3" s="7">
        <v>17</v>
      </c>
      <c r="P3" s="7">
        <v>17</v>
      </c>
      <c r="Q3" s="7">
        <v>17</v>
      </c>
    </row>
    <row r="4" spans="1:17" x14ac:dyDescent="0.2">
      <c r="A4" s="12" t="s">
        <v>30</v>
      </c>
      <c r="B4" s="9" t="s">
        <v>18</v>
      </c>
      <c r="C4" s="13">
        <v>17.45</v>
      </c>
      <c r="D4" s="13">
        <v>17.75</v>
      </c>
      <c r="E4" s="13">
        <v>17.850000000000001</v>
      </c>
      <c r="F4" s="7">
        <v>15.07</v>
      </c>
      <c r="G4" s="7">
        <v>15.42</v>
      </c>
      <c r="H4" s="7">
        <v>14.41</v>
      </c>
      <c r="I4" s="7">
        <v>13.96</v>
      </c>
      <c r="J4" s="7">
        <v>13.81</v>
      </c>
      <c r="K4" s="7">
        <v>13.81</v>
      </c>
      <c r="L4" s="7">
        <v>12.85</v>
      </c>
      <c r="M4" s="7">
        <v>12.8</v>
      </c>
      <c r="N4" s="7">
        <v>12.8</v>
      </c>
      <c r="O4" s="7">
        <v>11.8</v>
      </c>
      <c r="P4" s="7">
        <v>11.8</v>
      </c>
      <c r="Q4" s="7">
        <v>11.8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1.0265</v>
      </c>
      <c r="D6" s="18">
        <v>1.0441</v>
      </c>
      <c r="E6" s="18">
        <v>1.05</v>
      </c>
      <c r="F6" s="18">
        <v>0.88649999999999995</v>
      </c>
      <c r="G6" s="18">
        <v>0.90710000000000002</v>
      </c>
      <c r="H6" s="18">
        <v>0.84760000000000002</v>
      </c>
      <c r="I6" s="18">
        <v>0.82120000000000004</v>
      </c>
      <c r="J6" s="18">
        <v>0.81240000000000001</v>
      </c>
      <c r="K6" s="18">
        <v>0.81240000000000001</v>
      </c>
      <c r="L6" s="18">
        <v>0.75590000000000002</v>
      </c>
      <c r="M6" s="18">
        <v>0.75290000000000001</v>
      </c>
      <c r="N6" s="18">
        <v>0.75290000000000001</v>
      </c>
      <c r="O6" s="18">
        <v>0.69410000000000005</v>
      </c>
      <c r="P6" s="18">
        <v>0.69410000000000005</v>
      </c>
      <c r="Q6" s="18">
        <v>0.69410000000000005</v>
      </c>
    </row>
    <row r="7" spans="1:17" x14ac:dyDescent="0.2">
      <c r="A7" s="16"/>
      <c r="B7" s="17" t="s">
        <v>24</v>
      </c>
      <c r="C7" s="19">
        <v>0</v>
      </c>
      <c r="D7" s="19">
        <v>-1</v>
      </c>
      <c r="E7" s="19">
        <v>-1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4</v>
      </c>
      <c r="M7" s="19">
        <v>4</v>
      </c>
      <c r="N7" s="19">
        <v>4</v>
      </c>
      <c r="O7" s="19">
        <v>5</v>
      </c>
      <c r="P7" s="19">
        <v>5</v>
      </c>
      <c r="Q7" s="19">
        <v>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17</v>
      </c>
      <c r="D9" s="7">
        <v>17</v>
      </c>
      <c r="E9" s="7">
        <v>17</v>
      </c>
      <c r="F9" s="7">
        <v>17</v>
      </c>
      <c r="G9" s="7">
        <v>17</v>
      </c>
      <c r="H9" s="7">
        <v>17</v>
      </c>
      <c r="I9" s="7">
        <v>17</v>
      </c>
      <c r="J9" s="7">
        <v>17</v>
      </c>
      <c r="K9" s="7">
        <v>17</v>
      </c>
      <c r="L9" s="7">
        <v>17</v>
      </c>
      <c r="M9" s="7">
        <v>17</v>
      </c>
      <c r="N9" s="7">
        <v>17</v>
      </c>
      <c r="O9" s="7">
        <v>17</v>
      </c>
      <c r="P9" s="7">
        <v>17</v>
      </c>
      <c r="Q9" s="7">
        <v>17</v>
      </c>
    </row>
    <row r="10" spans="1:17" x14ac:dyDescent="0.2">
      <c r="A10" s="8" t="s">
        <v>17</v>
      </c>
      <c r="B10" s="11" t="s">
        <v>19</v>
      </c>
      <c r="C10" s="7">
        <v>17</v>
      </c>
      <c r="D10" s="7">
        <v>17</v>
      </c>
      <c r="E10" s="7">
        <v>17</v>
      </c>
      <c r="F10" s="7">
        <v>17</v>
      </c>
      <c r="G10" s="7">
        <v>17</v>
      </c>
      <c r="H10" s="7">
        <v>17</v>
      </c>
      <c r="I10" s="7">
        <v>17</v>
      </c>
      <c r="J10" s="7">
        <v>17</v>
      </c>
      <c r="K10" s="7">
        <v>17</v>
      </c>
      <c r="L10" s="7">
        <v>17</v>
      </c>
      <c r="M10" s="7">
        <v>17</v>
      </c>
      <c r="N10" s="7">
        <v>17</v>
      </c>
      <c r="O10" s="7">
        <v>17</v>
      </c>
      <c r="P10" s="7">
        <v>17</v>
      </c>
      <c r="Q10" s="7">
        <v>17</v>
      </c>
    </row>
    <row r="11" spans="1:17" x14ac:dyDescent="0.2">
      <c r="A11" s="15" t="s">
        <v>18</v>
      </c>
      <c r="B11" s="12" t="s">
        <v>19</v>
      </c>
      <c r="C11" s="13">
        <v>17.45</v>
      </c>
      <c r="D11" s="13">
        <v>17.75</v>
      </c>
      <c r="E11" s="13">
        <v>17.850000000000001</v>
      </c>
      <c r="F11" s="7">
        <v>15.07</v>
      </c>
      <c r="G11" s="7">
        <v>15.42</v>
      </c>
      <c r="H11" s="7">
        <v>14.41</v>
      </c>
      <c r="I11" s="7">
        <v>13.96</v>
      </c>
      <c r="J11" s="7">
        <v>13.81</v>
      </c>
      <c r="K11" s="7">
        <v>13.81</v>
      </c>
      <c r="L11" s="7">
        <v>12.85</v>
      </c>
      <c r="M11" s="7">
        <v>12.8</v>
      </c>
      <c r="N11" s="7">
        <v>12.8</v>
      </c>
      <c r="O11" s="7">
        <v>11.8</v>
      </c>
      <c r="P11" s="7">
        <v>11.8</v>
      </c>
      <c r="Q11" s="7">
        <v>11.8</v>
      </c>
    </row>
    <row r="12" spans="1:17" x14ac:dyDescent="0.2">
      <c r="A12" s="7"/>
      <c r="B12" s="1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30</v>
      </c>
      <c r="B32" s="6" t="s">
        <v>16</v>
      </c>
      <c r="C32" s="20">
        <v>17</v>
      </c>
      <c r="D32" s="20">
        <v>17</v>
      </c>
      <c r="E32" s="20">
        <v>17</v>
      </c>
      <c r="F32" s="20">
        <v>17</v>
      </c>
      <c r="G32" s="20">
        <v>17</v>
      </c>
    </row>
    <row r="33" spans="1:7" x14ac:dyDescent="0.2">
      <c r="A33" s="11" t="s">
        <v>30</v>
      </c>
      <c r="B33" s="8" t="s">
        <v>17</v>
      </c>
      <c r="C33" s="20">
        <v>17</v>
      </c>
      <c r="D33" s="20">
        <v>17</v>
      </c>
      <c r="E33" s="20">
        <v>17</v>
      </c>
      <c r="F33" s="20">
        <v>17</v>
      </c>
      <c r="G33" s="20">
        <v>17</v>
      </c>
    </row>
    <row r="34" spans="1:7" x14ac:dyDescent="0.2">
      <c r="A34" s="12" t="s">
        <v>30</v>
      </c>
      <c r="B34" s="9" t="s">
        <v>18</v>
      </c>
      <c r="C34" s="13">
        <v>17.68333333</v>
      </c>
      <c r="D34" s="20">
        <v>14.96666667</v>
      </c>
      <c r="E34" s="20">
        <v>13.86</v>
      </c>
      <c r="F34" s="20">
        <v>12.81666667</v>
      </c>
      <c r="G34" s="20">
        <v>12</v>
      </c>
    </row>
    <row r="35" spans="1:7" x14ac:dyDescent="0.2">
      <c r="A35" s="16"/>
      <c r="B35" s="7"/>
      <c r="C35" s="24">
        <v>-4.02E-2</v>
      </c>
      <c r="D35" s="24">
        <v>0.1196</v>
      </c>
      <c r="E35" s="24">
        <v>0.1847</v>
      </c>
      <c r="F35" s="24">
        <v>0.24610000000000001</v>
      </c>
      <c r="G35" s="24">
        <v>0.30590000000000001</v>
      </c>
    </row>
    <row r="36" spans="1:7" x14ac:dyDescent="0.2">
      <c r="A36" s="7"/>
      <c r="B36" s="17" t="s">
        <v>23</v>
      </c>
      <c r="C36" s="18">
        <v>1.0402</v>
      </c>
      <c r="D36" s="18">
        <v>0.88039999999999996</v>
      </c>
      <c r="E36" s="18">
        <v>0.81530000000000002</v>
      </c>
      <c r="F36" s="18">
        <v>0.75390000000000001</v>
      </c>
      <c r="G36" s="18">
        <v>0.69410000000000005</v>
      </c>
    </row>
    <row r="37" spans="1:7" x14ac:dyDescent="0.2">
      <c r="A37" s="16"/>
      <c r="B37" s="17" t="s">
        <v>24</v>
      </c>
      <c r="C37" s="19">
        <v>-1</v>
      </c>
      <c r="D37" s="19">
        <v>2</v>
      </c>
      <c r="E37" s="19">
        <v>3</v>
      </c>
      <c r="F37" s="19">
        <v>4</v>
      </c>
      <c r="G37" s="19">
        <v>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17</v>
      </c>
      <c r="D39" s="20">
        <v>17</v>
      </c>
      <c r="E39" s="20">
        <v>17</v>
      </c>
      <c r="F39" s="20">
        <v>17</v>
      </c>
      <c r="G39" s="20">
        <v>17</v>
      </c>
    </row>
    <row r="40" spans="1:7" x14ac:dyDescent="0.2">
      <c r="A40" s="8" t="s">
        <v>17</v>
      </c>
      <c r="B40" s="11" t="s">
        <v>19</v>
      </c>
      <c r="C40" s="20">
        <v>17</v>
      </c>
      <c r="D40" s="20">
        <v>17</v>
      </c>
      <c r="E40" s="20">
        <v>17</v>
      </c>
      <c r="F40" s="20">
        <v>17</v>
      </c>
      <c r="G40" s="20">
        <v>17</v>
      </c>
    </row>
    <row r="41" spans="1:7" x14ac:dyDescent="0.2">
      <c r="A41" s="15" t="s">
        <v>18</v>
      </c>
      <c r="B41" s="12" t="s">
        <v>19</v>
      </c>
      <c r="C41" s="13">
        <v>18</v>
      </c>
      <c r="D41" s="20">
        <v>15</v>
      </c>
      <c r="E41" s="20">
        <v>14</v>
      </c>
      <c r="F41" s="20">
        <v>13</v>
      </c>
      <c r="G41" s="20">
        <v>12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17</v>
      </c>
      <c r="D62" s="27">
        <v>17</v>
      </c>
      <c r="E62" s="27">
        <v>17</v>
      </c>
      <c r="F62" s="27">
        <v>17</v>
      </c>
      <c r="G62" s="27">
        <v>17</v>
      </c>
      <c r="H62" s="27">
        <v>17</v>
      </c>
      <c r="I62" s="27">
        <v>17</v>
      </c>
      <c r="J62" s="27">
        <v>17</v>
      </c>
      <c r="K62" s="27">
        <v>17</v>
      </c>
      <c r="L62" s="27">
        <v>17</v>
      </c>
      <c r="M62" s="27">
        <v>17</v>
      </c>
      <c r="N62" s="27">
        <v>17</v>
      </c>
      <c r="O62" s="27">
        <v>17</v>
      </c>
      <c r="P62" s="27">
        <v>17</v>
      </c>
      <c r="Q62" s="27">
        <v>17</v>
      </c>
    </row>
    <row r="63" spans="1:17" x14ac:dyDescent="0.2">
      <c r="A63" s="28"/>
      <c r="B63" s="29" t="s">
        <v>18</v>
      </c>
      <c r="C63" s="30">
        <v>17.45</v>
      </c>
      <c r="D63" s="30">
        <v>17.75</v>
      </c>
      <c r="E63" s="30">
        <v>17.850000000000001</v>
      </c>
      <c r="F63" s="30">
        <v>15.07</v>
      </c>
      <c r="G63" s="30">
        <v>15.42</v>
      </c>
      <c r="H63" s="30">
        <v>14.41</v>
      </c>
      <c r="I63" s="30">
        <v>13.96</v>
      </c>
      <c r="J63" s="30">
        <v>13.81</v>
      </c>
      <c r="K63" s="30">
        <v>13.81</v>
      </c>
      <c r="L63" s="30">
        <v>12.85</v>
      </c>
      <c r="M63" s="30">
        <v>12.8</v>
      </c>
      <c r="N63" s="30">
        <v>12.8</v>
      </c>
      <c r="O63" s="30">
        <v>11.8</v>
      </c>
      <c r="P63" s="30">
        <v>11.8</v>
      </c>
      <c r="Q63" s="30">
        <v>11.8</v>
      </c>
    </row>
    <row r="64" spans="1:17" x14ac:dyDescent="0.2">
      <c r="A64" s="14" t="s">
        <v>35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35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36</v>
      </c>
      <c r="B66" s="6" t="s">
        <v>16</v>
      </c>
      <c r="C66" s="14">
        <v>11</v>
      </c>
      <c r="D66" s="14">
        <v>11</v>
      </c>
      <c r="E66" s="14">
        <v>11</v>
      </c>
      <c r="F66" s="14">
        <v>11</v>
      </c>
      <c r="G66" s="14">
        <v>11</v>
      </c>
      <c r="H66" s="14">
        <v>11</v>
      </c>
      <c r="I66" s="14">
        <v>11</v>
      </c>
      <c r="J66" s="14">
        <v>11</v>
      </c>
      <c r="K66" s="14">
        <v>11</v>
      </c>
      <c r="L66" s="14">
        <v>11</v>
      </c>
      <c r="M66" s="14">
        <v>11</v>
      </c>
      <c r="N66" s="14">
        <v>11</v>
      </c>
      <c r="O66" s="14">
        <v>11</v>
      </c>
      <c r="P66" s="14">
        <v>11</v>
      </c>
      <c r="Q66" s="14">
        <v>11</v>
      </c>
    </row>
    <row r="67" spans="1:17" x14ac:dyDescent="0.2">
      <c r="A67" s="31" t="s">
        <v>36</v>
      </c>
      <c r="B67" s="9" t="s">
        <v>18</v>
      </c>
      <c r="C67" s="7">
        <v>11.45</v>
      </c>
      <c r="D67" s="7">
        <v>11.75</v>
      </c>
      <c r="E67" s="7">
        <v>11.85</v>
      </c>
      <c r="F67" s="7">
        <v>9.07</v>
      </c>
      <c r="G67" s="7">
        <v>9.42</v>
      </c>
      <c r="H67" s="7">
        <v>8.41</v>
      </c>
      <c r="I67" s="7">
        <v>7.96</v>
      </c>
      <c r="J67" s="7">
        <v>7.81</v>
      </c>
      <c r="K67" s="7">
        <v>7.81</v>
      </c>
      <c r="L67" s="7">
        <v>6.85</v>
      </c>
      <c r="M67" s="7">
        <v>6.8</v>
      </c>
      <c r="N67" s="7">
        <v>6.8</v>
      </c>
      <c r="O67" s="7">
        <v>5.8</v>
      </c>
      <c r="P67" s="7">
        <v>5.8</v>
      </c>
      <c r="Q67" s="7">
        <v>5.8</v>
      </c>
    </row>
    <row r="68" spans="1:17" x14ac:dyDescent="0.2">
      <c r="A68" s="14" t="s">
        <v>37</v>
      </c>
      <c r="B68" s="6" t="s">
        <v>16</v>
      </c>
      <c r="C68" s="14">
        <v>5</v>
      </c>
      <c r="D68" s="14">
        <v>5</v>
      </c>
      <c r="E68" s="14">
        <v>5</v>
      </c>
      <c r="F68" s="14">
        <v>5</v>
      </c>
      <c r="G68" s="14">
        <v>5</v>
      </c>
      <c r="H68" s="14">
        <v>5</v>
      </c>
      <c r="I68" s="14">
        <v>5</v>
      </c>
      <c r="J68" s="14">
        <v>5</v>
      </c>
      <c r="K68" s="14">
        <v>5</v>
      </c>
      <c r="L68" s="14">
        <v>5</v>
      </c>
      <c r="M68" s="14">
        <v>5</v>
      </c>
      <c r="N68" s="14">
        <v>5</v>
      </c>
      <c r="O68" s="14">
        <v>5</v>
      </c>
      <c r="P68" s="14">
        <v>5</v>
      </c>
      <c r="Q68" s="14">
        <v>5</v>
      </c>
    </row>
    <row r="69" spans="1:17" x14ac:dyDescent="0.2">
      <c r="A69" s="31" t="s">
        <v>37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386D8-560B-E947-BD9B-AD6D69FB6907}">
  <dimension ref="A1:Q79"/>
  <sheetViews>
    <sheetView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C73" sqref="C73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31</v>
      </c>
      <c r="B2" s="6" t="s">
        <v>16</v>
      </c>
      <c r="C2" s="7">
        <v>48</v>
      </c>
      <c r="D2" s="7">
        <v>48</v>
      </c>
      <c r="E2" s="7">
        <v>48</v>
      </c>
      <c r="F2" s="7">
        <v>48</v>
      </c>
      <c r="G2" s="7">
        <v>48</v>
      </c>
      <c r="H2" s="7">
        <v>48</v>
      </c>
      <c r="I2" s="7">
        <v>48</v>
      </c>
      <c r="J2" s="7">
        <v>48</v>
      </c>
      <c r="K2" s="7">
        <v>48</v>
      </c>
      <c r="L2" s="7">
        <v>48</v>
      </c>
      <c r="M2" s="7">
        <v>48</v>
      </c>
      <c r="N2" s="7">
        <v>48</v>
      </c>
      <c r="O2" s="7">
        <v>48</v>
      </c>
      <c r="P2" s="7">
        <v>48</v>
      </c>
      <c r="Q2" s="7">
        <v>48</v>
      </c>
    </row>
    <row r="3" spans="1:17" x14ac:dyDescent="0.2">
      <c r="A3" s="11" t="s">
        <v>31</v>
      </c>
      <c r="B3" s="8" t="s">
        <v>17</v>
      </c>
      <c r="C3" s="7">
        <v>48</v>
      </c>
      <c r="D3" s="7">
        <v>48</v>
      </c>
      <c r="E3" s="7">
        <v>48</v>
      </c>
      <c r="F3" s="7">
        <v>48</v>
      </c>
      <c r="G3" s="7">
        <v>48</v>
      </c>
      <c r="H3" s="7">
        <v>48</v>
      </c>
      <c r="I3" s="7">
        <v>48</v>
      </c>
      <c r="J3" s="7">
        <v>48</v>
      </c>
      <c r="K3" s="7">
        <v>48</v>
      </c>
      <c r="L3" s="7">
        <v>48</v>
      </c>
      <c r="M3" s="7">
        <v>48</v>
      </c>
      <c r="N3" s="7">
        <v>48</v>
      </c>
      <c r="O3" s="7">
        <v>48</v>
      </c>
      <c r="P3" s="7">
        <v>48</v>
      </c>
      <c r="Q3" s="7">
        <v>48</v>
      </c>
    </row>
    <row r="4" spans="1:17" x14ac:dyDescent="0.2">
      <c r="A4" s="12" t="s">
        <v>31</v>
      </c>
      <c r="B4" s="9" t="s">
        <v>18</v>
      </c>
      <c r="C4" s="7">
        <v>47</v>
      </c>
      <c r="D4" s="13">
        <v>49</v>
      </c>
      <c r="E4" s="7">
        <v>46</v>
      </c>
      <c r="F4" s="7">
        <v>45</v>
      </c>
      <c r="G4" s="13">
        <v>48</v>
      </c>
      <c r="H4" s="7">
        <v>48</v>
      </c>
      <c r="I4" s="7">
        <v>45</v>
      </c>
      <c r="J4" s="7">
        <v>45</v>
      </c>
      <c r="K4" s="7">
        <v>44</v>
      </c>
      <c r="L4" s="7">
        <v>43</v>
      </c>
      <c r="M4" s="7">
        <v>43</v>
      </c>
      <c r="N4" s="7">
        <v>43</v>
      </c>
      <c r="O4" s="7">
        <v>39.700000000000003</v>
      </c>
      <c r="P4" s="7">
        <v>36.799999999999997</v>
      </c>
      <c r="Q4" s="7">
        <v>35.9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0.97289999999999999</v>
      </c>
      <c r="D6" s="18">
        <v>1.0187999999999999</v>
      </c>
      <c r="E6" s="18">
        <v>0.96460000000000001</v>
      </c>
      <c r="F6" s="18">
        <v>0.93959999999999999</v>
      </c>
      <c r="G6" s="18">
        <v>1.0021</v>
      </c>
      <c r="H6" s="18">
        <v>0.99380000000000002</v>
      </c>
      <c r="I6" s="18">
        <v>0.92920000000000003</v>
      </c>
      <c r="J6" s="18">
        <v>0.9375</v>
      </c>
      <c r="K6" s="18">
        <v>0.91459999999999997</v>
      </c>
      <c r="L6" s="18">
        <v>0.88539999999999996</v>
      </c>
      <c r="M6" s="18">
        <v>0.88539999999999996</v>
      </c>
      <c r="N6" s="18">
        <v>0.9042</v>
      </c>
      <c r="O6" s="18">
        <v>0.82709999999999995</v>
      </c>
      <c r="P6" s="18">
        <v>0.76670000000000005</v>
      </c>
      <c r="Q6" s="18">
        <v>0.74790000000000001</v>
      </c>
    </row>
    <row r="7" spans="1:17" x14ac:dyDescent="0.2">
      <c r="A7" s="16"/>
      <c r="B7" s="17" t="s">
        <v>24</v>
      </c>
      <c r="C7" s="19">
        <v>1</v>
      </c>
      <c r="D7" s="19">
        <v>-1</v>
      </c>
      <c r="E7" s="19">
        <v>2</v>
      </c>
      <c r="F7" s="19">
        <v>3</v>
      </c>
      <c r="G7" s="19">
        <v>0</v>
      </c>
      <c r="H7" s="19">
        <v>0</v>
      </c>
      <c r="I7" s="19">
        <v>3</v>
      </c>
      <c r="J7" s="19">
        <v>3</v>
      </c>
      <c r="K7" s="19">
        <v>4</v>
      </c>
      <c r="L7" s="19">
        <v>6</v>
      </c>
      <c r="M7" s="19">
        <v>6</v>
      </c>
      <c r="N7" s="19">
        <v>5</v>
      </c>
      <c r="O7" s="19">
        <v>8</v>
      </c>
      <c r="P7" s="19">
        <v>11</v>
      </c>
      <c r="Q7" s="19">
        <v>12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>
        <v>28</v>
      </c>
      <c r="J9" s="7">
        <v>28</v>
      </c>
      <c r="K9" s="7">
        <v>28</v>
      </c>
      <c r="L9" s="7">
        <v>28</v>
      </c>
      <c r="M9" s="7">
        <v>28</v>
      </c>
      <c r="N9" s="7">
        <v>28</v>
      </c>
      <c r="O9" s="7">
        <v>28</v>
      </c>
      <c r="P9" s="7">
        <v>28</v>
      </c>
      <c r="Q9" s="7">
        <v>28</v>
      </c>
    </row>
    <row r="10" spans="1:17" x14ac:dyDescent="0.2">
      <c r="A10" s="8" t="s">
        <v>17</v>
      </c>
      <c r="B10" s="11" t="s">
        <v>19</v>
      </c>
      <c r="C10" s="7">
        <v>28</v>
      </c>
      <c r="D10" s="7">
        <v>28</v>
      </c>
      <c r="E10" s="7">
        <v>28</v>
      </c>
      <c r="F10" s="7">
        <v>28</v>
      </c>
      <c r="G10" s="7">
        <v>28</v>
      </c>
      <c r="H10" s="7">
        <v>28</v>
      </c>
      <c r="I10" s="7">
        <v>28</v>
      </c>
      <c r="J10" s="7">
        <v>28</v>
      </c>
      <c r="K10" s="7">
        <v>28</v>
      </c>
      <c r="L10" s="7">
        <v>28</v>
      </c>
      <c r="M10" s="7">
        <v>28</v>
      </c>
      <c r="N10" s="7">
        <v>28</v>
      </c>
      <c r="O10" s="7">
        <v>28</v>
      </c>
      <c r="P10" s="7">
        <v>28</v>
      </c>
      <c r="Q10" s="7">
        <v>28</v>
      </c>
    </row>
    <row r="11" spans="1:17" x14ac:dyDescent="0.2">
      <c r="A11" s="15" t="s">
        <v>18</v>
      </c>
      <c r="B11" s="12" t="s">
        <v>19</v>
      </c>
      <c r="C11" s="13">
        <v>29</v>
      </c>
      <c r="D11" s="13">
        <v>29</v>
      </c>
      <c r="E11" s="7">
        <v>27</v>
      </c>
      <c r="F11" s="7">
        <v>27</v>
      </c>
      <c r="G11" s="13">
        <v>28</v>
      </c>
      <c r="H11" s="7">
        <v>28</v>
      </c>
      <c r="I11" s="7">
        <v>27</v>
      </c>
      <c r="J11" s="7">
        <v>27</v>
      </c>
      <c r="K11" s="7">
        <v>27</v>
      </c>
      <c r="L11" s="7">
        <v>26</v>
      </c>
      <c r="M11" s="7">
        <v>26</v>
      </c>
      <c r="N11" s="7">
        <v>27</v>
      </c>
      <c r="O11" s="7">
        <v>23.2</v>
      </c>
      <c r="P11" s="7">
        <v>21.3</v>
      </c>
      <c r="Q11" s="7">
        <v>20.399999999999999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17</v>
      </c>
      <c r="D13" s="7">
        <v>17</v>
      </c>
      <c r="E13" s="7">
        <v>17</v>
      </c>
      <c r="F13" s="7">
        <v>17</v>
      </c>
      <c r="G13" s="7">
        <v>17</v>
      </c>
      <c r="H13" s="7">
        <v>17</v>
      </c>
      <c r="I13" s="7">
        <v>17</v>
      </c>
      <c r="J13" s="7">
        <v>17</v>
      </c>
      <c r="K13" s="7">
        <v>17</v>
      </c>
      <c r="L13" s="7">
        <v>17</v>
      </c>
      <c r="M13" s="7">
        <v>17</v>
      </c>
      <c r="N13" s="7">
        <v>17</v>
      </c>
      <c r="O13" s="7">
        <v>17</v>
      </c>
      <c r="P13" s="7">
        <v>17</v>
      </c>
      <c r="Q13" s="7">
        <v>17</v>
      </c>
    </row>
    <row r="14" spans="1:17" x14ac:dyDescent="0.2">
      <c r="A14" s="8" t="s">
        <v>17</v>
      </c>
      <c r="B14" s="11" t="s">
        <v>20</v>
      </c>
      <c r="C14" s="7">
        <v>17</v>
      </c>
      <c r="D14" s="7">
        <v>17</v>
      </c>
      <c r="E14" s="7">
        <v>17</v>
      </c>
      <c r="F14" s="7">
        <v>17</v>
      </c>
      <c r="G14" s="7">
        <v>17</v>
      </c>
      <c r="H14" s="7">
        <v>17</v>
      </c>
      <c r="I14" s="7">
        <v>17</v>
      </c>
      <c r="J14" s="7">
        <v>17</v>
      </c>
      <c r="K14" s="7">
        <v>17</v>
      </c>
      <c r="L14" s="7">
        <v>17</v>
      </c>
      <c r="M14" s="7">
        <v>17</v>
      </c>
      <c r="N14" s="7">
        <v>17</v>
      </c>
      <c r="O14" s="7">
        <v>17</v>
      </c>
      <c r="P14" s="7">
        <v>17</v>
      </c>
      <c r="Q14" s="7">
        <v>17</v>
      </c>
    </row>
    <row r="15" spans="1:17" x14ac:dyDescent="0.2">
      <c r="A15" s="15" t="s">
        <v>18</v>
      </c>
      <c r="B15" s="12" t="s">
        <v>20</v>
      </c>
      <c r="C15" s="7">
        <v>17</v>
      </c>
      <c r="D15" s="7">
        <v>17</v>
      </c>
      <c r="E15" s="7">
        <v>16</v>
      </c>
      <c r="F15" s="7">
        <v>15</v>
      </c>
      <c r="G15" s="7">
        <v>17</v>
      </c>
      <c r="H15" s="7">
        <v>17</v>
      </c>
      <c r="I15" s="7">
        <v>17</v>
      </c>
      <c r="J15" s="7">
        <v>17</v>
      </c>
      <c r="K15" s="7">
        <v>16</v>
      </c>
      <c r="L15" s="7">
        <v>16</v>
      </c>
      <c r="M15" s="7">
        <v>16</v>
      </c>
      <c r="N15" s="7">
        <v>16</v>
      </c>
      <c r="O15" s="7">
        <v>15.5</v>
      </c>
      <c r="P15" s="7">
        <v>14.5</v>
      </c>
      <c r="Q15" s="7">
        <v>14.5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3</v>
      </c>
      <c r="D17" s="7">
        <v>3</v>
      </c>
      <c r="E17" s="7">
        <v>3</v>
      </c>
      <c r="F17" s="7">
        <v>3</v>
      </c>
      <c r="G17" s="7">
        <v>3</v>
      </c>
      <c r="H17" s="7">
        <v>3</v>
      </c>
      <c r="I17" s="7">
        <v>3</v>
      </c>
      <c r="J17" s="7">
        <v>3</v>
      </c>
      <c r="K17" s="7">
        <v>3</v>
      </c>
      <c r="L17" s="7">
        <v>3</v>
      </c>
      <c r="M17" s="7">
        <v>3</v>
      </c>
      <c r="N17" s="7">
        <v>3</v>
      </c>
      <c r="O17" s="7">
        <v>3</v>
      </c>
      <c r="P17" s="7">
        <v>3</v>
      </c>
      <c r="Q17" s="7">
        <v>3</v>
      </c>
    </row>
    <row r="18" spans="1:17" x14ac:dyDescent="0.2">
      <c r="A18" s="8" t="s">
        <v>17</v>
      </c>
      <c r="B18" s="11" t="s">
        <v>21</v>
      </c>
      <c r="C18" s="7">
        <v>2</v>
      </c>
      <c r="D18" s="7">
        <v>2</v>
      </c>
      <c r="E18" s="7">
        <v>2</v>
      </c>
      <c r="F18" s="7">
        <v>2</v>
      </c>
      <c r="G18" s="7">
        <v>2</v>
      </c>
      <c r="H18" s="7">
        <v>2</v>
      </c>
      <c r="I18" s="7">
        <v>2</v>
      </c>
      <c r="J18" s="7">
        <v>2</v>
      </c>
      <c r="K18" s="7">
        <v>2</v>
      </c>
      <c r="L18" s="7">
        <v>2</v>
      </c>
      <c r="M18" s="7">
        <v>2</v>
      </c>
      <c r="N18" s="7">
        <v>2</v>
      </c>
      <c r="O18" s="7">
        <v>2</v>
      </c>
      <c r="P18" s="7">
        <v>2</v>
      </c>
      <c r="Q18" s="7">
        <v>2</v>
      </c>
    </row>
    <row r="19" spans="1:17" x14ac:dyDescent="0.2">
      <c r="A19" s="15" t="s">
        <v>18</v>
      </c>
      <c r="B19" s="12" t="s">
        <v>21</v>
      </c>
      <c r="C19" s="7">
        <v>1</v>
      </c>
      <c r="D19" s="7">
        <v>3</v>
      </c>
      <c r="E19" s="7">
        <v>3</v>
      </c>
      <c r="F19" s="7">
        <v>3</v>
      </c>
      <c r="G19" s="7">
        <v>3</v>
      </c>
      <c r="H19" s="7">
        <v>3</v>
      </c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31</v>
      </c>
      <c r="B32" s="6" t="s">
        <v>16</v>
      </c>
      <c r="C32" s="20">
        <v>48</v>
      </c>
      <c r="D32" s="20">
        <v>48</v>
      </c>
      <c r="E32" s="20">
        <v>48</v>
      </c>
      <c r="F32" s="20">
        <v>48</v>
      </c>
      <c r="G32" s="20">
        <v>48</v>
      </c>
    </row>
    <row r="33" spans="1:7" x14ac:dyDescent="0.2">
      <c r="A33" s="11" t="s">
        <v>31</v>
      </c>
      <c r="B33" s="8" t="s">
        <v>17</v>
      </c>
      <c r="C33" s="20">
        <v>48</v>
      </c>
      <c r="D33" s="20">
        <v>48</v>
      </c>
      <c r="E33" s="20">
        <v>48</v>
      </c>
      <c r="F33" s="20">
        <v>48</v>
      </c>
      <c r="G33" s="20">
        <v>48</v>
      </c>
    </row>
    <row r="34" spans="1:7" x14ac:dyDescent="0.2">
      <c r="A34" s="12" t="s">
        <v>31</v>
      </c>
      <c r="B34" s="9" t="s">
        <v>18</v>
      </c>
      <c r="C34" s="20">
        <v>47</v>
      </c>
      <c r="D34" s="20">
        <v>47</v>
      </c>
      <c r="E34" s="20">
        <v>45</v>
      </c>
      <c r="F34" s="20">
        <v>43</v>
      </c>
      <c r="G34" s="20">
        <v>37</v>
      </c>
    </row>
    <row r="35" spans="1:7" x14ac:dyDescent="0.2">
      <c r="A35" s="16"/>
      <c r="B35" s="7"/>
      <c r="C35" s="24">
        <v>1.46E-2</v>
      </c>
      <c r="D35" s="24">
        <v>2.1499999999999998E-2</v>
      </c>
      <c r="E35" s="24">
        <v>7.2900000000000006E-2</v>
      </c>
      <c r="F35" s="24">
        <v>0.10829999999999999</v>
      </c>
      <c r="G35" s="24">
        <v>0.21940000000000001</v>
      </c>
    </row>
    <row r="36" spans="1:7" x14ac:dyDescent="0.2">
      <c r="A36" s="7"/>
      <c r="B36" s="17" t="s">
        <v>23</v>
      </c>
      <c r="C36" s="18">
        <v>0.98540000000000005</v>
      </c>
      <c r="D36" s="18">
        <v>0.97850000000000004</v>
      </c>
      <c r="E36" s="18">
        <v>0.92710000000000004</v>
      </c>
      <c r="F36" s="18">
        <v>0.89170000000000005</v>
      </c>
      <c r="G36" s="18">
        <v>0.78059999999999996</v>
      </c>
    </row>
    <row r="37" spans="1:7" x14ac:dyDescent="0.2">
      <c r="A37" s="16"/>
      <c r="B37" s="17" t="s">
        <v>24</v>
      </c>
      <c r="C37" s="19">
        <v>1</v>
      </c>
      <c r="D37" s="19">
        <v>1</v>
      </c>
      <c r="E37" s="19">
        <v>4</v>
      </c>
      <c r="F37" s="19">
        <v>4</v>
      </c>
      <c r="G37" s="19">
        <v>11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28</v>
      </c>
      <c r="D39" s="20">
        <v>28</v>
      </c>
      <c r="E39" s="20">
        <v>28</v>
      </c>
      <c r="F39" s="20">
        <v>28</v>
      </c>
      <c r="G39" s="20">
        <v>28</v>
      </c>
    </row>
    <row r="40" spans="1:7" x14ac:dyDescent="0.2">
      <c r="A40" s="8" t="s">
        <v>17</v>
      </c>
      <c r="B40" s="11" t="s">
        <v>19</v>
      </c>
      <c r="C40" s="20">
        <v>28</v>
      </c>
      <c r="D40" s="20">
        <v>28</v>
      </c>
      <c r="E40" s="20">
        <v>28</v>
      </c>
      <c r="F40" s="20">
        <v>28</v>
      </c>
      <c r="G40" s="20">
        <v>28</v>
      </c>
    </row>
    <row r="41" spans="1:7" x14ac:dyDescent="0.2">
      <c r="A41" s="15" t="s">
        <v>18</v>
      </c>
      <c r="B41" s="12" t="s">
        <v>19</v>
      </c>
      <c r="C41" s="13">
        <v>28</v>
      </c>
      <c r="D41" s="20">
        <v>28</v>
      </c>
      <c r="E41" s="20">
        <v>27</v>
      </c>
      <c r="F41" s="20">
        <v>26</v>
      </c>
      <c r="G41" s="20">
        <v>22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17</v>
      </c>
      <c r="D43" s="20">
        <v>17</v>
      </c>
      <c r="E43" s="20">
        <v>17</v>
      </c>
      <c r="F43" s="20">
        <v>17</v>
      </c>
      <c r="G43" s="20">
        <v>17</v>
      </c>
    </row>
    <row r="44" spans="1:7" x14ac:dyDescent="0.2">
      <c r="A44" s="8" t="s">
        <v>17</v>
      </c>
      <c r="B44" s="11" t="s">
        <v>20</v>
      </c>
      <c r="C44" s="20">
        <v>17</v>
      </c>
      <c r="D44" s="20">
        <v>17</v>
      </c>
      <c r="E44" s="20">
        <v>17</v>
      </c>
      <c r="F44" s="20">
        <v>17</v>
      </c>
      <c r="G44" s="20">
        <v>17</v>
      </c>
    </row>
    <row r="45" spans="1:7" x14ac:dyDescent="0.2">
      <c r="A45" s="15" t="s">
        <v>18</v>
      </c>
      <c r="B45" s="12" t="s">
        <v>20</v>
      </c>
      <c r="C45" s="20">
        <v>17</v>
      </c>
      <c r="D45" s="20">
        <v>16</v>
      </c>
      <c r="E45" s="20">
        <v>16</v>
      </c>
      <c r="F45" s="20">
        <v>16</v>
      </c>
      <c r="G45" s="20">
        <v>15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3</v>
      </c>
      <c r="D47" s="20">
        <v>3</v>
      </c>
      <c r="E47" s="20">
        <v>3</v>
      </c>
      <c r="F47" s="20">
        <v>3</v>
      </c>
      <c r="G47" s="20">
        <v>3</v>
      </c>
    </row>
    <row r="48" spans="1:7" x14ac:dyDescent="0.2">
      <c r="A48" s="8" t="s">
        <v>17</v>
      </c>
      <c r="B48" s="11" t="s">
        <v>21</v>
      </c>
      <c r="C48" s="20">
        <v>2</v>
      </c>
      <c r="D48" s="20">
        <v>2</v>
      </c>
      <c r="E48" s="20">
        <v>2</v>
      </c>
      <c r="F48" s="20">
        <v>2</v>
      </c>
      <c r="G48" s="20">
        <v>2</v>
      </c>
    </row>
    <row r="49" spans="1:17" x14ac:dyDescent="0.2">
      <c r="A49" s="15" t="s">
        <v>18</v>
      </c>
      <c r="B49" s="12" t="s">
        <v>21</v>
      </c>
      <c r="C49" s="20">
        <v>2</v>
      </c>
      <c r="D49" s="20">
        <v>3</v>
      </c>
      <c r="E49" s="20">
        <v>1</v>
      </c>
      <c r="F49" s="20">
        <v>1</v>
      </c>
      <c r="G49" s="20">
        <v>1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48</v>
      </c>
      <c r="D62" s="27">
        <v>48</v>
      </c>
      <c r="E62" s="27">
        <v>48</v>
      </c>
      <c r="F62" s="27">
        <v>48</v>
      </c>
      <c r="G62" s="27">
        <v>48</v>
      </c>
      <c r="H62" s="27">
        <v>48</v>
      </c>
      <c r="I62" s="27">
        <v>48</v>
      </c>
      <c r="J62" s="27">
        <v>48</v>
      </c>
      <c r="K62" s="27">
        <v>48</v>
      </c>
      <c r="L62" s="27">
        <v>48</v>
      </c>
      <c r="M62" s="27">
        <v>48</v>
      </c>
      <c r="N62" s="27">
        <v>48</v>
      </c>
      <c r="O62" s="27">
        <v>48</v>
      </c>
      <c r="P62" s="27">
        <v>48</v>
      </c>
      <c r="Q62" s="27">
        <v>48</v>
      </c>
    </row>
    <row r="63" spans="1:17" x14ac:dyDescent="0.2">
      <c r="A63" s="28"/>
      <c r="B63" s="29" t="s">
        <v>18</v>
      </c>
      <c r="C63" s="30">
        <v>46.7</v>
      </c>
      <c r="D63" s="30">
        <v>48.9</v>
      </c>
      <c r="E63" s="30">
        <v>46.3</v>
      </c>
      <c r="F63" s="30">
        <v>45.1</v>
      </c>
      <c r="G63" s="30">
        <v>48.1</v>
      </c>
      <c r="H63" s="30">
        <v>47.7</v>
      </c>
      <c r="I63" s="30">
        <v>44.6</v>
      </c>
      <c r="J63" s="30">
        <v>45</v>
      </c>
      <c r="K63" s="30">
        <v>43.9</v>
      </c>
      <c r="L63" s="30">
        <v>42.5</v>
      </c>
      <c r="M63" s="30">
        <v>42.5</v>
      </c>
      <c r="N63" s="30">
        <v>43.4</v>
      </c>
      <c r="O63" s="30">
        <v>39.700000000000003</v>
      </c>
      <c r="P63" s="30">
        <v>36.799999999999997</v>
      </c>
      <c r="Q63" s="30">
        <v>35.9</v>
      </c>
    </row>
    <row r="64" spans="1:17" x14ac:dyDescent="0.2">
      <c r="A64" s="14" t="s">
        <v>38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38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39</v>
      </c>
      <c r="B66" s="6" t="s">
        <v>16</v>
      </c>
      <c r="C66" s="14">
        <v>6</v>
      </c>
      <c r="D66" s="14">
        <v>6</v>
      </c>
      <c r="E66" s="14">
        <v>6</v>
      </c>
      <c r="F66" s="14">
        <v>6</v>
      </c>
      <c r="G66" s="14">
        <v>6</v>
      </c>
      <c r="H66" s="14">
        <v>6</v>
      </c>
      <c r="I66" s="14">
        <v>6</v>
      </c>
      <c r="J66" s="14">
        <v>6</v>
      </c>
      <c r="K66" s="14">
        <v>6</v>
      </c>
      <c r="L66" s="14">
        <v>6</v>
      </c>
      <c r="M66" s="14">
        <v>6</v>
      </c>
      <c r="N66" s="14">
        <v>6</v>
      </c>
      <c r="O66" s="14">
        <v>6</v>
      </c>
      <c r="P66" s="14">
        <v>6</v>
      </c>
      <c r="Q66" s="14">
        <v>6</v>
      </c>
    </row>
    <row r="67" spans="1:17" x14ac:dyDescent="0.2">
      <c r="A67" s="31" t="s">
        <v>39</v>
      </c>
      <c r="B67" s="9" t="s">
        <v>18</v>
      </c>
      <c r="C67" s="7">
        <v>6</v>
      </c>
      <c r="D67" s="7">
        <v>6</v>
      </c>
      <c r="E67" s="7">
        <v>6</v>
      </c>
      <c r="F67" s="7">
        <v>6</v>
      </c>
      <c r="G67" s="7">
        <v>6</v>
      </c>
      <c r="H67" s="7">
        <v>6</v>
      </c>
      <c r="I67" s="7">
        <v>6</v>
      </c>
      <c r="J67" s="7">
        <v>6</v>
      </c>
      <c r="K67" s="7">
        <v>6</v>
      </c>
      <c r="L67" s="7">
        <v>6</v>
      </c>
      <c r="M67" s="7">
        <v>6</v>
      </c>
      <c r="N67" s="7">
        <v>6</v>
      </c>
      <c r="O67" s="7">
        <v>6</v>
      </c>
      <c r="P67" s="7">
        <v>6</v>
      </c>
      <c r="Q67" s="7">
        <v>6</v>
      </c>
    </row>
    <row r="68" spans="1:17" x14ac:dyDescent="0.2">
      <c r="A68" s="33" t="s">
        <v>40</v>
      </c>
      <c r="B68" s="34" t="s">
        <v>16</v>
      </c>
      <c r="C68" s="34">
        <v>5</v>
      </c>
      <c r="D68" s="34">
        <v>5</v>
      </c>
      <c r="E68" s="34">
        <v>5</v>
      </c>
      <c r="F68" s="34">
        <v>5</v>
      </c>
      <c r="G68" s="34">
        <v>5</v>
      </c>
      <c r="H68" s="34">
        <v>5</v>
      </c>
      <c r="I68" s="34">
        <v>5</v>
      </c>
      <c r="J68" s="34">
        <v>5</v>
      </c>
      <c r="K68" s="34">
        <v>5</v>
      </c>
      <c r="L68" s="34">
        <v>5</v>
      </c>
      <c r="M68" s="34">
        <v>5</v>
      </c>
      <c r="N68" s="34">
        <v>5</v>
      </c>
      <c r="O68" s="34">
        <v>5</v>
      </c>
      <c r="P68" s="34">
        <v>5</v>
      </c>
      <c r="Q68" s="34">
        <v>5</v>
      </c>
    </row>
    <row r="69" spans="1:17" x14ac:dyDescent="0.2">
      <c r="A69" s="35" t="s">
        <v>41</v>
      </c>
      <c r="B69" s="36" t="s">
        <v>18</v>
      </c>
      <c r="C69" s="32">
        <v>5</v>
      </c>
      <c r="D69" s="32">
        <v>5</v>
      </c>
      <c r="E69" s="32">
        <v>5</v>
      </c>
      <c r="F69" s="32">
        <v>5</v>
      </c>
      <c r="G69" s="32">
        <v>5</v>
      </c>
      <c r="H69" s="32">
        <v>5</v>
      </c>
      <c r="I69" s="32">
        <v>5</v>
      </c>
      <c r="J69" s="32">
        <v>5</v>
      </c>
      <c r="K69" s="32">
        <v>5</v>
      </c>
      <c r="L69" s="32">
        <v>5</v>
      </c>
      <c r="M69" s="32">
        <v>5</v>
      </c>
      <c r="N69" s="32">
        <v>5</v>
      </c>
      <c r="O69" s="32">
        <v>5</v>
      </c>
      <c r="P69" s="32">
        <v>5</v>
      </c>
      <c r="Q69" s="32">
        <v>5</v>
      </c>
    </row>
    <row r="70" spans="1:17" x14ac:dyDescent="0.2">
      <c r="A70" s="33" t="s">
        <v>42</v>
      </c>
      <c r="B70" s="34" t="s">
        <v>16</v>
      </c>
      <c r="C70" s="34">
        <v>1</v>
      </c>
      <c r="D70" s="34">
        <v>1</v>
      </c>
      <c r="E70" s="34">
        <v>1</v>
      </c>
      <c r="F70" s="34">
        <v>1</v>
      </c>
      <c r="G70" s="34">
        <v>1</v>
      </c>
      <c r="H70" s="34">
        <v>1</v>
      </c>
      <c r="I70" s="34">
        <v>1</v>
      </c>
      <c r="J70" s="34">
        <v>1</v>
      </c>
      <c r="K70" s="34">
        <v>1</v>
      </c>
      <c r="L70" s="34">
        <v>1</v>
      </c>
      <c r="M70" s="34">
        <v>1</v>
      </c>
      <c r="N70" s="34">
        <v>1</v>
      </c>
      <c r="O70" s="34">
        <v>1</v>
      </c>
      <c r="P70" s="34">
        <v>1</v>
      </c>
      <c r="Q70" s="34">
        <v>1</v>
      </c>
    </row>
    <row r="71" spans="1:17" x14ac:dyDescent="0.2">
      <c r="A71" s="35" t="s">
        <v>43</v>
      </c>
      <c r="B71" s="36" t="s">
        <v>18</v>
      </c>
      <c r="C71" s="32">
        <v>1</v>
      </c>
      <c r="D71" s="32">
        <v>1</v>
      </c>
      <c r="E71" s="32">
        <v>1</v>
      </c>
      <c r="F71" s="32">
        <v>1</v>
      </c>
      <c r="G71" s="32">
        <v>1</v>
      </c>
      <c r="H71" s="32">
        <v>1</v>
      </c>
      <c r="I71" s="32">
        <v>1</v>
      </c>
      <c r="J71" s="32">
        <v>1</v>
      </c>
      <c r="K71" s="32">
        <v>1</v>
      </c>
      <c r="L71" s="32">
        <v>1</v>
      </c>
      <c r="M71" s="32">
        <v>1</v>
      </c>
      <c r="N71" s="32">
        <v>1</v>
      </c>
      <c r="O71" s="32">
        <v>1</v>
      </c>
      <c r="P71" s="32">
        <v>1</v>
      </c>
      <c r="Q71" s="32">
        <v>1</v>
      </c>
    </row>
    <row r="72" spans="1:17" x14ac:dyDescent="0.2">
      <c r="A72" s="14" t="s">
        <v>44</v>
      </c>
      <c r="B72" s="6" t="s">
        <v>16</v>
      </c>
      <c r="C72" s="14">
        <v>41</v>
      </c>
      <c r="D72" s="14">
        <v>41</v>
      </c>
      <c r="E72" s="14">
        <v>41</v>
      </c>
      <c r="F72" s="14">
        <v>41</v>
      </c>
      <c r="G72" s="14">
        <v>41</v>
      </c>
      <c r="H72" s="14">
        <v>41</v>
      </c>
      <c r="I72" s="14">
        <v>41</v>
      </c>
      <c r="J72" s="14">
        <v>41</v>
      </c>
      <c r="K72" s="14">
        <v>41</v>
      </c>
      <c r="L72" s="14">
        <v>41</v>
      </c>
      <c r="M72" s="14">
        <v>41</v>
      </c>
      <c r="N72" s="14">
        <v>41</v>
      </c>
      <c r="O72" s="14">
        <v>41</v>
      </c>
      <c r="P72" s="14">
        <v>41</v>
      </c>
      <c r="Q72" s="14">
        <v>41</v>
      </c>
    </row>
    <row r="73" spans="1:17" x14ac:dyDescent="0.2">
      <c r="A73" s="31" t="s">
        <v>44</v>
      </c>
      <c r="B73" s="9" t="s">
        <v>18</v>
      </c>
      <c r="C73" s="7">
        <v>39.700000000000003</v>
      </c>
      <c r="D73" s="7">
        <v>41.9</v>
      </c>
      <c r="E73" s="7">
        <v>39.299999999999997</v>
      </c>
      <c r="F73" s="7">
        <v>38.1</v>
      </c>
      <c r="G73" s="7">
        <v>41.1</v>
      </c>
      <c r="H73" s="7">
        <v>40.700000000000003</v>
      </c>
      <c r="I73" s="7">
        <v>37.6</v>
      </c>
      <c r="J73" s="7">
        <v>38</v>
      </c>
      <c r="K73" s="7">
        <v>36.9</v>
      </c>
      <c r="L73" s="7">
        <v>35.5</v>
      </c>
      <c r="M73" s="7">
        <v>35.5</v>
      </c>
      <c r="N73" s="7">
        <v>36.4</v>
      </c>
      <c r="O73" s="7">
        <v>32.700000000000003</v>
      </c>
      <c r="P73" s="7">
        <v>29.8</v>
      </c>
      <c r="Q73" s="7">
        <v>28.9</v>
      </c>
    </row>
    <row r="74" spans="1:17" x14ac:dyDescent="0.2">
      <c r="A74" s="33" t="s">
        <v>45</v>
      </c>
      <c r="B74" s="34" t="s">
        <v>16</v>
      </c>
      <c r="C74" s="34">
        <v>22</v>
      </c>
      <c r="D74" s="34">
        <v>22</v>
      </c>
      <c r="E74" s="34">
        <v>22</v>
      </c>
      <c r="F74" s="34">
        <v>22</v>
      </c>
      <c r="G74" s="34">
        <v>22</v>
      </c>
      <c r="H74" s="34">
        <v>22</v>
      </c>
      <c r="I74" s="34">
        <v>22</v>
      </c>
      <c r="J74" s="34">
        <v>22</v>
      </c>
      <c r="K74" s="34">
        <v>22</v>
      </c>
      <c r="L74" s="34">
        <v>22</v>
      </c>
      <c r="M74" s="34">
        <v>22</v>
      </c>
      <c r="N74" s="34">
        <v>22</v>
      </c>
      <c r="O74" s="34">
        <v>22</v>
      </c>
      <c r="P74" s="34">
        <v>22</v>
      </c>
      <c r="Q74" s="34">
        <v>22</v>
      </c>
    </row>
    <row r="75" spans="1:17" x14ac:dyDescent="0.2">
      <c r="A75" s="35" t="s">
        <v>46</v>
      </c>
      <c r="B75" s="36" t="s">
        <v>18</v>
      </c>
      <c r="C75" s="32">
        <v>22.7</v>
      </c>
      <c r="D75" s="32">
        <v>22.9</v>
      </c>
      <c r="E75" s="32">
        <v>21.3</v>
      </c>
      <c r="F75" s="32">
        <v>21.1</v>
      </c>
      <c r="G75" s="32">
        <v>22.1</v>
      </c>
      <c r="H75" s="32">
        <v>21.7</v>
      </c>
      <c r="I75" s="32">
        <v>20.9</v>
      </c>
      <c r="J75" s="32">
        <v>21.3</v>
      </c>
      <c r="K75" s="32">
        <v>21.2</v>
      </c>
      <c r="L75" s="32">
        <v>20</v>
      </c>
      <c r="M75" s="32">
        <v>20</v>
      </c>
      <c r="N75" s="32">
        <v>20.9</v>
      </c>
      <c r="O75" s="32">
        <v>17.2</v>
      </c>
      <c r="P75" s="32">
        <v>15.3</v>
      </c>
      <c r="Q75" s="32">
        <v>14.4</v>
      </c>
    </row>
    <row r="76" spans="1:17" x14ac:dyDescent="0.2">
      <c r="A76" s="33" t="s">
        <v>47</v>
      </c>
      <c r="B76" s="34" t="s">
        <v>16</v>
      </c>
      <c r="C76" s="34">
        <v>16</v>
      </c>
      <c r="D76" s="34">
        <v>16</v>
      </c>
      <c r="E76" s="34">
        <v>16</v>
      </c>
      <c r="F76" s="34">
        <v>16</v>
      </c>
      <c r="G76" s="34">
        <v>16</v>
      </c>
      <c r="H76" s="34">
        <v>16</v>
      </c>
      <c r="I76" s="34">
        <v>16</v>
      </c>
      <c r="J76" s="34">
        <v>16</v>
      </c>
      <c r="K76" s="34">
        <v>16</v>
      </c>
      <c r="L76" s="34">
        <v>16</v>
      </c>
      <c r="M76" s="34">
        <v>16</v>
      </c>
      <c r="N76" s="34">
        <v>16</v>
      </c>
      <c r="O76" s="34">
        <v>16</v>
      </c>
      <c r="P76" s="34">
        <v>16</v>
      </c>
      <c r="Q76" s="34">
        <v>16</v>
      </c>
    </row>
    <row r="77" spans="1:17" x14ac:dyDescent="0.2">
      <c r="A77" s="35" t="s">
        <v>48</v>
      </c>
      <c r="B77" s="36" t="s">
        <v>18</v>
      </c>
      <c r="C77" s="32">
        <v>16</v>
      </c>
      <c r="D77" s="32">
        <v>16</v>
      </c>
      <c r="E77" s="32">
        <v>15</v>
      </c>
      <c r="F77" s="32">
        <v>14</v>
      </c>
      <c r="G77" s="32">
        <v>16</v>
      </c>
      <c r="H77" s="32">
        <v>16</v>
      </c>
      <c r="I77" s="32">
        <v>15.7</v>
      </c>
      <c r="J77" s="32">
        <v>15.7</v>
      </c>
      <c r="K77" s="32">
        <v>14.7</v>
      </c>
      <c r="L77" s="32">
        <v>14.5</v>
      </c>
      <c r="M77" s="32">
        <v>14.5</v>
      </c>
      <c r="N77" s="32">
        <v>14.5</v>
      </c>
      <c r="O77" s="32">
        <v>14.5</v>
      </c>
      <c r="P77" s="32">
        <v>13.5</v>
      </c>
      <c r="Q77" s="32">
        <v>13.5</v>
      </c>
    </row>
    <row r="78" spans="1:17" x14ac:dyDescent="0.2">
      <c r="A78" s="33" t="s">
        <v>49</v>
      </c>
      <c r="B78" s="34" t="s">
        <v>16</v>
      </c>
      <c r="C78" s="34">
        <v>3</v>
      </c>
      <c r="D78" s="34">
        <v>3</v>
      </c>
      <c r="E78" s="34">
        <v>3</v>
      </c>
      <c r="F78" s="34">
        <v>3</v>
      </c>
      <c r="G78" s="34">
        <v>3</v>
      </c>
      <c r="H78" s="34">
        <v>3</v>
      </c>
      <c r="I78" s="34">
        <v>3</v>
      </c>
      <c r="J78" s="34">
        <v>3</v>
      </c>
      <c r="K78" s="34">
        <v>3</v>
      </c>
      <c r="L78" s="34">
        <v>3</v>
      </c>
      <c r="M78" s="34">
        <v>3</v>
      </c>
      <c r="N78" s="34">
        <v>3</v>
      </c>
      <c r="O78" s="34">
        <v>3</v>
      </c>
      <c r="P78" s="34">
        <v>3</v>
      </c>
      <c r="Q78" s="34">
        <v>3</v>
      </c>
    </row>
    <row r="79" spans="1:17" x14ac:dyDescent="0.2">
      <c r="A79" s="35" t="s">
        <v>50</v>
      </c>
      <c r="B79" s="36" t="s">
        <v>18</v>
      </c>
      <c r="C79" s="32">
        <v>1</v>
      </c>
      <c r="D79" s="32">
        <v>3</v>
      </c>
      <c r="E79" s="32">
        <v>3</v>
      </c>
      <c r="F79" s="32">
        <v>3</v>
      </c>
      <c r="G79" s="32">
        <v>3</v>
      </c>
      <c r="H79" s="32">
        <v>3</v>
      </c>
      <c r="I79" s="32">
        <v>1</v>
      </c>
      <c r="J79" s="32">
        <v>1</v>
      </c>
      <c r="K79" s="32">
        <v>1</v>
      </c>
      <c r="L79" s="32">
        <v>1</v>
      </c>
      <c r="M79" s="32">
        <v>1</v>
      </c>
      <c r="N79" s="32">
        <v>1</v>
      </c>
      <c r="O79" s="32">
        <v>1</v>
      </c>
      <c r="P79" s="32">
        <v>1</v>
      </c>
      <c r="Q79" s="32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B043F-46B3-204F-9B2C-AC4B99104598}">
  <dimension ref="A1:Q9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32</v>
      </c>
      <c r="B2" s="6" t="s">
        <v>16</v>
      </c>
      <c r="C2" s="7">
        <v>46</v>
      </c>
      <c r="D2" s="7">
        <v>49</v>
      </c>
      <c r="E2" s="7">
        <v>51</v>
      </c>
      <c r="F2" s="7">
        <v>53</v>
      </c>
      <c r="G2" s="7">
        <v>53</v>
      </c>
      <c r="H2" s="7">
        <v>53</v>
      </c>
      <c r="I2" s="7">
        <v>53</v>
      </c>
      <c r="J2" s="7">
        <v>53</v>
      </c>
      <c r="K2" s="7">
        <v>53</v>
      </c>
      <c r="L2" s="7">
        <v>53</v>
      </c>
      <c r="M2" s="7">
        <v>53</v>
      </c>
      <c r="N2" s="7">
        <v>53</v>
      </c>
      <c r="O2" s="7">
        <v>53</v>
      </c>
      <c r="P2" s="7">
        <v>53</v>
      </c>
      <c r="Q2" s="7">
        <v>53</v>
      </c>
    </row>
    <row r="3" spans="1:17" x14ac:dyDescent="0.2">
      <c r="A3" s="11" t="s">
        <v>32</v>
      </c>
      <c r="B3" s="8" t="s">
        <v>17</v>
      </c>
      <c r="C3" s="7">
        <v>52</v>
      </c>
      <c r="D3" s="7">
        <v>52</v>
      </c>
      <c r="E3" s="7">
        <v>52</v>
      </c>
      <c r="F3" s="7">
        <v>52</v>
      </c>
      <c r="G3" s="7">
        <v>52</v>
      </c>
      <c r="H3" s="7">
        <v>52</v>
      </c>
      <c r="I3" s="7">
        <v>52</v>
      </c>
      <c r="J3" s="7">
        <v>52</v>
      </c>
      <c r="K3" s="7">
        <v>52</v>
      </c>
      <c r="L3" s="7">
        <v>52</v>
      </c>
      <c r="M3" s="7">
        <v>52</v>
      </c>
      <c r="N3" s="7">
        <v>52</v>
      </c>
      <c r="O3" s="7">
        <v>52.133333329999999</v>
      </c>
      <c r="P3" s="7">
        <v>52.133333329999999</v>
      </c>
      <c r="Q3" s="7">
        <v>52.133333329999999</v>
      </c>
    </row>
    <row r="4" spans="1:17" x14ac:dyDescent="0.2">
      <c r="A4" s="12" t="s">
        <v>32</v>
      </c>
      <c r="B4" s="9" t="s">
        <v>18</v>
      </c>
      <c r="C4" s="7">
        <v>44</v>
      </c>
      <c r="D4" s="7">
        <v>48</v>
      </c>
      <c r="E4" s="7">
        <v>49</v>
      </c>
      <c r="F4" s="7">
        <v>51</v>
      </c>
      <c r="G4" s="13">
        <v>65</v>
      </c>
      <c r="H4" s="13">
        <v>63</v>
      </c>
      <c r="I4" s="13">
        <v>64</v>
      </c>
      <c r="J4" s="13">
        <v>60</v>
      </c>
      <c r="K4" s="13">
        <v>58</v>
      </c>
      <c r="L4" s="7">
        <v>41</v>
      </c>
      <c r="M4" s="7">
        <v>40</v>
      </c>
      <c r="N4" s="7">
        <v>39</v>
      </c>
      <c r="O4" s="7">
        <v>25.3475</v>
      </c>
      <c r="P4" s="7">
        <v>23.872499999999999</v>
      </c>
      <c r="Q4" s="7">
        <v>23.872499999999999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0.95809999999999995</v>
      </c>
      <c r="D6" s="18">
        <v>0.97509999999999997</v>
      </c>
      <c r="E6" s="18">
        <v>0.96489999999999998</v>
      </c>
      <c r="F6" s="18">
        <v>0.95499999999999996</v>
      </c>
      <c r="G6" s="18">
        <v>1.2184999999999999</v>
      </c>
      <c r="H6" s="18">
        <v>1.1960999999999999</v>
      </c>
      <c r="I6" s="18">
        <v>1.2038</v>
      </c>
      <c r="J6" s="18">
        <v>1.1296999999999999</v>
      </c>
      <c r="K6" s="18">
        <v>1.1021000000000001</v>
      </c>
      <c r="L6" s="18">
        <v>0.77969999999999995</v>
      </c>
      <c r="M6" s="18">
        <v>0.75139999999999996</v>
      </c>
      <c r="N6" s="18">
        <v>0.73250000000000004</v>
      </c>
      <c r="O6" s="18">
        <v>0.4783</v>
      </c>
      <c r="P6" s="18">
        <v>0.45040000000000002</v>
      </c>
      <c r="Q6" s="18">
        <v>0.45040000000000002</v>
      </c>
    </row>
    <row r="7" spans="1:17" x14ac:dyDescent="0.2">
      <c r="A7" s="16"/>
      <c r="B7" s="17" t="s">
        <v>24</v>
      </c>
      <c r="C7" s="19">
        <v>2</v>
      </c>
      <c r="D7" s="19">
        <v>1</v>
      </c>
      <c r="E7" s="19">
        <v>2</v>
      </c>
      <c r="F7" s="19">
        <v>2</v>
      </c>
      <c r="G7" s="19">
        <v>-12</v>
      </c>
      <c r="H7" s="19">
        <v>-10</v>
      </c>
      <c r="I7" s="19">
        <v>-11</v>
      </c>
      <c r="J7" s="19">
        <v>-7</v>
      </c>
      <c r="K7" s="19">
        <v>-5</v>
      </c>
      <c r="L7" s="19">
        <v>12</v>
      </c>
      <c r="M7" s="19">
        <v>13</v>
      </c>
      <c r="N7" s="19">
        <v>14</v>
      </c>
      <c r="O7" s="19">
        <v>28</v>
      </c>
      <c r="P7" s="19">
        <v>29</v>
      </c>
      <c r="Q7" s="19">
        <v>29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35</v>
      </c>
      <c r="D9" s="7">
        <v>36</v>
      </c>
      <c r="E9" s="7">
        <v>35</v>
      </c>
      <c r="F9" s="7">
        <v>36</v>
      </c>
      <c r="G9" s="7">
        <v>36</v>
      </c>
      <c r="H9" s="7">
        <v>36</v>
      </c>
      <c r="I9" s="7">
        <v>36</v>
      </c>
      <c r="J9" s="7">
        <v>36</v>
      </c>
      <c r="K9" s="7">
        <v>36</v>
      </c>
      <c r="L9" s="7">
        <v>36</v>
      </c>
      <c r="M9" s="7">
        <v>36</v>
      </c>
      <c r="N9" s="7">
        <v>36</v>
      </c>
      <c r="O9" s="7">
        <v>36</v>
      </c>
      <c r="P9" s="7">
        <v>36</v>
      </c>
      <c r="Q9" s="7">
        <v>36</v>
      </c>
    </row>
    <row r="10" spans="1:17" x14ac:dyDescent="0.2">
      <c r="A10" s="8" t="s">
        <v>17</v>
      </c>
      <c r="B10" s="11" t="s">
        <v>19</v>
      </c>
      <c r="C10" s="7">
        <v>36</v>
      </c>
      <c r="D10" s="7">
        <v>36</v>
      </c>
      <c r="E10" s="7">
        <v>36</v>
      </c>
      <c r="F10" s="7">
        <v>36</v>
      </c>
      <c r="G10" s="7">
        <v>36</v>
      </c>
      <c r="H10" s="7">
        <v>36</v>
      </c>
      <c r="I10" s="7">
        <v>36</v>
      </c>
      <c r="J10" s="7">
        <v>36</v>
      </c>
      <c r="K10" s="7">
        <v>36</v>
      </c>
      <c r="L10" s="7">
        <v>36</v>
      </c>
      <c r="M10" s="7">
        <v>36</v>
      </c>
      <c r="N10" s="7">
        <v>36</v>
      </c>
      <c r="O10" s="7">
        <v>35.833333330000002</v>
      </c>
      <c r="P10" s="7">
        <v>35.833333330000002</v>
      </c>
      <c r="Q10" s="7">
        <v>35.833333330000002</v>
      </c>
    </row>
    <row r="11" spans="1:17" x14ac:dyDescent="0.2">
      <c r="A11" s="15" t="s">
        <v>18</v>
      </c>
      <c r="B11" s="12" t="s">
        <v>19</v>
      </c>
      <c r="C11" s="7">
        <v>34</v>
      </c>
      <c r="D11" s="7">
        <v>35</v>
      </c>
      <c r="E11" s="13">
        <v>35</v>
      </c>
      <c r="F11" s="7">
        <v>35</v>
      </c>
      <c r="G11" s="13">
        <v>41</v>
      </c>
      <c r="H11" s="13">
        <v>40</v>
      </c>
      <c r="I11" s="13">
        <v>40</v>
      </c>
      <c r="J11" s="13">
        <v>38</v>
      </c>
      <c r="K11" s="13">
        <v>37</v>
      </c>
      <c r="L11" s="7">
        <v>29</v>
      </c>
      <c r="M11" s="7">
        <v>27</v>
      </c>
      <c r="N11" s="7">
        <v>26</v>
      </c>
      <c r="O11" s="7">
        <v>22.497499999999999</v>
      </c>
      <c r="P11" s="7">
        <v>21.022500000000001</v>
      </c>
      <c r="Q11" s="7">
        <v>21.022500000000001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0.85</v>
      </c>
      <c r="P15" s="7">
        <v>0.85</v>
      </c>
      <c r="Q15" s="7">
        <v>0.85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9</v>
      </c>
      <c r="D17" s="7">
        <v>11</v>
      </c>
      <c r="E17" s="7">
        <v>14</v>
      </c>
      <c r="F17" s="7">
        <v>15</v>
      </c>
      <c r="G17" s="7">
        <v>15</v>
      </c>
      <c r="H17" s="7">
        <v>15</v>
      </c>
      <c r="I17" s="7">
        <v>15</v>
      </c>
      <c r="J17" s="7">
        <v>15</v>
      </c>
      <c r="K17" s="7">
        <v>15</v>
      </c>
      <c r="L17" s="7">
        <v>15</v>
      </c>
      <c r="M17" s="7">
        <v>15</v>
      </c>
      <c r="N17" s="7">
        <v>15</v>
      </c>
      <c r="O17" s="7">
        <v>15</v>
      </c>
      <c r="P17" s="7">
        <v>15</v>
      </c>
      <c r="Q17" s="7">
        <v>15</v>
      </c>
    </row>
    <row r="18" spans="1:17" x14ac:dyDescent="0.2">
      <c r="A18" s="8" t="s">
        <v>17</v>
      </c>
      <c r="B18" s="11" t="s">
        <v>21</v>
      </c>
      <c r="C18" s="7">
        <v>12</v>
      </c>
      <c r="D18" s="7">
        <v>12</v>
      </c>
      <c r="E18" s="7">
        <v>12</v>
      </c>
      <c r="F18" s="7">
        <v>12</v>
      </c>
      <c r="G18" s="7">
        <v>12</v>
      </c>
      <c r="H18" s="7">
        <v>12</v>
      </c>
      <c r="I18" s="7">
        <v>12</v>
      </c>
      <c r="J18" s="7">
        <v>12</v>
      </c>
      <c r="K18" s="7">
        <v>12</v>
      </c>
      <c r="L18" s="7">
        <v>12</v>
      </c>
      <c r="M18" s="7">
        <v>12</v>
      </c>
      <c r="N18" s="7">
        <v>12</v>
      </c>
      <c r="O18" s="7">
        <v>12</v>
      </c>
      <c r="P18" s="7">
        <v>12</v>
      </c>
      <c r="Q18" s="7">
        <v>12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11</v>
      </c>
      <c r="E19" s="7">
        <v>12</v>
      </c>
      <c r="F19" s="7">
        <v>13</v>
      </c>
      <c r="G19" s="13">
        <v>22</v>
      </c>
      <c r="H19" s="13">
        <v>22</v>
      </c>
      <c r="I19" s="13">
        <v>22</v>
      </c>
      <c r="J19" s="13">
        <v>20</v>
      </c>
      <c r="K19" s="13">
        <v>20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32</v>
      </c>
      <c r="B32" s="6" t="s">
        <v>16</v>
      </c>
      <c r="C32" s="20">
        <v>49</v>
      </c>
      <c r="D32" s="20">
        <v>53</v>
      </c>
      <c r="E32" s="20">
        <v>53</v>
      </c>
      <c r="F32" s="20">
        <v>53</v>
      </c>
      <c r="G32" s="20">
        <v>53</v>
      </c>
    </row>
    <row r="33" spans="1:7" x14ac:dyDescent="0.2">
      <c r="A33" s="11" t="s">
        <v>32</v>
      </c>
      <c r="B33" s="8" t="s">
        <v>17</v>
      </c>
      <c r="C33" s="20">
        <v>52</v>
      </c>
      <c r="D33" s="20">
        <v>52</v>
      </c>
      <c r="E33" s="20">
        <v>52</v>
      </c>
      <c r="F33" s="20">
        <v>52</v>
      </c>
      <c r="G33" s="20">
        <v>52</v>
      </c>
    </row>
    <row r="34" spans="1:7" x14ac:dyDescent="0.2">
      <c r="A34" s="12" t="s">
        <v>32</v>
      </c>
      <c r="B34" s="9" t="s">
        <v>18</v>
      </c>
      <c r="C34" s="20">
        <v>47</v>
      </c>
      <c r="D34" s="13">
        <v>60</v>
      </c>
      <c r="E34" s="13">
        <v>61</v>
      </c>
      <c r="F34" s="20">
        <v>40</v>
      </c>
      <c r="G34" s="20">
        <v>24</v>
      </c>
    </row>
    <row r="35" spans="1:7" x14ac:dyDescent="0.2">
      <c r="A35" s="16"/>
      <c r="B35" s="7"/>
      <c r="C35" s="24">
        <v>3.39E-2</v>
      </c>
      <c r="D35" s="24">
        <v>-0.1232</v>
      </c>
      <c r="E35" s="24">
        <v>-0.1452</v>
      </c>
      <c r="F35" s="24">
        <v>0.24540000000000001</v>
      </c>
      <c r="G35" s="24">
        <v>0.5403</v>
      </c>
    </row>
    <row r="36" spans="1:7" x14ac:dyDescent="0.2">
      <c r="A36" s="7"/>
      <c r="B36" s="17" t="s">
        <v>23</v>
      </c>
      <c r="C36" s="18">
        <v>0.96609999999999996</v>
      </c>
      <c r="D36" s="18">
        <v>1.1232</v>
      </c>
      <c r="E36" s="18">
        <v>1.1452</v>
      </c>
      <c r="F36" s="18">
        <v>0.75460000000000005</v>
      </c>
      <c r="G36" s="18">
        <v>0.4597</v>
      </c>
    </row>
    <row r="37" spans="1:7" x14ac:dyDescent="0.2">
      <c r="A37" s="16"/>
      <c r="B37" s="17" t="s">
        <v>24</v>
      </c>
      <c r="C37" s="19">
        <v>2</v>
      </c>
      <c r="D37" s="19">
        <v>-7</v>
      </c>
      <c r="E37" s="19">
        <v>-8</v>
      </c>
      <c r="F37" s="19">
        <v>0</v>
      </c>
      <c r="G37" s="19">
        <v>29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35</v>
      </c>
      <c r="D39" s="20">
        <v>36</v>
      </c>
      <c r="E39" s="20">
        <v>36</v>
      </c>
      <c r="F39" s="20">
        <v>36</v>
      </c>
      <c r="G39" s="20">
        <v>36</v>
      </c>
    </row>
    <row r="40" spans="1:7" x14ac:dyDescent="0.2">
      <c r="A40" s="8" t="s">
        <v>17</v>
      </c>
      <c r="B40" s="11" t="s">
        <v>19</v>
      </c>
      <c r="C40" s="20">
        <v>36</v>
      </c>
      <c r="D40" s="20">
        <v>36</v>
      </c>
      <c r="E40" s="20">
        <v>36</v>
      </c>
      <c r="F40" s="20">
        <v>36</v>
      </c>
      <c r="G40" s="20">
        <v>36</v>
      </c>
    </row>
    <row r="41" spans="1:7" x14ac:dyDescent="0.2">
      <c r="A41" s="15" t="s">
        <v>18</v>
      </c>
      <c r="B41" s="12" t="s">
        <v>19</v>
      </c>
      <c r="C41" s="20">
        <v>35</v>
      </c>
      <c r="D41" s="13">
        <v>39</v>
      </c>
      <c r="E41" s="13">
        <v>38</v>
      </c>
      <c r="F41" s="20">
        <v>28</v>
      </c>
      <c r="G41" s="20">
        <v>22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1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11</v>
      </c>
      <c r="D47" s="20">
        <v>15</v>
      </c>
      <c r="E47" s="20">
        <v>15</v>
      </c>
      <c r="F47" s="20">
        <v>15</v>
      </c>
      <c r="G47" s="20">
        <v>15</v>
      </c>
    </row>
    <row r="48" spans="1:7" x14ac:dyDescent="0.2">
      <c r="A48" s="8" t="s">
        <v>17</v>
      </c>
      <c r="B48" s="11" t="s">
        <v>21</v>
      </c>
      <c r="C48" s="20">
        <v>12</v>
      </c>
      <c r="D48" s="20">
        <v>12</v>
      </c>
      <c r="E48" s="20">
        <v>12</v>
      </c>
      <c r="F48" s="20">
        <v>12</v>
      </c>
      <c r="G48" s="20">
        <v>12</v>
      </c>
    </row>
    <row r="49" spans="1:17" x14ac:dyDescent="0.2">
      <c r="A49" s="15" t="s">
        <v>18</v>
      </c>
      <c r="B49" s="12" t="s">
        <v>21</v>
      </c>
      <c r="C49" s="20">
        <v>10</v>
      </c>
      <c r="D49" s="13">
        <v>19</v>
      </c>
      <c r="E49" s="13">
        <v>20</v>
      </c>
      <c r="F49" s="20">
        <v>11</v>
      </c>
      <c r="G49" s="20">
        <v>2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46</v>
      </c>
      <c r="D62" s="11">
        <v>49</v>
      </c>
      <c r="E62" s="11">
        <v>51</v>
      </c>
      <c r="F62" s="11">
        <v>53</v>
      </c>
      <c r="G62" s="11">
        <v>53</v>
      </c>
      <c r="H62" s="11">
        <v>53</v>
      </c>
      <c r="I62" s="11">
        <v>53</v>
      </c>
      <c r="J62" s="11">
        <v>53</v>
      </c>
      <c r="K62" s="11">
        <v>53</v>
      </c>
      <c r="L62" s="11">
        <v>53</v>
      </c>
      <c r="M62" s="11">
        <v>53</v>
      </c>
      <c r="N62" s="11">
        <v>53</v>
      </c>
      <c r="O62" s="11">
        <v>53</v>
      </c>
      <c r="P62" s="11">
        <v>53</v>
      </c>
      <c r="Q62" s="11">
        <v>53</v>
      </c>
    </row>
    <row r="63" spans="1:17" x14ac:dyDescent="0.2">
      <c r="A63" s="28"/>
      <c r="B63" s="38" t="s">
        <v>18</v>
      </c>
      <c r="C63" s="39">
        <v>44.072499999999998</v>
      </c>
      <c r="D63" s="39">
        <v>47.777500000000003</v>
      </c>
      <c r="E63" s="39">
        <v>49.207500000000003</v>
      </c>
      <c r="F63" s="39">
        <v>50.615000000000002</v>
      </c>
      <c r="G63" s="39">
        <v>64.58</v>
      </c>
      <c r="H63" s="39">
        <v>63.395000000000003</v>
      </c>
      <c r="I63" s="39">
        <v>63.802500000000002</v>
      </c>
      <c r="J63" s="39">
        <v>59.872500000000002</v>
      </c>
      <c r="K63" s="39">
        <v>58.41</v>
      </c>
      <c r="L63" s="39">
        <v>41.325000000000003</v>
      </c>
      <c r="M63" s="39">
        <v>39.825000000000003</v>
      </c>
      <c r="N63" s="39">
        <v>38.825000000000003</v>
      </c>
      <c r="O63" s="39">
        <v>25.3475</v>
      </c>
      <c r="P63" s="39">
        <v>23.872499999999999</v>
      </c>
      <c r="Q63" s="39">
        <v>23.872499999999999</v>
      </c>
    </row>
    <row r="64" spans="1:17" x14ac:dyDescent="0.2">
      <c r="A64" s="40" t="s">
        <v>51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51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52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52</v>
      </c>
      <c r="B67" s="9" t="s">
        <v>18</v>
      </c>
      <c r="C67" s="7">
        <v>2.5499999999999998</v>
      </c>
      <c r="D67" s="7">
        <v>3.7749999999999999</v>
      </c>
      <c r="E67" s="7">
        <v>3.5</v>
      </c>
      <c r="F67" s="7">
        <v>3.4750000000000001</v>
      </c>
      <c r="G67" s="7">
        <v>5.6749999999999998</v>
      </c>
      <c r="H67" s="7">
        <v>5.85</v>
      </c>
      <c r="I67" s="7">
        <v>6.3875000000000002</v>
      </c>
      <c r="J67" s="7">
        <v>5.1375000000000002</v>
      </c>
      <c r="K67" s="7">
        <v>5.0750000000000002</v>
      </c>
      <c r="L67" s="7">
        <v>4.1500000000000004</v>
      </c>
      <c r="M67" s="7">
        <v>3.45</v>
      </c>
      <c r="N67" s="7">
        <v>3.45</v>
      </c>
      <c r="O67" s="7">
        <v>3.2625000000000002</v>
      </c>
      <c r="P67" s="7">
        <v>3.0375000000000001</v>
      </c>
      <c r="Q67" s="7">
        <v>3.0375000000000001</v>
      </c>
    </row>
    <row r="68" spans="1:17" x14ac:dyDescent="0.2">
      <c r="A68" s="40" t="s">
        <v>53</v>
      </c>
      <c r="B68" s="41" t="s">
        <v>16</v>
      </c>
      <c r="C68" s="40">
        <v>7</v>
      </c>
      <c r="D68" s="40">
        <v>7</v>
      </c>
      <c r="E68" s="40">
        <v>7</v>
      </c>
      <c r="F68" s="40">
        <v>7</v>
      </c>
      <c r="G68" s="40">
        <v>7</v>
      </c>
      <c r="H68" s="40">
        <v>7</v>
      </c>
      <c r="I68" s="40">
        <v>7</v>
      </c>
      <c r="J68" s="40">
        <v>7</v>
      </c>
      <c r="K68" s="40">
        <v>7</v>
      </c>
      <c r="L68" s="40">
        <v>7</v>
      </c>
      <c r="M68" s="40">
        <v>7</v>
      </c>
      <c r="N68" s="40">
        <v>7</v>
      </c>
      <c r="O68" s="40">
        <v>7</v>
      </c>
      <c r="P68" s="40">
        <v>7</v>
      </c>
      <c r="Q68" s="40">
        <v>7</v>
      </c>
    </row>
    <row r="69" spans="1:17" x14ac:dyDescent="0.2">
      <c r="A69" s="31" t="s">
        <v>53</v>
      </c>
      <c r="B69" s="9" t="s">
        <v>18</v>
      </c>
      <c r="C69" s="7">
        <v>6.2874999999999996</v>
      </c>
      <c r="D69" s="7">
        <v>5.9874999999999998</v>
      </c>
      <c r="E69" s="7">
        <v>6.6624999999999996</v>
      </c>
      <c r="F69" s="7">
        <v>6.25</v>
      </c>
      <c r="G69" s="7">
        <v>6.0750000000000002</v>
      </c>
      <c r="H69" s="7">
        <v>5.8250000000000002</v>
      </c>
      <c r="I69" s="7">
        <v>5.4749999999999996</v>
      </c>
      <c r="J69" s="7">
        <v>5.375</v>
      </c>
      <c r="K69" s="7">
        <v>5.3250000000000002</v>
      </c>
      <c r="L69" s="7">
        <v>4.8250000000000002</v>
      </c>
      <c r="M69" s="7">
        <v>4.6749999999999998</v>
      </c>
      <c r="N69" s="7">
        <v>4.4749999999999996</v>
      </c>
      <c r="O69" s="7">
        <v>4.625</v>
      </c>
      <c r="P69" s="7">
        <v>4.4749999999999996</v>
      </c>
      <c r="Q69" s="7">
        <v>4.4749999999999996</v>
      </c>
    </row>
    <row r="70" spans="1:17" x14ac:dyDescent="0.2">
      <c r="A70" s="33" t="s">
        <v>54</v>
      </c>
      <c r="B70" s="34" t="s">
        <v>16</v>
      </c>
      <c r="C70" s="34">
        <v>6</v>
      </c>
      <c r="D70" s="34">
        <v>6</v>
      </c>
      <c r="E70" s="34">
        <v>6</v>
      </c>
      <c r="F70" s="34">
        <v>6</v>
      </c>
      <c r="G70" s="34">
        <v>6</v>
      </c>
      <c r="H70" s="34">
        <v>6</v>
      </c>
      <c r="I70" s="34">
        <v>6</v>
      </c>
      <c r="J70" s="34">
        <v>6</v>
      </c>
      <c r="K70" s="34">
        <v>6</v>
      </c>
      <c r="L70" s="34">
        <v>6</v>
      </c>
      <c r="M70" s="34">
        <v>6</v>
      </c>
      <c r="N70" s="34">
        <v>6</v>
      </c>
      <c r="O70" s="34">
        <v>6</v>
      </c>
      <c r="P70" s="34">
        <v>6</v>
      </c>
      <c r="Q70" s="34">
        <v>6</v>
      </c>
    </row>
    <row r="71" spans="1:17" x14ac:dyDescent="0.2">
      <c r="A71" s="35" t="s">
        <v>55</v>
      </c>
      <c r="B71" s="36" t="s">
        <v>18</v>
      </c>
      <c r="C71" s="32">
        <v>5.2874999999999996</v>
      </c>
      <c r="D71" s="32">
        <v>4.9874999999999998</v>
      </c>
      <c r="E71" s="32">
        <v>5.6624999999999996</v>
      </c>
      <c r="F71" s="32">
        <v>5.4</v>
      </c>
      <c r="G71" s="32">
        <v>5.2249999999999996</v>
      </c>
      <c r="H71" s="32">
        <v>4.9749999999999996</v>
      </c>
      <c r="I71" s="32">
        <v>4.625</v>
      </c>
      <c r="J71" s="32">
        <v>4.5250000000000004</v>
      </c>
      <c r="K71" s="32">
        <v>4.4749999999999996</v>
      </c>
      <c r="L71" s="32">
        <v>3.9750000000000001</v>
      </c>
      <c r="M71" s="32">
        <v>3.8250000000000002</v>
      </c>
      <c r="N71" s="32">
        <v>3.625</v>
      </c>
      <c r="O71" s="32">
        <v>3.7749999999999999</v>
      </c>
      <c r="P71" s="32">
        <v>3.625</v>
      </c>
      <c r="Q71" s="32">
        <v>3.625</v>
      </c>
    </row>
    <row r="72" spans="1:17" x14ac:dyDescent="0.2">
      <c r="A72" s="33" t="s">
        <v>56</v>
      </c>
      <c r="B72" s="34" t="s">
        <v>16</v>
      </c>
      <c r="C72" s="34">
        <v>1</v>
      </c>
      <c r="D72" s="34">
        <v>1</v>
      </c>
      <c r="E72" s="34">
        <v>1</v>
      </c>
      <c r="F72" s="34">
        <v>1</v>
      </c>
      <c r="G72" s="34">
        <v>1</v>
      </c>
      <c r="H72" s="34">
        <v>1</v>
      </c>
      <c r="I72" s="34">
        <v>1</v>
      </c>
      <c r="J72" s="34">
        <v>1</v>
      </c>
      <c r="K72" s="34">
        <v>1</v>
      </c>
      <c r="L72" s="34">
        <v>1</v>
      </c>
      <c r="M72" s="34">
        <v>1</v>
      </c>
      <c r="N72" s="34">
        <v>1</v>
      </c>
      <c r="O72" s="34">
        <v>1</v>
      </c>
      <c r="P72" s="34">
        <v>1</v>
      </c>
      <c r="Q72" s="34">
        <v>1</v>
      </c>
    </row>
    <row r="73" spans="1:17" x14ac:dyDescent="0.2">
      <c r="A73" s="35" t="s">
        <v>57</v>
      </c>
      <c r="B73" s="36" t="s">
        <v>18</v>
      </c>
      <c r="C73" s="32">
        <v>1</v>
      </c>
      <c r="D73" s="32">
        <v>1</v>
      </c>
      <c r="E73" s="32">
        <v>1</v>
      </c>
      <c r="F73" s="32">
        <v>0.85</v>
      </c>
      <c r="G73" s="32">
        <v>0.85</v>
      </c>
      <c r="H73" s="32">
        <v>0.85</v>
      </c>
      <c r="I73" s="32">
        <v>0.85</v>
      </c>
      <c r="J73" s="32">
        <v>0.85</v>
      </c>
      <c r="K73" s="32">
        <v>0.85</v>
      </c>
      <c r="L73" s="32">
        <v>0.85</v>
      </c>
      <c r="M73" s="32">
        <v>0.85</v>
      </c>
      <c r="N73" s="32">
        <v>0.85</v>
      </c>
      <c r="O73" s="32">
        <v>0.85</v>
      </c>
      <c r="P73" s="32">
        <v>0.85</v>
      </c>
      <c r="Q73" s="32">
        <v>0.85</v>
      </c>
    </row>
    <row r="74" spans="1:17" x14ac:dyDescent="0.2">
      <c r="A74" s="40" t="s">
        <v>58</v>
      </c>
      <c r="B74" s="41" t="s">
        <v>16</v>
      </c>
      <c r="C74" s="40">
        <v>4</v>
      </c>
      <c r="D74" s="40">
        <v>4</v>
      </c>
      <c r="E74" s="40">
        <v>4</v>
      </c>
      <c r="F74" s="40">
        <v>4</v>
      </c>
      <c r="G74" s="40">
        <v>4</v>
      </c>
      <c r="H74" s="40">
        <v>4</v>
      </c>
      <c r="I74" s="40">
        <v>4</v>
      </c>
      <c r="J74" s="40">
        <v>4</v>
      </c>
      <c r="K74" s="40">
        <v>4</v>
      </c>
      <c r="L74" s="40">
        <v>4</v>
      </c>
      <c r="M74" s="40">
        <v>4</v>
      </c>
      <c r="N74" s="40">
        <v>4</v>
      </c>
      <c r="O74" s="40">
        <v>4</v>
      </c>
      <c r="P74" s="40">
        <v>4</v>
      </c>
      <c r="Q74" s="40">
        <v>4</v>
      </c>
    </row>
    <row r="75" spans="1:17" x14ac:dyDescent="0.2">
      <c r="A75" s="31" t="s">
        <v>58</v>
      </c>
      <c r="B75" s="9" t="s">
        <v>18</v>
      </c>
      <c r="C75" s="7">
        <v>4.57</v>
      </c>
      <c r="D75" s="7">
        <v>4.01</v>
      </c>
      <c r="E75" s="7">
        <v>4.66</v>
      </c>
      <c r="F75" s="7">
        <v>4.8899999999999997</v>
      </c>
      <c r="G75" s="7">
        <v>4.92</v>
      </c>
      <c r="H75" s="7">
        <v>4.37</v>
      </c>
      <c r="I75" s="7">
        <v>4.42</v>
      </c>
      <c r="J75" s="7">
        <v>4.42</v>
      </c>
      <c r="K75" s="7">
        <v>4.2699999999999996</v>
      </c>
      <c r="L75" s="7">
        <v>3.52</v>
      </c>
      <c r="M75" s="7">
        <v>3.52</v>
      </c>
      <c r="N75" s="7">
        <v>3.42</v>
      </c>
      <c r="O75" s="7">
        <v>0.52</v>
      </c>
      <c r="P75" s="7">
        <v>0.42</v>
      </c>
      <c r="Q75" s="7">
        <v>0.42</v>
      </c>
    </row>
    <row r="76" spans="1:17" x14ac:dyDescent="0.2">
      <c r="A76" s="40" t="s">
        <v>59</v>
      </c>
      <c r="B76" s="41" t="s">
        <v>16</v>
      </c>
      <c r="C76" s="40">
        <v>2</v>
      </c>
      <c r="D76" s="40">
        <v>2</v>
      </c>
      <c r="E76" s="40">
        <v>2</v>
      </c>
      <c r="F76" s="40">
        <v>3</v>
      </c>
      <c r="G76" s="40">
        <v>3</v>
      </c>
      <c r="H76" s="40">
        <v>3</v>
      </c>
      <c r="I76" s="40">
        <v>3</v>
      </c>
      <c r="J76" s="40">
        <v>3</v>
      </c>
      <c r="K76" s="40">
        <v>3</v>
      </c>
      <c r="L76" s="40">
        <v>3</v>
      </c>
      <c r="M76" s="40">
        <v>3</v>
      </c>
      <c r="N76" s="40">
        <v>3</v>
      </c>
      <c r="O76" s="40">
        <v>3</v>
      </c>
      <c r="P76" s="40">
        <v>3</v>
      </c>
      <c r="Q76" s="40">
        <v>3</v>
      </c>
    </row>
    <row r="77" spans="1:17" x14ac:dyDescent="0.2">
      <c r="A77" s="31" t="s">
        <v>59</v>
      </c>
      <c r="B77" s="9" t="s">
        <v>18</v>
      </c>
      <c r="C77" s="7">
        <v>2.94</v>
      </c>
      <c r="D77" s="7">
        <v>3.01</v>
      </c>
      <c r="E77" s="7">
        <v>2.65</v>
      </c>
      <c r="F77" s="7">
        <v>2.82</v>
      </c>
      <c r="G77" s="7">
        <v>2.82</v>
      </c>
      <c r="H77" s="7">
        <v>2.75</v>
      </c>
      <c r="I77" s="7">
        <v>2.8</v>
      </c>
      <c r="J77" s="7">
        <v>2.5499999999999998</v>
      </c>
      <c r="K77" s="7">
        <v>2.5499999999999998</v>
      </c>
      <c r="L77" s="7">
        <v>1.08</v>
      </c>
      <c r="M77" s="7">
        <v>0.98</v>
      </c>
      <c r="N77" s="7">
        <v>0.98</v>
      </c>
      <c r="O77" s="7">
        <v>0.73</v>
      </c>
      <c r="P77" s="7">
        <v>0.73</v>
      </c>
      <c r="Q77" s="7">
        <v>0.73</v>
      </c>
    </row>
    <row r="78" spans="1:17" x14ac:dyDescent="0.2">
      <c r="A78" s="40" t="s">
        <v>60</v>
      </c>
      <c r="B78" s="41" t="s">
        <v>16</v>
      </c>
      <c r="C78" s="40">
        <v>3</v>
      </c>
      <c r="D78" s="40">
        <v>3</v>
      </c>
      <c r="E78" s="40">
        <v>3</v>
      </c>
      <c r="F78" s="40">
        <v>3</v>
      </c>
      <c r="G78" s="40">
        <v>3</v>
      </c>
      <c r="H78" s="40">
        <v>3</v>
      </c>
      <c r="I78" s="40">
        <v>3</v>
      </c>
      <c r="J78" s="40">
        <v>3</v>
      </c>
      <c r="K78" s="40">
        <v>3</v>
      </c>
      <c r="L78" s="40">
        <v>3</v>
      </c>
      <c r="M78" s="40">
        <v>3</v>
      </c>
      <c r="N78" s="40">
        <v>3</v>
      </c>
      <c r="O78" s="40">
        <v>3</v>
      </c>
      <c r="P78" s="40">
        <v>3</v>
      </c>
      <c r="Q78" s="40">
        <v>3</v>
      </c>
    </row>
    <row r="79" spans="1:17" x14ac:dyDescent="0.2">
      <c r="A79" s="31" t="s">
        <v>60</v>
      </c>
      <c r="B79" s="9" t="s">
        <v>18</v>
      </c>
      <c r="C79" s="7">
        <v>2.9</v>
      </c>
      <c r="D79" s="7">
        <v>3.375</v>
      </c>
      <c r="E79" s="7">
        <v>2.6749999999999998</v>
      </c>
      <c r="F79" s="7">
        <v>2.52</v>
      </c>
      <c r="G79" s="7">
        <v>2.4700000000000002</v>
      </c>
      <c r="H79" s="7">
        <v>2.42</v>
      </c>
      <c r="I79" s="7">
        <v>2.42</v>
      </c>
      <c r="J79" s="7">
        <v>2.42</v>
      </c>
      <c r="K79" s="7">
        <v>2.12</v>
      </c>
      <c r="L79" s="7">
        <v>1.6</v>
      </c>
      <c r="M79" s="7">
        <v>1.6</v>
      </c>
      <c r="N79" s="7">
        <v>1.6</v>
      </c>
      <c r="O79" s="7">
        <v>0.8</v>
      </c>
      <c r="P79" s="7">
        <v>0.8</v>
      </c>
      <c r="Q79" s="7">
        <v>0.8</v>
      </c>
    </row>
    <row r="80" spans="1:17" x14ac:dyDescent="0.2">
      <c r="A80" s="40" t="s">
        <v>61</v>
      </c>
      <c r="B80" s="41" t="s">
        <v>16</v>
      </c>
      <c r="C80" s="40">
        <v>4</v>
      </c>
      <c r="D80" s="40">
        <v>4</v>
      </c>
      <c r="E80" s="40">
        <v>4</v>
      </c>
      <c r="F80" s="40">
        <v>4</v>
      </c>
      <c r="G80" s="40">
        <v>4</v>
      </c>
      <c r="H80" s="40">
        <v>4</v>
      </c>
      <c r="I80" s="40">
        <v>4</v>
      </c>
      <c r="J80" s="40">
        <v>4</v>
      </c>
      <c r="K80" s="40">
        <v>4</v>
      </c>
      <c r="L80" s="40">
        <v>4</v>
      </c>
      <c r="M80" s="40">
        <v>4</v>
      </c>
      <c r="N80" s="40">
        <v>4</v>
      </c>
      <c r="O80" s="40">
        <v>4</v>
      </c>
      <c r="P80" s="40">
        <v>4</v>
      </c>
      <c r="Q80" s="40">
        <v>4</v>
      </c>
    </row>
    <row r="81" spans="1:17" x14ac:dyDescent="0.2">
      <c r="A81" s="31" t="s">
        <v>61</v>
      </c>
      <c r="B81" s="9" t="s">
        <v>18</v>
      </c>
      <c r="C81" s="7">
        <v>3.6</v>
      </c>
      <c r="D81" s="7">
        <v>3.67</v>
      </c>
      <c r="E81" s="7">
        <v>3.62</v>
      </c>
      <c r="F81" s="7">
        <v>3.87</v>
      </c>
      <c r="G81" s="7">
        <v>5.0199999999999996</v>
      </c>
      <c r="H81" s="7">
        <v>5.22</v>
      </c>
      <c r="I81" s="7">
        <v>6.07</v>
      </c>
      <c r="J81" s="7">
        <v>5.97</v>
      </c>
      <c r="K81" s="7">
        <v>5.47</v>
      </c>
      <c r="L81" s="7">
        <v>3.7</v>
      </c>
      <c r="M81" s="7">
        <v>3.15</v>
      </c>
      <c r="N81" s="7">
        <v>2.4500000000000002</v>
      </c>
      <c r="O81" s="7">
        <v>1.65</v>
      </c>
      <c r="P81" s="7">
        <v>1.1499999999999999</v>
      </c>
      <c r="Q81" s="7">
        <v>1.1499999999999999</v>
      </c>
    </row>
    <row r="82" spans="1:17" x14ac:dyDescent="0.2">
      <c r="A82" s="40" t="s">
        <v>62</v>
      </c>
      <c r="B82" s="41" t="s">
        <v>16</v>
      </c>
      <c r="C82" s="40">
        <v>5</v>
      </c>
      <c r="D82" s="40">
        <v>6</v>
      </c>
      <c r="E82" s="40">
        <v>5</v>
      </c>
      <c r="F82" s="40">
        <v>5</v>
      </c>
      <c r="G82" s="40">
        <v>5</v>
      </c>
      <c r="H82" s="40">
        <v>5</v>
      </c>
      <c r="I82" s="40">
        <v>5</v>
      </c>
      <c r="J82" s="40">
        <v>5</v>
      </c>
      <c r="K82" s="40">
        <v>5</v>
      </c>
      <c r="L82" s="40">
        <v>5</v>
      </c>
      <c r="M82" s="40">
        <v>5</v>
      </c>
      <c r="N82" s="40">
        <v>5</v>
      </c>
      <c r="O82" s="40">
        <v>5</v>
      </c>
      <c r="P82" s="40">
        <v>5</v>
      </c>
      <c r="Q82" s="40">
        <v>5</v>
      </c>
    </row>
    <row r="83" spans="1:17" x14ac:dyDescent="0.2">
      <c r="A83" s="31" t="s">
        <v>62</v>
      </c>
      <c r="B83" s="9" t="s">
        <v>18</v>
      </c>
      <c r="C83" s="7">
        <v>5.6</v>
      </c>
      <c r="D83" s="7">
        <v>6.2</v>
      </c>
      <c r="E83" s="7">
        <v>5.85</v>
      </c>
      <c r="F83" s="7">
        <v>5.91</v>
      </c>
      <c r="G83" s="7">
        <v>7.57</v>
      </c>
      <c r="H83" s="7">
        <v>7.07</v>
      </c>
      <c r="I83" s="7">
        <v>6.27</v>
      </c>
      <c r="J83" s="7">
        <v>6.27</v>
      </c>
      <c r="K83" s="7">
        <v>6.27</v>
      </c>
      <c r="L83" s="7">
        <v>4.62</v>
      </c>
      <c r="M83" s="7">
        <v>4.62</v>
      </c>
      <c r="N83" s="7">
        <v>4.62</v>
      </c>
      <c r="O83" s="7">
        <v>4.12</v>
      </c>
      <c r="P83" s="7">
        <v>3.62</v>
      </c>
      <c r="Q83" s="7">
        <v>3.62</v>
      </c>
    </row>
    <row r="84" spans="1:17" x14ac:dyDescent="0.2">
      <c r="A84" s="40" t="s">
        <v>63</v>
      </c>
      <c r="B84" s="41" t="s">
        <v>16</v>
      </c>
      <c r="C84" s="40">
        <v>12</v>
      </c>
      <c r="D84" s="40">
        <v>14</v>
      </c>
      <c r="E84" s="40">
        <v>17</v>
      </c>
      <c r="F84" s="40">
        <v>18</v>
      </c>
      <c r="G84" s="40">
        <v>18</v>
      </c>
      <c r="H84" s="40">
        <v>18</v>
      </c>
      <c r="I84" s="40">
        <v>18</v>
      </c>
      <c r="J84" s="40">
        <v>18</v>
      </c>
      <c r="K84" s="40">
        <v>18</v>
      </c>
      <c r="L84" s="40">
        <v>18</v>
      </c>
      <c r="M84" s="40">
        <v>18</v>
      </c>
      <c r="N84" s="40">
        <v>18</v>
      </c>
      <c r="O84" s="40">
        <v>18</v>
      </c>
      <c r="P84" s="40">
        <v>18</v>
      </c>
      <c r="Q84" s="40">
        <v>18</v>
      </c>
    </row>
    <row r="85" spans="1:17" x14ac:dyDescent="0.2">
      <c r="A85" s="31" t="s">
        <v>63</v>
      </c>
      <c r="B85" s="9" t="s">
        <v>18</v>
      </c>
      <c r="C85" s="7">
        <v>11.555</v>
      </c>
      <c r="D85" s="7">
        <v>13.68</v>
      </c>
      <c r="E85" s="7">
        <v>15.35</v>
      </c>
      <c r="F85" s="7">
        <v>16.75</v>
      </c>
      <c r="G85" s="7">
        <v>25.9</v>
      </c>
      <c r="H85" s="7">
        <v>25.55</v>
      </c>
      <c r="I85" s="7">
        <v>25.35</v>
      </c>
      <c r="J85" s="7">
        <v>23</v>
      </c>
      <c r="K85" s="7">
        <v>22.6</v>
      </c>
      <c r="L85" s="7">
        <v>13.1</v>
      </c>
      <c r="M85" s="7">
        <v>13.1</v>
      </c>
      <c r="N85" s="7">
        <v>13.1</v>
      </c>
      <c r="O85" s="7">
        <v>2.6</v>
      </c>
      <c r="P85" s="7">
        <v>2.6</v>
      </c>
      <c r="Q85" s="7">
        <v>2.6</v>
      </c>
    </row>
    <row r="86" spans="1:17" x14ac:dyDescent="0.2">
      <c r="A86" s="33" t="s">
        <v>64</v>
      </c>
      <c r="B86" s="34" t="s">
        <v>16</v>
      </c>
      <c r="C86" s="34">
        <v>2</v>
      </c>
      <c r="D86" s="34">
        <v>2</v>
      </c>
      <c r="E86" s="34">
        <v>2</v>
      </c>
      <c r="F86" s="34">
        <v>2</v>
      </c>
      <c r="G86" s="34">
        <v>2</v>
      </c>
      <c r="H86" s="34">
        <v>2</v>
      </c>
      <c r="I86" s="34">
        <v>2</v>
      </c>
      <c r="J86" s="34">
        <v>2</v>
      </c>
      <c r="K86" s="34">
        <v>2</v>
      </c>
      <c r="L86" s="34">
        <v>2</v>
      </c>
      <c r="M86" s="34">
        <v>2</v>
      </c>
      <c r="N86" s="34">
        <v>2</v>
      </c>
      <c r="O86" s="34">
        <v>2</v>
      </c>
      <c r="P86" s="34">
        <v>2</v>
      </c>
      <c r="Q86" s="34">
        <v>2</v>
      </c>
    </row>
    <row r="87" spans="1:17" x14ac:dyDescent="0.2">
      <c r="A87" s="35" t="s">
        <v>65</v>
      </c>
      <c r="B87" s="36" t="s">
        <v>18</v>
      </c>
      <c r="C87" s="32">
        <v>2.0550000000000002</v>
      </c>
      <c r="D87" s="32">
        <v>2.1800000000000002</v>
      </c>
      <c r="E87" s="32">
        <v>2.15</v>
      </c>
      <c r="F87" s="32">
        <v>2.4500000000000002</v>
      </c>
      <c r="G87" s="32">
        <v>3</v>
      </c>
      <c r="H87" s="32">
        <v>2.75</v>
      </c>
      <c r="I87" s="32">
        <v>2.4500000000000002</v>
      </c>
      <c r="J87" s="32">
        <v>2.2000000000000002</v>
      </c>
      <c r="K87" s="32">
        <v>2.1</v>
      </c>
      <c r="L87" s="32">
        <v>1.6</v>
      </c>
      <c r="M87" s="32">
        <v>1.6</v>
      </c>
      <c r="N87" s="32">
        <v>1.6</v>
      </c>
      <c r="O87" s="32">
        <v>0.6</v>
      </c>
      <c r="P87" s="32">
        <v>0.6</v>
      </c>
      <c r="Q87" s="32">
        <v>0.6</v>
      </c>
    </row>
    <row r="88" spans="1:17" x14ac:dyDescent="0.2">
      <c r="A88" s="33" t="s">
        <v>66</v>
      </c>
      <c r="B88" s="34" t="s">
        <v>16</v>
      </c>
      <c r="C88" s="34">
        <v>1</v>
      </c>
      <c r="D88" s="34">
        <v>1</v>
      </c>
      <c r="E88" s="34">
        <v>1</v>
      </c>
      <c r="F88" s="34">
        <v>1</v>
      </c>
      <c r="G88" s="34">
        <v>1</v>
      </c>
      <c r="H88" s="34">
        <v>1</v>
      </c>
      <c r="I88" s="34">
        <v>1</v>
      </c>
      <c r="J88" s="34">
        <v>1</v>
      </c>
      <c r="K88" s="34">
        <v>1</v>
      </c>
      <c r="L88" s="34">
        <v>1</v>
      </c>
      <c r="M88" s="34">
        <v>1</v>
      </c>
      <c r="N88" s="34">
        <v>1</v>
      </c>
      <c r="O88" s="34">
        <v>1</v>
      </c>
      <c r="P88" s="34">
        <v>1</v>
      </c>
      <c r="Q88" s="34">
        <v>1</v>
      </c>
    </row>
    <row r="89" spans="1:17" x14ac:dyDescent="0.2">
      <c r="A89" s="35" t="s">
        <v>67</v>
      </c>
      <c r="B89" s="36" t="s">
        <v>18</v>
      </c>
      <c r="C89" s="32">
        <v>1</v>
      </c>
      <c r="D89" s="32">
        <v>1</v>
      </c>
      <c r="E89" s="32">
        <v>1</v>
      </c>
      <c r="F89" s="32">
        <v>1</v>
      </c>
      <c r="G89" s="32">
        <v>1</v>
      </c>
      <c r="H89" s="32">
        <v>1</v>
      </c>
      <c r="I89" s="32">
        <v>1</v>
      </c>
      <c r="J89" s="32">
        <v>1</v>
      </c>
      <c r="K89" s="32">
        <v>1</v>
      </c>
      <c r="L89" s="32">
        <v>1</v>
      </c>
      <c r="M89" s="32">
        <v>1</v>
      </c>
      <c r="N89" s="32">
        <v>1</v>
      </c>
      <c r="O89" s="32">
        <v>0</v>
      </c>
      <c r="P89" s="32">
        <v>0</v>
      </c>
      <c r="Q89" s="32">
        <v>0</v>
      </c>
    </row>
    <row r="90" spans="1:17" x14ac:dyDescent="0.2">
      <c r="A90" s="33" t="s">
        <v>68</v>
      </c>
      <c r="B90" s="34" t="s">
        <v>16</v>
      </c>
      <c r="C90" s="34">
        <v>9</v>
      </c>
      <c r="D90" s="34">
        <v>11</v>
      </c>
      <c r="E90" s="34">
        <v>14</v>
      </c>
      <c r="F90" s="34">
        <v>15</v>
      </c>
      <c r="G90" s="34">
        <v>15</v>
      </c>
      <c r="H90" s="34">
        <v>15</v>
      </c>
      <c r="I90" s="34">
        <v>15</v>
      </c>
      <c r="J90" s="34">
        <v>15</v>
      </c>
      <c r="K90" s="34">
        <v>15</v>
      </c>
      <c r="L90" s="34">
        <v>15</v>
      </c>
      <c r="M90" s="34">
        <v>15</v>
      </c>
      <c r="N90" s="34">
        <v>15</v>
      </c>
      <c r="O90" s="34">
        <v>15</v>
      </c>
      <c r="P90" s="34">
        <v>15</v>
      </c>
      <c r="Q90" s="34">
        <v>15</v>
      </c>
    </row>
    <row r="91" spans="1:17" x14ac:dyDescent="0.2">
      <c r="A91" s="35" t="s">
        <v>69</v>
      </c>
      <c r="B91" s="36" t="s">
        <v>18</v>
      </c>
      <c r="C91" s="32">
        <v>8.5</v>
      </c>
      <c r="D91" s="32">
        <v>10.5</v>
      </c>
      <c r="E91" s="32">
        <v>12.2</v>
      </c>
      <c r="F91" s="32">
        <v>13.3</v>
      </c>
      <c r="G91" s="32">
        <v>21.9</v>
      </c>
      <c r="H91" s="32">
        <v>21.8</v>
      </c>
      <c r="I91" s="32">
        <v>21.9</v>
      </c>
      <c r="J91" s="32">
        <v>19.8</v>
      </c>
      <c r="K91" s="32">
        <v>19.5</v>
      </c>
      <c r="L91" s="32">
        <v>10.5</v>
      </c>
      <c r="M91" s="32">
        <v>10.5</v>
      </c>
      <c r="N91" s="32">
        <v>10.5</v>
      </c>
      <c r="O91" s="32">
        <v>2</v>
      </c>
      <c r="P91" s="32">
        <v>2</v>
      </c>
      <c r="Q91" s="32">
        <v>2</v>
      </c>
    </row>
    <row r="92" spans="1:17" x14ac:dyDescent="0.2">
      <c r="A92" s="40" t="s">
        <v>70</v>
      </c>
      <c r="B92" s="41" t="s">
        <v>16</v>
      </c>
      <c r="C92" s="40">
        <v>4</v>
      </c>
      <c r="D92" s="40">
        <v>4</v>
      </c>
      <c r="E92" s="40">
        <v>4</v>
      </c>
      <c r="F92" s="40">
        <v>4</v>
      </c>
      <c r="G92" s="40">
        <v>4</v>
      </c>
      <c r="H92" s="40">
        <v>4</v>
      </c>
      <c r="I92" s="40">
        <v>4</v>
      </c>
      <c r="J92" s="40">
        <v>4</v>
      </c>
      <c r="K92" s="40">
        <v>4</v>
      </c>
      <c r="L92" s="40">
        <v>4</v>
      </c>
      <c r="M92" s="40">
        <v>4</v>
      </c>
      <c r="N92" s="40">
        <v>4</v>
      </c>
      <c r="O92" s="40">
        <v>4</v>
      </c>
      <c r="P92" s="40">
        <v>4</v>
      </c>
      <c r="Q92" s="40">
        <v>4</v>
      </c>
    </row>
    <row r="93" spans="1:17" x14ac:dyDescent="0.2">
      <c r="A93" s="31" t="s">
        <v>70</v>
      </c>
      <c r="B93" s="9" t="s">
        <v>18</v>
      </c>
      <c r="C93" s="7">
        <v>3.07</v>
      </c>
      <c r="D93" s="7">
        <v>3.07</v>
      </c>
      <c r="E93" s="7">
        <v>3.24</v>
      </c>
      <c r="F93" s="7">
        <v>3.13</v>
      </c>
      <c r="G93" s="7">
        <v>3.13</v>
      </c>
      <c r="H93" s="7">
        <v>3.34</v>
      </c>
      <c r="I93" s="7">
        <v>3.61</v>
      </c>
      <c r="J93" s="7">
        <v>3.73</v>
      </c>
      <c r="K93" s="7">
        <v>3.73</v>
      </c>
      <c r="L93" s="7">
        <v>3.73</v>
      </c>
      <c r="M93" s="7">
        <v>3.73</v>
      </c>
      <c r="N93" s="7">
        <v>3.73</v>
      </c>
      <c r="O93" s="7">
        <v>6.04</v>
      </c>
      <c r="P93" s="7">
        <v>6.04</v>
      </c>
      <c r="Q93" s="7">
        <v>6.04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C817-BDF8-5E43-B916-7C4B92D4B7EF}">
  <dimension ref="A1:Q7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33</v>
      </c>
      <c r="B2" s="6" t="s">
        <v>16</v>
      </c>
      <c r="C2" s="7">
        <v>21</v>
      </c>
      <c r="D2" s="7">
        <v>21</v>
      </c>
      <c r="E2" s="7">
        <v>21</v>
      </c>
      <c r="F2" s="7">
        <v>19</v>
      </c>
      <c r="G2" s="7">
        <v>19</v>
      </c>
      <c r="H2" s="7">
        <v>19</v>
      </c>
      <c r="I2" s="7">
        <v>19</v>
      </c>
      <c r="J2" s="7">
        <v>19</v>
      </c>
      <c r="K2" s="7">
        <v>19</v>
      </c>
      <c r="L2" s="7">
        <v>20</v>
      </c>
      <c r="M2" s="7">
        <v>20</v>
      </c>
      <c r="N2" s="7">
        <v>20</v>
      </c>
      <c r="O2" s="7">
        <v>20</v>
      </c>
      <c r="P2" s="7">
        <v>20</v>
      </c>
      <c r="Q2" s="7">
        <v>20</v>
      </c>
    </row>
    <row r="3" spans="1:17" x14ac:dyDescent="0.2">
      <c r="A3" s="11" t="s">
        <v>33</v>
      </c>
      <c r="B3" s="8" t="s">
        <v>17</v>
      </c>
      <c r="C3" s="7">
        <v>20</v>
      </c>
      <c r="D3" s="7">
        <v>20</v>
      </c>
      <c r="E3" s="7">
        <v>20</v>
      </c>
      <c r="F3" s="7">
        <v>20</v>
      </c>
      <c r="G3" s="7">
        <v>20</v>
      </c>
      <c r="H3" s="7">
        <v>20</v>
      </c>
      <c r="I3" s="7">
        <v>20</v>
      </c>
      <c r="J3" s="7">
        <v>20</v>
      </c>
      <c r="K3" s="7">
        <v>20</v>
      </c>
      <c r="L3" s="7">
        <v>20</v>
      </c>
      <c r="M3" s="7">
        <v>20</v>
      </c>
      <c r="N3" s="7">
        <v>20</v>
      </c>
      <c r="O3" s="7">
        <v>20.399999999999999</v>
      </c>
      <c r="P3" s="7">
        <v>20.399999999999999</v>
      </c>
      <c r="Q3" s="7">
        <v>20.399999999999999</v>
      </c>
    </row>
    <row r="4" spans="1:17" x14ac:dyDescent="0.2">
      <c r="A4" s="12" t="s">
        <v>33</v>
      </c>
      <c r="B4" s="9" t="s">
        <v>18</v>
      </c>
      <c r="C4" s="7">
        <v>18</v>
      </c>
      <c r="D4" s="7">
        <v>17</v>
      </c>
      <c r="E4" s="7">
        <v>17</v>
      </c>
      <c r="F4" s="7">
        <v>17</v>
      </c>
      <c r="G4" s="7">
        <v>17</v>
      </c>
      <c r="H4" s="7">
        <v>16</v>
      </c>
      <c r="I4" s="7">
        <v>16</v>
      </c>
      <c r="J4" s="7">
        <v>16</v>
      </c>
      <c r="K4" s="7">
        <v>16</v>
      </c>
      <c r="L4" s="7">
        <v>14</v>
      </c>
      <c r="M4" s="7">
        <v>14</v>
      </c>
      <c r="N4" s="7">
        <v>13</v>
      </c>
      <c r="O4" s="7">
        <v>11.52</v>
      </c>
      <c r="P4" s="7">
        <v>11.3825</v>
      </c>
      <c r="Q4" s="7">
        <v>11.3825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0.8387</v>
      </c>
      <c r="D6" s="18">
        <v>0.81630000000000003</v>
      </c>
      <c r="E6" s="18">
        <v>0.7863</v>
      </c>
      <c r="F6" s="18">
        <v>0.87280000000000002</v>
      </c>
      <c r="G6" s="18">
        <v>0.87539999999999996</v>
      </c>
      <c r="H6" s="18">
        <v>0.82799999999999996</v>
      </c>
      <c r="I6" s="18">
        <v>0.86029999999999995</v>
      </c>
      <c r="J6" s="18">
        <v>0.85829999999999995</v>
      </c>
      <c r="K6" s="18">
        <v>0.85299999999999998</v>
      </c>
      <c r="L6" s="18">
        <v>0.71230000000000004</v>
      </c>
      <c r="M6" s="18">
        <v>0.70540000000000003</v>
      </c>
      <c r="N6" s="18">
        <v>0.65039999999999998</v>
      </c>
      <c r="O6" s="18">
        <v>0.57599999999999996</v>
      </c>
      <c r="P6" s="18">
        <v>0.56910000000000005</v>
      </c>
      <c r="Q6" s="18">
        <v>0.56910000000000005</v>
      </c>
    </row>
    <row r="7" spans="1:17" x14ac:dyDescent="0.2">
      <c r="A7" s="16"/>
      <c r="B7" s="17" t="s">
        <v>24</v>
      </c>
      <c r="C7" s="19">
        <v>3</v>
      </c>
      <c r="D7" s="19">
        <v>4</v>
      </c>
      <c r="E7" s="19">
        <v>4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6</v>
      </c>
      <c r="M7" s="19">
        <v>6</v>
      </c>
      <c r="N7" s="19">
        <v>7</v>
      </c>
      <c r="O7" s="19">
        <v>8</v>
      </c>
      <c r="P7" s="19">
        <v>9</v>
      </c>
      <c r="Q7" s="19">
        <v>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21</v>
      </c>
      <c r="D9" s="7">
        <v>21</v>
      </c>
      <c r="E9" s="7">
        <v>21</v>
      </c>
      <c r="F9" s="7">
        <v>19</v>
      </c>
      <c r="G9" s="7">
        <v>19</v>
      </c>
      <c r="H9" s="7">
        <v>19</v>
      </c>
      <c r="I9" s="7">
        <v>19</v>
      </c>
      <c r="J9" s="7">
        <v>19</v>
      </c>
      <c r="K9" s="7">
        <v>19</v>
      </c>
      <c r="L9" s="7">
        <v>20</v>
      </c>
      <c r="M9" s="7">
        <v>20</v>
      </c>
      <c r="N9" s="7">
        <v>20</v>
      </c>
      <c r="O9" s="7">
        <v>20</v>
      </c>
      <c r="P9" s="7">
        <v>20</v>
      </c>
      <c r="Q9" s="7">
        <v>20</v>
      </c>
    </row>
    <row r="10" spans="1:17" x14ac:dyDescent="0.2">
      <c r="A10" s="8" t="s">
        <v>17</v>
      </c>
      <c r="B10" s="11" t="s">
        <v>19</v>
      </c>
      <c r="C10" s="7">
        <v>20</v>
      </c>
      <c r="D10" s="7">
        <v>20</v>
      </c>
      <c r="E10" s="7">
        <v>20</v>
      </c>
      <c r="F10" s="7">
        <v>20</v>
      </c>
      <c r="G10" s="7">
        <v>20</v>
      </c>
      <c r="H10" s="7">
        <v>20</v>
      </c>
      <c r="I10" s="7">
        <v>20</v>
      </c>
      <c r="J10" s="7">
        <v>20</v>
      </c>
      <c r="K10" s="7">
        <v>20</v>
      </c>
      <c r="L10" s="7">
        <v>20</v>
      </c>
      <c r="M10" s="7">
        <v>20</v>
      </c>
      <c r="N10" s="7">
        <v>20</v>
      </c>
      <c r="O10" s="7">
        <v>19.75</v>
      </c>
      <c r="P10" s="7">
        <v>19.75</v>
      </c>
      <c r="Q10" s="7">
        <v>19.75</v>
      </c>
    </row>
    <row r="11" spans="1:17" x14ac:dyDescent="0.2">
      <c r="A11" s="15" t="s">
        <v>18</v>
      </c>
      <c r="B11" s="12" t="s">
        <v>19</v>
      </c>
      <c r="C11" s="7">
        <v>18</v>
      </c>
      <c r="D11" s="7">
        <v>17</v>
      </c>
      <c r="E11" s="7">
        <v>17</v>
      </c>
      <c r="F11" s="7">
        <v>17</v>
      </c>
      <c r="G11" s="7">
        <v>17</v>
      </c>
      <c r="H11" s="7">
        <v>16</v>
      </c>
      <c r="I11" s="7">
        <v>16</v>
      </c>
      <c r="J11" s="7">
        <v>16</v>
      </c>
      <c r="K11" s="7">
        <v>16</v>
      </c>
      <c r="L11" s="7">
        <v>14</v>
      </c>
      <c r="M11" s="7">
        <v>14</v>
      </c>
      <c r="N11" s="7">
        <v>13</v>
      </c>
      <c r="O11" s="7">
        <v>11.52</v>
      </c>
      <c r="P11" s="7">
        <v>11.3825</v>
      </c>
      <c r="Q11" s="7">
        <v>11.3825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33</v>
      </c>
      <c r="B32" s="6" t="s">
        <v>16</v>
      </c>
      <c r="C32" s="20">
        <v>21</v>
      </c>
      <c r="D32" s="20">
        <v>19</v>
      </c>
      <c r="E32" s="20">
        <v>19</v>
      </c>
      <c r="F32" s="20">
        <v>20</v>
      </c>
      <c r="G32" s="20">
        <v>20</v>
      </c>
    </row>
    <row r="33" spans="1:7" x14ac:dyDescent="0.2">
      <c r="A33" s="11" t="s">
        <v>33</v>
      </c>
      <c r="B33" s="8" t="s">
        <v>17</v>
      </c>
      <c r="C33" s="20">
        <v>20</v>
      </c>
      <c r="D33" s="20">
        <v>20</v>
      </c>
      <c r="E33" s="20">
        <v>20</v>
      </c>
      <c r="F33" s="20">
        <v>20</v>
      </c>
      <c r="G33" s="20">
        <v>20</v>
      </c>
    </row>
    <row r="34" spans="1:7" x14ac:dyDescent="0.2">
      <c r="A34" s="12" t="s">
        <v>33</v>
      </c>
      <c r="B34" s="9" t="s">
        <v>18</v>
      </c>
      <c r="C34" s="20">
        <v>17</v>
      </c>
      <c r="D34" s="20">
        <v>16</v>
      </c>
      <c r="E34" s="20">
        <v>16</v>
      </c>
      <c r="F34" s="20">
        <v>14</v>
      </c>
      <c r="G34" s="20">
        <v>11</v>
      </c>
    </row>
    <row r="35" spans="1:7" x14ac:dyDescent="0.2">
      <c r="A35" s="16"/>
      <c r="B35" s="7"/>
      <c r="C35" s="24">
        <v>0.1862</v>
      </c>
      <c r="D35" s="24">
        <v>0.14130000000000001</v>
      </c>
      <c r="E35" s="24">
        <v>0.14280000000000001</v>
      </c>
      <c r="F35" s="24">
        <v>0.31069999999999998</v>
      </c>
      <c r="G35" s="24">
        <v>0.42859999999999998</v>
      </c>
    </row>
    <row r="36" spans="1:7" x14ac:dyDescent="0.2">
      <c r="A36" s="7"/>
      <c r="B36" s="17" t="s">
        <v>23</v>
      </c>
      <c r="C36" s="18">
        <v>0.81379999999999997</v>
      </c>
      <c r="D36" s="18">
        <v>0.85870000000000002</v>
      </c>
      <c r="E36" s="18">
        <v>0.85719999999999996</v>
      </c>
      <c r="F36" s="18">
        <v>0.68930000000000002</v>
      </c>
      <c r="G36" s="18">
        <v>0.57140000000000002</v>
      </c>
    </row>
    <row r="37" spans="1:7" x14ac:dyDescent="0.2">
      <c r="A37" s="16"/>
      <c r="B37" s="17" t="s">
        <v>24</v>
      </c>
      <c r="C37" s="19">
        <v>4</v>
      </c>
      <c r="D37" s="19">
        <v>3</v>
      </c>
      <c r="E37" s="19">
        <v>3</v>
      </c>
      <c r="F37" s="19">
        <v>4</v>
      </c>
      <c r="G37" s="19">
        <v>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21</v>
      </c>
      <c r="D39" s="20">
        <v>19</v>
      </c>
      <c r="E39" s="20">
        <v>19</v>
      </c>
      <c r="F39" s="20">
        <v>20</v>
      </c>
      <c r="G39" s="20">
        <v>20</v>
      </c>
    </row>
    <row r="40" spans="1:7" x14ac:dyDescent="0.2">
      <c r="A40" s="8" t="s">
        <v>17</v>
      </c>
      <c r="B40" s="11" t="s">
        <v>19</v>
      </c>
      <c r="C40" s="20">
        <v>20</v>
      </c>
      <c r="D40" s="20">
        <v>20</v>
      </c>
      <c r="E40" s="20">
        <v>20</v>
      </c>
      <c r="F40" s="20">
        <v>20</v>
      </c>
      <c r="G40" s="20">
        <v>20</v>
      </c>
    </row>
    <row r="41" spans="1:7" x14ac:dyDescent="0.2">
      <c r="A41" s="15" t="s">
        <v>18</v>
      </c>
      <c r="B41" s="12" t="s">
        <v>19</v>
      </c>
      <c r="C41" s="20">
        <v>17</v>
      </c>
      <c r="D41" s="20">
        <v>16</v>
      </c>
      <c r="E41" s="20">
        <v>16</v>
      </c>
      <c r="F41" s="20">
        <v>14</v>
      </c>
      <c r="G41" s="20">
        <v>11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5" t="s">
        <v>179</v>
      </c>
      <c r="P61" s="5" t="s">
        <v>180</v>
      </c>
      <c r="Q61" s="5" t="s">
        <v>181</v>
      </c>
    </row>
    <row r="62" spans="1:17" x14ac:dyDescent="0.2">
      <c r="A62" s="11"/>
      <c r="B62" s="37" t="s">
        <v>16</v>
      </c>
      <c r="C62" s="11">
        <v>21</v>
      </c>
      <c r="D62" s="11">
        <v>21</v>
      </c>
      <c r="E62" s="11">
        <v>21</v>
      </c>
      <c r="F62" s="11">
        <v>19</v>
      </c>
      <c r="G62" s="11">
        <v>19</v>
      </c>
      <c r="H62" s="11">
        <v>19</v>
      </c>
      <c r="I62" s="11">
        <v>19</v>
      </c>
      <c r="J62" s="11">
        <v>19</v>
      </c>
      <c r="K62" s="11">
        <v>19</v>
      </c>
      <c r="L62" s="11">
        <v>20</v>
      </c>
      <c r="M62" s="11">
        <v>20</v>
      </c>
      <c r="N62" s="11">
        <v>20</v>
      </c>
      <c r="O62" s="11">
        <v>20</v>
      </c>
      <c r="P62" s="11">
        <v>20</v>
      </c>
      <c r="Q62" s="11">
        <v>20</v>
      </c>
    </row>
    <row r="63" spans="1:17" x14ac:dyDescent="0.2">
      <c r="A63" s="28"/>
      <c r="B63" s="38" t="s">
        <v>18</v>
      </c>
      <c r="C63" s="39">
        <v>17.613125</v>
      </c>
      <c r="D63" s="39">
        <v>17.143125000000001</v>
      </c>
      <c r="E63" s="39">
        <v>16.513124999999999</v>
      </c>
      <c r="F63" s="39">
        <v>16.5825</v>
      </c>
      <c r="G63" s="39">
        <v>16.6325</v>
      </c>
      <c r="H63" s="39">
        <v>15.7325</v>
      </c>
      <c r="I63" s="39">
        <v>16.344999999999999</v>
      </c>
      <c r="J63" s="39">
        <v>16.307500000000001</v>
      </c>
      <c r="K63" s="39">
        <v>16.2075</v>
      </c>
      <c r="L63" s="39">
        <v>14.244999999999999</v>
      </c>
      <c r="M63" s="39">
        <v>14.1075</v>
      </c>
      <c r="N63" s="39">
        <v>13.0075</v>
      </c>
      <c r="O63" s="39">
        <v>11.52</v>
      </c>
      <c r="P63" s="39">
        <v>11.3825</v>
      </c>
      <c r="Q63" s="39">
        <v>11.3825</v>
      </c>
    </row>
    <row r="64" spans="1:17" x14ac:dyDescent="0.2">
      <c r="A64" s="14" t="s">
        <v>71</v>
      </c>
      <c r="B64" s="6" t="s">
        <v>16</v>
      </c>
      <c r="C64" s="27">
        <v>3</v>
      </c>
      <c r="D64" s="27">
        <v>3</v>
      </c>
      <c r="E64" s="27">
        <v>3</v>
      </c>
      <c r="F64" s="27">
        <v>2</v>
      </c>
      <c r="G64" s="27">
        <v>2</v>
      </c>
      <c r="H64" s="27">
        <v>2</v>
      </c>
      <c r="I64" s="27">
        <v>2</v>
      </c>
      <c r="J64" s="27">
        <v>2</v>
      </c>
      <c r="K64" s="27">
        <v>2</v>
      </c>
      <c r="L64" s="27">
        <v>3</v>
      </c>
      <c r="M64" s="27">
        <v>3</v>
      </c>
      <c r="N64" s="27">
        <v>3</v>
      </c>
      <c r="O64" s="27">
        <v>3</v>
      </c>
      <c r="P64" s="27">
        <v>3</v>
      </c>
      <c r="Q64" s="27">
        <v>3</v>
      </c>
    </row>
    <row r="65" spans="1:17" x14ac:dyDescent="0.2">
      <c r="A65" s="31" t="s">
        <v>71</v>
      </c>
      <c r="B65" s="9" t="s">
        <v>18</v>
      </c>
      <c r="C65" s="7">
        <v>2.9</v>
      </c>
      <c r="D65" s="7">
        <v>2.9</v>
      </c>
      <c r="E65" s="7">
        <v>2.9</v>
      </c>
      <c r="F65" s="7">
        <v>2</v>
      </c>
      <c r="G65" s="7">
        <v>2</v>
      </c>
      <c r="H65" s="7">
        <v>2</v>
      </c>
      <c r="I65" s="7">
        <v>2</v>
      </c>
      <c r="J65" s="7">
        <v>2</v>
      </c>
      <c r="K65" s="7">
        <v>2</v>
      </c>
      <c r="L65" s="7">
        <v>2.9</v>
      </c>
      <c r="M65" s="7">
        <v>2.9</v>
      </c>
      <c r="N65" s="7">
        <v>2.9</v>
      </c>
      <c r="O65" s="7">
        <v>2.9</v>
      </c>
      <c r="P65" s="7">
        <v>2.9</v>
      </c>
      <c r="Q65" s="7">
        <v>2.9</v>
      </c>
    </row>
    <row r="66" spans="1:17" x14ac:dyDescent="0.2">
      <c r="A66" s="14" t="s">
        <v>72</v>
      </c>
      <c r="B66" s="6" t="s">
        <v>16</v>
      </c>
      <c r="C66" s="27">
        <v>8</v>
      </c>
      <c r="D66" s="27">
        <v>8</v>
      </c>
      <c r="E66" s="27">
        <v>8</v>
      </c>
      <c r="F66" s="27">
        <v>8</v>
      </c>
      <c r="G66" s="27">
        <v>8</v>
      </c>
      <c r="H66" s="27">
        <v>8</v>
      </c>
      <c r="I66" s="27">
        <v>8</v>
      </c>
      <c r="J66" s="27">
        <v>8</v>
      </c>
      <c r="K66" s="27">
        <v>8</v>
      </c>
      <c r="L66" s="27">
        <v>8</v>
      </c>
      <c r="M66" s="27">
        <v>8</v>
      </c>
      <c r="N66" s="27">
        <v>8</v>
      </c>
      <c r="O66" s="27">
        <v>8</v>
      </c>
      <c r="P66" s="27">
        <v>8</v>
      </c>
      <c r="Q66" s="27">
        <v>8</v>
      </c>
    </row>
    <row r="67" spans="1:17" x14ac:dyDescent="0.2">
      <c r="A67" s="31" t="s">
        <v>72</v>
      </c>
      <c r="B67" s="9" t="s">
        <v>18</v>
      </c>
      <c r="C67" s="7">
        <v>6.913125</v>
      </c>
      <c r="D67" s="7">
        <v>6.9881250000000001</v>
      </c>
      <c r="E67" s="7">
        <v>6.8881249999999996</v>
      </c>
      <c r="F67" s="7">
        <v>6.3075000000000001</v>
      </c>
      <c r="G67" s="7">
        <v>6.2575000000000003</v>
      </c>
      <c r="H67" s="7">
        <v>6.2575000000000003</v>
      </c>
      <c r="I67" s="7">
        <v>6.57</v>
      </c>
      <c r="J67" s="7">
        <v>6.2824999999999998</v>
      </c>
      <c r="K67" s="7">
        <v>6.2824999999999998</v>
      </c>
      <c r="L67" s="7">
        <v>5.62</v>
      </c>
      <c r="M67" s="7">
        <v>5.4824999999999999</v>
      </c>
      <c r="N67" s="7">
        <v>5.4824999999999999</v>
      </c>
      <c r="O67" s="7">
        <v>4.6449999999999996</v>
      </c>
      <c r="P67" s="7">
        <v>4.5075000000000003</v>
      </c>
      <c r="Q67" s="7">
        <v>4.5075000000000003</v>
      </c>
    </row>
    <row r="68" spans="1:17" x14ac:dyDescent="0.2">
      <c r="A68" s="14" t="s">
        <v>73</v>
      </c>
      <c r="B68" s="6" t="s">
        <v>16</v>
      </c>
      <c r="C68" s="27">
        <v>6</v>
      </c>
      <c r="D68" s="27">
        <v>6</v>
      </c>
      <c r="E68" s="27">
        <v>6</v>
      </c>
      <c r="F68" s="27">
        <v>5</v>
      </c>
      <c r="G68" s="27">
        <v>5</v>
      </c>
      <c r="H68" s="27">
        <v>5</v>
      </c>
      <c r="I68" s="27">
        <v>5</v>
      </c>
      <c r="J68" s="27">
        <v>5</v>
      </c>
      <c r="K68" s="27">
        <v>5</v>
      </c>
      <c r="L68" s="27">
        <v>5</v>
      </c>
      <c r="M68" s="27">
        <v>5</v>
      </c>
      <c r="N68" s="27">
        <v>5</v>
      </c>
      <c r="O68" s="27">
        <v>5</v>
      </c>
      <c r="P68" s="27">
        <v>5</v>
      </c>
      <c r="Q68" s="27">
        <v>5</v>
      </c>
    </row>
    <row r="69" spans="1:17" x14ac:dyDescent="0.2">
      <c r="A69" s="31" t="s">
        <v>73</v>
      </c>
      <c r="B69" s="9" t="s">
        <v>18</v>
      </c>
      <c r="C69" s="7">
        <v>4.55</v>
      </c>
      <c r="D69" s="7">
        <v>4.5999999999999996</v>
      </c>
      <c r="E69" s="7">
        <v>4.3499999999999996</v>
      </c>
      <c r="F69" s="7">
        <v>4.8</v>
      </c>
      <c r="G69" s="7">
        <v>4.8</v>
      </c>
      <c r="H69" s="7">
        <v>4.8</v>
      </c>
      <c r="I69" s="7">
        <v>4.7</v>
      </c>
      <c r="J69" s="7">
        <v>4.7</v>
      </c>
      <c r="K69" s="7">
        <v>4.7</v>
      </c>
      <c r="L69" s="7">
        <v>3.2</v>
      </c>
      <c r="M69" s="7">
        <v>3.2</v>
      </c>
      <c r="N69" s="7">
        <v>2.1</v>
      </c>
      <c r="O69" s="7">
        <v>1.85</v>
      </c>
      <c r="P69" s="7">
        <v>1.85</v>
      </c>
      <c r="Q69" s="7">
        <v>1.85</v>
      </c>
    </row>
    <row r="70" spans="1:17" x14ac:dyDescent="0.2">
      <c r="A70" s="14" t="s">
        <v>74</v>
      </c>
      <c r="B70" s="6" t="s">
        <v>16</v>
      </c>
      <c r="C70" s="27">
        <v>4</v>
      </c>
      <c r="D70" s="27">
        <v>4</v>
      </c>
      <c r="E70" s="27">
        <v>4</v>
      </c>
      <c r="F70" s="27">
        <v>4</v>
      </c>
      <c r="G70" s="27">
        <v>4</v>
      </c>
      <c r="H70" s="27">
        <v>4</v>
      </c>
      <c r="I70" s="27">
        <v>4</v>
      </c>
      <c r="J70" s="27">
        <v>4</v>
      </c>
      <c r="K70" s="27">
        <v>4</v>
      </c>
      <c r="L70" s="27">
        <v>4</v>
      </c>
      <c r="M70" s="27">
        <v>4</v>
      </c>
      <c r="N70" s="27">
        <v>4</v>
      </c>
      <c r="O70" s="27">
        <v>4</v>
      </c>
      <c r="P70" s="27">
        <v>4</v>
      </c>
      <c r="Q70" s="27">
        <v>4</v>
      </c>
    </row>
    <row r="71" spans="1:17" x14ac:dyDescent="0.2">
      <c r="A71" s="31" t="s">
        <v>74</v>
      </c>
      <c r="B71" s="9" t="s">
        <v>18</v>
      </c>
      <c r="C71" s="7">
        <v>3.25</v>
      </c>
      <c r="D71" s="7">
        <v>2.6549999999999998</v>
      </c>
      <c r="E71" s="7">
        <v>2.375</v>
      </c>
      <c r="F71" s="7">
        <v>3.4750000000000001</v>
      </c>
      <c r="G71" s="7">
        <v>3.5750000000000002</v>
      </c>
      <c r="H71" s="7">
        <v>2.6749999999999998</v>
      </c>
      <c r="I71" s="7">
        <v>3.0750000000000002</v>
      </c>
      <c r="J71" s="7">
        <v>3.3250000000000002</v>
      </c>
      <c r="K71" s="7">
        <v>3.2250000000000001</v>
      </c>
      <c r="L71" s="7">
        <v>2.5249999999999999</v>
      </c>
      <c r="M71" s="7">
        <v>2.5249999999999999</v>
      </c>
      <c r="N71" s="7">
        <v>2.5249999999999999</v>
      </c>
      <c r="O71" s="7">
        <v>2.125</v>
      </c>
      <c r="P71" s="7">
        <v>2.125</v>
      </c>
      <c r="Q71" s="7">
        <v>2.125</v>
      </c>
    </row>
    <row r="72" spans="1:17" x14ac:dyDescent="0.2">
      <c r="A72" s="14" t="s">
        <v>75</v>
      </c>
      <c r="B72" s="6" t="s">
        <v>16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27">
        <v>0</v>
      </c>
      <c r="M72" s="27">
        <v>0</v>
      </c>
      <c r="N72" s="27">
        <v>0</v>
      </c>
      <c r="O72" s="27">
        <v>0</v>
      </c>
      <c r="P72" s="27">
        <v>0</v>
      </c>
      <c r="Q72" s="27">
        <v>0</v>
      </c>
    </row>
    <row r="73" spans="1:17" x14ac:dyDescent="0.2">
      <c r="A73" s="31" t="s">
        <v>75</v>
      </c>
      <c r="B73" s="9" t="s">
        <v>18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A587B-E7A5-8044-ADD2-297E7956050C}">
  <dimension ref="A1:Q8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76</v>
      </c>
      <c r="B2" s="6" t="s">
        <v>16</v>
      </c>
      <c r="C2" s="7">
        <v>16</v>
      </c>
      <c r="D2" s="7">
        <v>16</v>
      </c>
      <c r="E2" s="7">
        <v>16</v>
      </c>
      <c r="F2" s="7">
        <v>16</v>
      </c>
      <c r="G2" s="7">
        <v>16</v>
      </c>
      <c r="H2" s="7">
        <v>16</v>
      </c>
      <c r="I2" s="7">
        <v>15</v>
      </c>
      <c r="J2" s="7">
        <v>15</v>
      </c>
      <c r="K2" s="7">
        <v>15</v>
      </c>
      <c r="L2" s="7">
        <v>15</v>
      </c>
      <c r="M2" s="7">
        <v>16</v>
      </c>
      <c r="N2" s="7">
        <v>16</v>
      </c>
      <c r="O2" s="7">
        <v>16</v>
      </c>
      <c r="P2" s="7">
        <v>16</v>
      </c>
      <c r="Q2" s="7">
        <v>16</v>
      </c>
    </row>
    <row r="3" spans="1:17" x14ac:dyDescent="0.2">
      <c r="A3" s="11" t="s">
        <v>76</v>
      </c>
      <c r="B3" s="8" t="s">
        <v>17</v>
      </c>
      <c r="C3" s="7">
        <v>16</v>
      </c>
      <c r="D3" s="7">
        <v>16</v>
      </c>
      <c r="E3" s="7">
        <v>16</v>
      </c>
      <c r="F3" s="7">
        <v>16</v>
      </c>
      <c r="G3" s="7">
        <v>16</v>
      </c>
      <c r="H3" s="7">
        <v>16</v>
      </c>
      <c r="I3" s="7">
        <v>16</v>
      </c>
      <c r="J3" s="7">
        <v>16</v>
      </c>
      <c r="K3" s="7">
        <v>16</v>
      </c>
      <c r="L3" s="7">
        <v>16</v>
      </c>
      <c r="M3" s="7">
        <v>16</v>
      </c>
      <c r="N3" s="7">
        <v>16</v>
      </c>
      <c r="O3" s="7">
        <v>15.733333330000001</v>
      </c>
      <c r="P3" s="7">
        <v>15.733333330000001</v>
      </c>
      <c r="Q3" s="7">
        <v>15.733333330000001</v>
      </c>
    </row>
    <row r="4" spans="1:17" x14ac:dyDescent="0.2">
      <c r="A4" s="12" t="s">
        <v>76</v>
      </c>
      <c r="B4" s="9" t="s">
        <v>18</v>
      </c>
      <c r="C4" s="7">
        <v>16</v>
      </c>
      <c r="D4" s="7">
        <v>16</v>
      </c>
      <c r="E4" s="7">
        <v>16</v>
      </c>
      <c r="F4" s="7">
        <v>16</v>
      </c>
      <c r="G4" s="7">
        <v>16</v>
      </c>
      <c r="H4" s="7">
        <v>16</v>
      </c>
      <c r="I4" s="7">
        <v>15</v>
      </c>
      <c r="J4" s="7">
        <v>15</v>
      </c>
      <c r="K4" s="7">
        <v>15</v>
      </c>
      <c r="L4" s="7">
        <v>15</v>
      </c>
      <c r="M4" s="7">
        <v>16</v>
      </c>
      <c r="N4" s="7">
        <v>16</v>
      </c>
      <c r="O4" s="7">
        <v>16</v>
      </c>
      <c r="P4" s="7">
        <v>16</v>
      </c>
      <c r="Q4" s="7">
        <v>16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</row>
    <row r="7" spans="1:17" x14ac:dyDescent="0.2">
      <c r="A7" s="16"/>
      <c r="B7" s="17" t="s">
        <v>24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14</v>
      </c>
      <c r="D9" s="7">
        <v>14</v>
      </c>
      <c r="E9" s="7">
        <v>14</v>
      </c>
      <c r="F9" s="7">
        <v>14</v>
      </c>
      <c r="G9" s="7">
        <v>14</v>
      </c>
      <c r="H9" s="7">
        <v>14</v>
      </c>
      <c r="I9" s="7">
        <v>13</v>
      </c>
      <c r="J9" s="7">
        <v>13</v>
      </c>
      <c r="K9" s="7">
        <v>13</v>
      </c>
      <c r="L9" s="7">
        <v>13</v>
      </c>
      <c r="M9" s="7">
        <v>14</v>
      </c>
      <c r="N9" s="7">
        <v>14</v>
      </c>
      <c r="O9" s="7">
        <v>14</v>
      </c>
      <c r="P9" s="7">
        <v>14</v>
      </c>
      <c r="Q9" s="7">
        <v>14</v>
      </c>
    </row>
    <row r="10" spans="1:17" x14ac:dyDescent="0.2">
      <c r="A10" s="8" t="s">
        <v>17</v>
      </c>
      <c r="B10" s="11" t="s">
        <v>19</v>
      </c>
      <c r="C10" s="7">
        <v>14</v>
      </c>
      <c r="D10" s="7">
        <v>14</v>
      </c>
      <c r="E10" s="7">
        <v>14</v>
      </c>
      <c r="F10" s="7">
        <v>14</v>
      </c>
      <c r="G10" s="7">
        <v>14</v>
      </c>
      <c r="H10" s="7">
        <v>14</v>
      </c>
      <c r="I10" s="7">
        <v>14</v>
      </c>
      <c r="J10" s="7">
        <v>14</v>
      </c>
      <c r="K10" s="7">
        <v>14</v>
      </c>
      <c r="L10" s="7">
        <v>14</v>
      </c>
      <c r="M10" s="7">
        <v>14</v>
      </c>
      <c r="N10" s="7">
        <v>14</v>
      </c>
      <c r="O10" s="7">
        <v>13.66666667</v>
      </c>
      <c r="P10" s="7">
        <v>13.66666667</v>
      </c>
      <c r="Q10" s="7">
        <v>13.66666667</v>
      </c>
    </row>
    <row r="11" spans="1:17" x14ac:dyDescent="0.2">
      <c r="A11" s="15" t="s">
        <v>18</v>
      </c>
      <c r="B11" s="12" t="s">
        <v>19</v>
      </c>
      <c r="C11" s="7">
        <v>14</v>
      </c>
      <c r="D11" s="7">
        <v>14</v>
      </c>
      <c r="E11" s="7">
        <v>14</v>
      </c>
      <c r="F11" s="7">
        <v>14</v>
      </c>
      <c r="G11" s="7">
        <v>14</v>
      </c>
      <c r="H11" s="7">
        <v>14</v>
      </c>
      <c r="I11" s="7">
        <v>13</v>
      </c>
      <c r="J11" s="7">
        <v>13</v>
      </c>
      <c r="K11" s="7">
        <v>13</v>
      </c>
      <c r="L11" s="7">
        <v>13</v>
      </c>
      <c r="M11" s="7">
        <v>14</v>
      </c>
      <c r="N11" s="7">
        <v>14</v>
      </c>
      <c r="O11" s="7">
        <v>14</v>
      </c>
      <c r="P11" s="7">
        <v>14</v>
      </c>
      <c r="Q11" s="7">
        <v>14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2</v>
      </c>
      <c r="P15" s="7">
        <v>2</v>
      </c>
      <c r="Q15" s="7">
        <v>2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76</v>
      </c>
      <c r="B32" s="6" t="s">
        <v>16</v>
      </c>
      <c r="C32" s="20">
        <v>16</v>
      </c>
      <c r="D32" s="20">
        <v>16</v>
      </c>
      <c r="E32" s="20">
        <v>15</v>
      </c>
      <c r="F32" s="20">
        <v>16</v>
      </c>
      <c r="G32" s="20">
        <v>16</v>
      </c>
    </row>
    <row r="33" spans="1:7" x14ac:dyDescent="0.2">
      <c r="A33" s="11" t="s">
        <v>76</v>
      </c>
      <c r="B33" s="8" t="s">
        <v>17</v>
      </c>
      <c r="C33" s="20">
        <v>16</v>
      </c>
      <c r="D33" s="20">
        <v>16</v>
      </c>
      <c r="E33" s="20">
        <v>16</v>
      </c>
      <c r="F33" s="20">
        <v>16</v>
      </c>
      <c r="G33" s="20">
        <v>16</v>
      </c>
    </row>
    <row r="34" spans="1:7" x14ac:dyDescent="0.2">
      <c r="A34" s="12" t="s">
        <v>76</v>
      </c>
      <c r="B34" s="9" t="s">
        <v>18</v>
      </c>
      <c r="C34" s="20">
        <v>16</v>
      </c>
      <c r="D34" s="20">
        <v>16</v>
      </c>
      <c r="E34" s="20">
        <v>15</v>
      </c>
      <c r="F34" s="20">
        <v>16</v>
      </c>
      <c r="G34" s="20">
        <v>16</v>
      </c>
    </row>
    <row r="35" spans="1:7" x14ac:dyDescent="0.2">
      <c r="A35" s="16"/>
      <c r="B35" s="7"/>
      <c r="C35" s="24">
        <v>0</v>
      </c>
      <c r="D35" s="24">
        <v>0</v>
      </c>
      <c r="E35" s="24">
        <v>0</v>
      </c>
      <c r="F35" s="24">
        <v>0</v>
      </c>
      <c r="G35" s="24">
        <v>0</v>
      </c>
    </row>
    <row r="36" spans="1:7" x14ac:dyDescent="0.2">
      <c r="A36" s="7"/>
      <c r="B36" s="17" t="s">
        <v>23</v>
      </c>
      <c r="C36" s="18">
        <v>1</v>
      </c>
      <c r="D36" s="18">
        <v>1</v>
      </c>
      <c r="E36" s="18">
        <v>1</v>
      </c>
      <c r="F36" s="18">
        <v>1</v>
      </c>
      <c r="G36" s="18">
        <v>1</v>
      </c>
    </row>
    <row r="37" spans="1:7" x14ac:dyDescent="0.2">
      <c r="A37" s="16"/>
      <c r="B37" s="17" t="s">
        <v>24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14</v>
      </c>
      <c r="D39" s="20">
        <v>14</v>
      </c>
      <c r="E39" s="20">
        <v>13</v>
      </c>
      <c r="F39" s="20">
        <v>14</v>
      </c>
      <c r="G39" s="20">
        <v>14</v>
      </c>
    </row>
    <row r="40" spans="1:7" x14ac:dyDescent="0.2">
      <c r="A40" s="8" t="s">
        <v>17</v>
      </c>
      <c r="B40" s="11" t="s">
        <v>19</v>
      </c>
      <c r="C40" s="20">
        <v>14</v>
      </c>
      <c r="D40" s="20">
        <v>14</v>
      </c>
      <c r="E40" s="20">
        <v>14</v>
      </c>
      <c r="F40" s="20">
        <v>14</v>
      </c>
      <c r="G40" s="20">
        <v>14</v>
      </c>
    </row>
    <row r="41" spans="1:7" x14ac:dyDescent="0.2">
      <c r="A41" s="15" t="s">
        <v>18</v>
      </c>
      <c r="B41" s="12" t="s">
        <v>19</v>
      </c>
      <c r="C41" s="20">
        <v>14</v>
      </c>
      <c r="D41" s="20">
        <v>14</v>
      </c>
      <c r="E41" s="20">
        <v>13</v>
      </c>
      <c r="F41" s="20">
        <v>14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2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16</v>
      </c>
      <c r="D62" s="11">
        <v>16</v>
      </c>
      <c r="E62" s="11">
        <v>16</v>
      </c>
      <c r="F62" s="11">
        <v>16</v>
      </c>
      <c r="G62" s="11">
        <v>16</v>
      </c>
      <c r="H62" s="11">
        <v>16</v>
      </c>
      <c r="I62" s="11">
        <v>15</v>
      </c>
      <c r="J62" s="11">
        <v>15</v>
      </c>
      <c r="K62" s="11">
        <v>15</v>
      </c>
      <c r="L62" s="11">
        <v>15</v>
      </c>
      <c r="M62" s="11">
        <v>16</v>
      </c>
      <c r="N62" s="11">
        <v>16</v>
      </c>
      <c r="O62" s="11">
        <v>16</v>
      </c>
      <c r="P62" s="11">
        <v>16</v>
      </c>
      <c r="Q62" s="11">
        <v>16</v>
      </c>
    </row>
    <row r="63" spans="1:17" x14ac:dyDescent="0.2">
      <c r="A63" s="28"/>
      <c r="B63" s="38" t="s">
        <v>18</v>
      </c>
      <c r="C63" s="39">
        <v>16</v>
      </c>
      <c r="D63" s="39">
        <v>16</v>
      </c>
      <c r="E63" s="39">
        <v>16</v>
      </c>
      <c r="F63" s="39">
        <v>16</v>
      </c>
      <c r="G63" s="39">
        <v>16</v>
      </c>
      <c r="H63" s="39">
        <v>16</v>
      </c>
      <c r="I63" s="39">
        <v>15</v>
      </c>
      <c r="J63" s="39">
        <v>15</v>
      </c>
      <c r="K63" s="39">
        <v>15</v>
      </c>
      <c r="L63" s="39">
        <v>15</v>
      </c>
      <c r="M63" s="39">
        <v>16</v>
      </c>
      <c r="N63" s="39">
        <v>16</v>
      </c>
      <c r="O63" s="39">
        <v>16</v>
      </c>
      <c r="P63" s="39">
        <v>16</v>
      </c>
      <c r="Q63" s="39">
        <v>16</v>
      </c>
    </row>
    <row r="64" spans="1:17" x14ac:dyDescent="0.2">
      <c r="A64" s="40" t="s">
        <v>77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77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78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78</v>
      </c>
      <c r="B67" s="9" t="s">
        <v>18</v>
      </c>
      <c r="C67" s="7">
        <v>4</v>
      </c>
      <c r="D67" s="7">
        <v>4</v>
      </c>
      <c r="E67" s="7">
        <v>4</v>
      </c>
      <c r="F67" s="7">
        <v>4</v>
      </c>
      <c r="G67" s="7">
        <v>4</v>
      </c>
      <c r="H67" s="7">
        <v>4</v>
      </c>
      <c r="I67" s="7">
        <v>4</v>
      </c>
      <c r="J67" s="7">
        <v>4</v>
      </c>
      <c r="K67" s="7">
        <v>4</v>
      </c>
      <c r="L67" s="7">
        <v>4</v>
      </c>
      <c r="M67" s="7">
        <v>4</v>
      </c>
      <c r="N67" s="7">
        <v>4</v>
      </c>
      <c r="O67" s="7">
        <v>4</v>
      </c>
      <c r="P67" s="7">
        <v>4</v>
      </c>
      <c r="Q67" s="7">
        <v>4</v>
      </c>
    </row>
    <row r="68" spans="1:17" x14ac:dyDescent="0.2">
      <c r="A68" s="40" t="s">
        <v>79</v>
      </c>
      <c r="B68" s="41" t="s">
        <v>16</v>
      </c>
      <c r="C68" s="40">
        <v>5</v>
      </c>
      <c r="D68" s="40">
        <v>5</v>
      </c>
      <c r="E68" s="40">
        <v>5</v>
      </c>
      <c r="F68" s="40">
        <v>5</v>
      </c>
      <c r="G68" s="40">
        <v>5</v>
      </c>
      <c r="H68" s="40">
        <v>5</v>
      </c>
      <c r="I68" s="40">
        <v>5</v>
      </c>
      <c r="J68" s="40">
        <v>5</v>
      </c>
      <c r="K68" s="40">
        <v>5</v>
      </c>
      <c r="L68" s="40">
        <v>5</v>
      </c>
      <c r="M68" s="40">
        <v>5</v>
      </c>
      <c r="N68" s="40">
        <v>5</v>
      </c>
      <c r="O68" s="40">
        <v>5</v>
      </c>
      <c r="P68" s="40">
        <v>5</v>
      </c>
      <c r="Q68" s="40">
        <v>5</v>
      </c>
    </row>
    <row r="69" spans="1:17" x14ac:dyDescent="0.2">
      <c r="A69" s="31" t="s">
        <v>79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  <row r="70" spans="1:17" x14ac:dyDescent="0.2">
      <c r="A70" s="33" t="s">
        <v>80</v>
      </c>
      <c r="B70" s="34" t="s">
        <v>16</v>
      </c>
      <c r="C70" s="42">
        <v>4</v>
      </c>
      <c r="D70" s="42">
        <v>4</v>
      </c>
      <c r="E70" s="42">
        <v>4</v>
      </c>
      <c r="F70" s="42">
        <v>4</v>
      </c>
      <c r="G70" s="42">
        <v>4</v>
      </c>
      <c r="H70" s="42">
        <v>4</v>
      </c>
      <c r="I70" s="42">
        <v>4</v>
      </c>
      <c r="J70" s="42">
        <v>4</v>
      </c>
      <c r="K70" s="42">
        <v>4</v>
      </c>
      <c r="L70" s="42">
        <v>4</v>
      </c>
      <c r="M70" s="42">
        <v>4</v>
      </c>
      <c r="N70" s="42">
        <v>4</v>
      </c>
      <c r="O70" s="42">
        <v>4</v>
      </c>
      <c r="P70" s="42">
        <v>4</v>
      </c>
      <c r="Q70" s="42">
        <v>4</v>
      </c>
    </row>
    <row r="71" spans="1:17" x14ac:dyDescent="0.2">
      <c r="A71" s="35" t="s">
        <v>81</v>
      </c>
      <c r="B71" s="36" t="s">
        <v>18</v>
      </c>
      <c r="C71" s="43">
        <v>4</v>
      </c>
      <c r="D71" s="43">
        <v>4</v>
      </c>
      <c r="E71" s="43">
        <v>4</v>
      </c>
      <c r="F71" s="43">
        <v>4</v>
      </c>
      <c r="G71" s="43">
        <v>4</v>
      </c>
      <c r="H71" s="43">
        <v>4</v>
      </c>
      <c r="I71" s="43">
        <v>4</v>
      </c>
      <c r="J71" s="43">
        <v>4</v>
      </c>
      <c r="K71" s="43">
        <v>4</v>
      </c>
      <c r="L71" s="43">
        <v>4</v>
      </c>
      <c r="M71" s="43">
        <v>4</v>
      </c>
      <c r="N71" s="43">
        <v>4</v>
      </c>
      <c r="O71" s="43">
        <v>4</v>
      </c>
      <c r="P71" s="43">
        <v>4</v>
      </c>
      <c r="Q71" s="43">
        <v>4</v>
      </c>
    </row>
    <row r="72" spans="1:17" x14ac:dyDescent="0.2">
      <c r="A72" s="33" t="s">
        <v>82</v>
      </c>
      <c r="B72" s="34" t="s">
        <v>16</v>
      </c>
      <c r="C72" s="42">
        <v>1</v>
      </c>
      <c r="D72" s="42">
        <v>1</v>
      </c>
      <c r="E72" s="42">
        <v>1</v>
      </c>
      <c r="F72" s="42">
        <v>1</v>
      </c>
      <c r="G72" s="42">
        <v>1</v>
      </c>
      <c r="H72" s="42">
        <v>1</v>
      </c>
      <c r="I72" s="42">
        <v>1</v>
      </c>
      <c r="J72" s="42">
        <v>1</v>
      </c>
      <c r="K72" s="42">
        <v>1</v>
      </c>
      <c r="L72" s="42">
        <v>1</v>
      </c>
      <c r="M72" s="42">
        <v>1</v>
      </c>
      <c r="N72" s="42">
        <v>1</v>
      </c>
      <c r="O72" s="42">
        <v>1</v>
      </c>
      <c r="P72" s="42">
        <v>1</v>
      </c>
      <c r="Q72" s="42">
        <v>1</v>
      </c>
    </row>
    <row r="73" spans="1:17" x14ac:dyDescent="0.2">
      <c r="A73" s="35" t="s">
        <v>83</v>
      </c>
      <c r="B73" s="36" t="s">
        <v>18</v>
      </c>
      <c r="C73" s="43">
        <v>1</v>
      </c>
      <c r="D73" s="43">
        <v>1</v>
      </c>
      <c r="E73" s="43">
        <v>1</v>
      </c>
      <c r="F73" s="43">
        <v>1</v>
      </c>
      <c r="G73" s="43">
        <v>1</v>
      </c>
      <c r="H73" s="43">
        <v>1</v>
      </c>
      <c r="I73" s="43">
        <v>1</v>
      </c>
      <c r="J73" s="43">
        <v>1</v>
      </c>
      <c r="K73" s="43">
        <v>1</v>
      </c>
      <c r="L73" s="43">
        <v>1</v>
      </c>
      <c r="M73" s="43">
        <v>1</v>
      </c>
      <c r="N73" s="43">
        <v>1</v>
      </c>
      <c r="O73" s="43">
        <v>1</v>
      </c>
      <c r="P73" s="43">
        <v>1</v>
      </c>
      <c r="Q73" s="43">
        <v>1</v>
      </c>
    </row>
    <row r="74" spans="1:17" x14ac:dyDescent="0.2">
      <c r="A74" s="40" t="s">
        <v>84</v>
      </c>
      <c r="B74" s="41" t="s">
        <v>16</v>
      </c>
      <c r="C74" s="40">
        <v>3</v>
      </c>
      <c r="D74" s="40">
        <v>3</v>
      </c>
      <c r="E74" s="40">
        <v>3</v>
      </c>
      <c r="F74" s="40">
        <v>3</v>
      </c>
      <c r="G74" s="40">
        <v>3</v>
      </c>
      <c r="H74" s="40">
        <v>3</v>
      </c>
      <c r="I74" s="40">
        <v>3</v>
      </c>
      <c r="J74" s="40">
        <v>3</v>
      </c>
      <c r="K74" s="40">
        <v>3</v>
      </c>
      <c r="L74" s="40">
        <v>3</v>
      </c>
      <c r="M74" s="40">
        <v>3</v>
      </c>
      <c r="N74" s="40">
        <v>3</v>
      </c>
      <c r="O74" s="40">
        <v>3</v>
      </c>
      <c r="P74" s="40">
        <v>3</v>
      </c>
      <c r="Q74" s="40">
        <v>3</v>
      </c>
    </row>
    <row r="75" spans="1:17" x14ac:dyDescent="0.2">
      <c r="A75" s="31" t="s">
        <v>84</v>
      </c>
      <c r="B75" s="9" t="s">
        <v>18</v>
      </c>
      <c r="C75" s="7">
        <v>3</v>
      </c>
      <c r="D75" s="7">
        <v>3</v>
      </c>
      <c r="E75" s="7">
        <v>3</v>
      </c>
      <c r="F75" s="7">
        <v>3</v>
      </c>
      <c r="G75" s="7">
        <v>3</v>
      </c>
      <c r="H75" s="7">
        <v>3</v>
      </c>
      <c r="I75" s="7">
        <v>3</v>
      </c>
      <c r="J75" s="7">
        <v>3</v>
      </c>
      <c r="K75" s="7">
        <v>3</v>
      </c>
      <c r="L75" s="7">
        <v>3</v>
      </c>
      <c r="M75" s="7">
        <v>3</v>
      </c>
      <c r="N75" s="7">
        <v>3</v>
      </c>
      <c r="O75" s="7">
        <v>3</v>
      </c>
      <c r="P75" s="7">
        <v>3</v>
      </c>
      <c r="Q75" s="7">
        <v>3</v>
      </c>
    </row>
    <row r="76" spans="1:17" x14ac:dyDescent="0.2">
      <c r="A76" s="33" t="s">
        <v>85</v>
      </c>
      <c r="B76" s="34" t="s">
        <v>16</v>
      </c>
      <c r="C76" s="42">
        <v>2</v>
      </c>
      <c r="D76" s="42">
        <v>2</v>
      </c>
      <c r="E76" s="42">
        <v>2</v>
      </c>
      <c r="F76" s="42">
        <v>2</v>
      </c>
      <c r="G76" s="42">
        <v>2</v>
      </c>
      <c r="H76" s="42">
        <v>2</v>
      </c>
      <c r="I76" s="42">
        <v>2</v>
      </c>
      <c r="J76" s="42">
        <v>2</v>
      </c>
      <c r="K76" s="42">
        <v>2</v>
      </c>
      <c r="L76" s="42">
        <v>2</v>
      </c>
      <c r="M76" s="42">
        <v>2</v>
      </c>
      <c r="N76" s="42">
        <v>2</v>
      </c>
      <c r="O76" s="42">
        <v>2</v>
      </c>
      <c r="P76" s="42">
        <v>2</v>
      </c>
      <c r="Q76" s="42">
        <v>2</v>
      </c>
    </row>
    <row r="77" spans="1:17" x14ac:dyDescent="0.2">
      <c r="A77" s="35" t="s">
        <v>86</v>
      </c>
      <c r="B77" s="36" t="s">
        <v>18</v>
      </c>
      <c r="C77" s="43">
        <v>2</v>
      </c>
      <c r="D77" s="43">
        <v>2</v>
      </c>
      <c r="E77" s="43">
        <v>2</v>
      </c>
      <c r="F77" s="43">
        <v>2</v>
      </c>
      <c r="G77" s="43">
        <v>2</v>
      </c>
      <c r="H77" s="43">
        <v>2</v>
      </c>
      <c r="I77" s="43">
        <v>2</v>
      </c>
      <c r="J77" s="43">
        <v>2</v>
      </c>
      <c r="K77" s="43">
        <v>2</v>
      </c>
      <c r="L77" s="43">
        <v>2</v>
      </c>
      <c r="M77" s="43">
        <v>2</v>
      </c>
      <c r="N77" s="43">
        <v>2</v>
      </c>
      <c r="O77" s="43">
        <v>2</v>
      </c>
      <c r="P77" s="43">
        <v>2</v>
      </c>
      <c r="Q77" s="43">
        <v>2</v>
      </c>
    </row>
    <row r="78" spans="1:17" x14ac:dyDescent="0.2">
      <c r="A78" s="33" t="s">
        <v>87</v>
      </c>
      <c r="B78" s="34" t="s">
        <v>16</v>
      </c>
      <c r="C78" s="42">
        <v>1</v>
      </c>
      <c r="D78" s="42">
        <v>1</v>
      </c>
      <c r="E78" s="42">
        <v>1</v>
      </c>
      <c r="F78" s="42">
        <v>1</v>
      </c>
      <c r="G78" s="42">
        <v>1</v>
      </c>
      <c r="H78" s="42">
        <v>1</v>
      </c>
      <c r="I78" s="42">
        <v>1</v>
      </c>
      <c r="J78" s="42">
        <v>1</v>
      </c>
      <c r="K78" s="42">
        <v>1</v>
      </c>
      <c r="L78" s="42">
        <v>1</v>
      </c>
      <c r="M78" s="42">
        <v>1</v>
      </c>
      <c r="N78" s="42">
        <v>1</v>
      </c>
      <c r="O78" s="42">
        <v>1</v>
      </c>
      <c r="P78" s="42">
        <v>1</v>
      </c>
      <c r="Q78" s="42">
        <v>1</v>
      </c>
    </row>
    <row r="79" spans="1:17" x14ac:dyDescent="0.2">
      <c r="A79" s="35" t="s">
        <v>88</v>
      </c>
      <c r="B79" s="36" t="s">
        <v>18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  <c r="H79" s="43">
        <v>1</v>
      </c>
      <c r="I79" s="43">
        <v>1</v>
      </c>
      <c r="J79" s="43">
        <v>1</v>
      </c>
      <c r="K79" s="43">
        <v>1</v>
      </c>
      <c r="L79" s="43">
        <v>1</v>
      </c>
      <c r="M79" s="43">
        <v>1</v>
      </c>
      <c r="N79" s="43">
        <v>1</v>
      </c>
      <c r="O79" s="43">
        <v>1</v>
      </c>
      <c r="P79" s="43">
        <v>1</v>
      </c>
      <c r="Q79" s="43">
        <v>1</v>
      </c>
    </row>
    <row r="80" spans="1:17" x14ac:dyDescent="0.2">
      <c r="A80" s="40" t="s">
        <v>89</v>
      </c>
      <c r="B80" s="41" t="s">
        <v>16</v>
      </c>
      <c r="C80" s="40">
        <v>3</v>
      </c>
      <c r="D80" s="40">
        <v>3</v>
      </c>
      <c r="E80" s="40">
        <v>3</v>
      </c>
      <c r="F80" s="40">
        <v>3</v>
      </c>
      <c r="G80" s="40">
        <v>3</v>
      </c>
      <c r="H80" s="40">
        <v>3</v>
      </c>
      <c r="I80" s="40">
        <v>2</v>
      </c>
      <c r="J80" s="40">
        <v>2</v>
      </c>
      <c r="K80" s="40">
        <v>2</v>
      </c>
      <c r="L80" s="40">
        <v>2</v>
      </c>
      <c r="M80" s="40">
        <v>3</v>
      </c>
      <c r="N80" s="40">
        <v>3</v>
      </c>
      <c r="O80" s="40">
        <v>3</v>
      </c>
      <c r="P80" s="40">
        <v>3</v>
      </c>
      <c r="Q80" s="40">
        <v>3</v>
      </c>
    </row>
    <row r="81" spans="1:17" x14ac:dyDescent="0.2">
      <c r="A81" s="31" t="s">
        <v>89</v>
      </c>
      <c r="B81" s="9" t="s">
        <v>18</v>
      </c>
      <c r="C81" s="7">
        <v>3</v>
      </c>
      <c r="D81" s="7">
        <v>3</v>
      </c>
      <c r="E81" s="7">
        <v>3</v>
      </c>
      <c r="F81" s="7">
        <v>3</v>
      </c>
      <c r="G81" s="7">
        <v>3</v>
      </c>
      <c r="H81" s="7">
        <v>3</v>
      </c>
      <c r="I81" s="7">
        <v>2</v>
      </c>
      <c r="J81" s="7">
        <v>2</v>
      </c>
      <c r="K81" s="7">
        <v>2</v>
      </c>
      <c r="L81" s="7">
        <v>2</v>
      </c>
      <c r="M81" s="7">
        <v>3</v>
      </c>
      <c r="N81" s="7">
        <v>3</v>
      </c>
      <c r="O81" s="7">
        <v>3</v>
      </c>
      <c r="P81" s="7">
        <v>3</v>
      </c>
      <c r="Q81" s="7">
        <v>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51380-CF41-FE47-B532-D82CB16C37B0}">
  <sheetPr>
    <tabColor theme="6"/>
  </sheetPr>
  <dimension ref="A1:AF284"/>
  <sheetViews>
    <sheetView workbookViewId="0">
      <pane xSplit="1" ySplit="1" topLeftCell="B242" activePane="bottomRight" state="frozen"/>
      <selection pane="topRight" activeCell="B1" sqref="B1"/>
      <selection pane="bottomLeft" activeCell="A2" sqref="A2"/>
      <selection pane="bottomRight" activeCell="L261" sqref="L261"/>
    </sheetView>
  </sheetViews>
  <sheetFormatPr baseColWidth="10" defaultRowHeight="16" x14ac:dyDescent="0.2"/>
  <cols>
    <col min="1" max="1" width="33.33203125" bestFit="1" customWidth="1"/>
    <col min="17" max="26" width="5.83203125" customWidth="1"/>
    <col min="27" max="27" width="16.5" bestFit="1" customWidth="1"/>
  </cols>
  <sheetData>
    <row r="1" spans="1:32" x14ac:dyDescent="0.2">
      <c r="A1" s="49" t="str">
        <f>ALL!A2</f>
        <v>ALL</v>
      </c>
      <c r="B1" t="str">
        <f>GraphAll!B1</f>
        <v>APR</v>
      </c>
      <c r="C1" t="str">
        <f>GraphAll!C1</f>
        <v>MAY</v>
      </c>
      <c r="D1" t="str">
        <f>GraphAll!D1</f>
        <v>JUN</v>
      </c>
      <c r="E1" t="str">
        <f>GraphAll!E1</f>
        <v>JUL</v>
      </c>
      <c r="F1" t="str">
        <f>GraphAll!F1</f>
        <v>AUG</v>
      </c>
      <c r="G1" t="str">
        <f>GraphAll!G1</f>
        <v>SEP</v>
      </c>
      <c r="H1" t="str">
        <f>GraphAll!H1</f>
        <v>OCT</v>
      </c>
      <c r="I1" t="str">
        <f>GraphAll!I1</f>
        <v>NOV</v>
      </c>
      <c r="J1" t="str">
        <f>GraphAll!J1</f>
        <v>DEC</v>
      </c>
      <c r="K1" t="str">
        <f>GraphAll!K1</f>
        <v>JAN'27</v>
      </c>
      <c r="L1" t="str">
        <f>GraphAll!L1</f>
        <v>FEB'27</v>
      </c>
      <c r="M1" t="str">
        <f>GraphAll!M1</f>
        <v>MAR'27</v>
      </c>
      <c r="N1" t="str">
        <f>GraphAll!N1</f>
        <v>APR'27</v>
      </c>
      <c r="O1" t="str">
        <f>GraphAll!O1</f>
        <v>MAY'27</v>
      </c>
      <c r="P1" t="str">
        <f>GraphAll!P1</f>
        <v>JUN'27</v>
      </c>
      <c r="AA1" t="str">
        <f>A1</f>
        <v>ALL</v>
      </c>
      <c r="AB1" t="str">
        <f>ALL!C31</f>
        <v>Q2</v>
      </c>
      <c r="AC1" t="str">
        <f>ALL!D31</f>
        <v>Q3</v>
      </c>
      <c r="AD1" t="str">
        <f>ALL!E31</f>
        <v>Q4</v>
      </c>
      <c r="AE1" t="str">
        <f>ALL!F31</f>
        <v>Q1'27</v>
      </c>
      <c r="AF1" t="str">
        <f>ALL!G31</f>
        <v>Q2'27</v>
      </c>
    </row>
    <row r="2" spans="1:32" x14ac:dyDescent="0.2">
      <c r="A2" t="str">
        <f>GraphAll!A2</f>
        <v>Staff</v>
      </c>
      <c r="B2">
        <f>GraphAll!B2</f>
        <v>150</v>
      </c>
      <c r="C2">
        <f>GraphAll!C2</f>
        <v>153</v>
      </c>
      <c r="D2">
        <f>GraphAll!D2</f>
        <v>155</v>
      </c>
      <c r="E2">
        <f>GraphAll!E2</f>
        <v>155</v>
      </c>
      <c r="F2">
        <f>GraphAll!F2</f>
        <v>155</v>
      </c>
      <c r="G2">
        <f>GraphAll!G2</f>
        <v>155</v>
      </c>
      <c r="H2">
        <f>GraphAll!H2</f>
        <v>154</v>
      </c>
      <c r="I2">
        <f>GraphAll!I2</f>
        <v>154</v>
      </c>
      <c r="J2">
        <f>GraphAll!J2</f>
        <v>154</v>
      </c>
      <c r="K2">
        <f>GraphAll!K2</f>
        <v>156</v>
      </c>
      <c r="L2">
        <f>GraphAll!L2</f>
        <v>157</v>
      </c>
      <c r="M2">
        <f>GraphAll!M2</f>
        <v>157</v>
      </c>
      <c r="N2">
        <f>GraphAll!N2</f>
        <v>157</v>
      </c>
      <c r="O2">
        <f>GraphAll!O2</f>
        <v>157</v>
      </c>
      <c r="P2">
        <f>GraphAll!P2</f>
        <v>157</v>
      </c>
      <c r="AA2" t="str">
        <f>_xlfn.CONCAT("% ",A2)</f>
        <v>% Staff</v>
      </c>
      <c r="AB2">
        <f>SUM(B2:D2)/SUM(B2:D2)*100</f>
        <v>100</v>
      </c>
      <c r="AC2">
        <f>SUM(E2:G2)/SUM(E2:G2)*100</f>
        <v>100</v>
      </c>
      <c r="AD2">
        <f>SUM(H2:J2)/SUM(H2:J2)*100</f>
        <v>100</v>
      </c>
      <c r="AE2">
        <f>SUM(K2:M2)/SUM(K2:M2)*100</f>
        <v>100</v>
      </c>
      <c r="AF2">
        <f>SUM(N2:P2)/SUM(N2:P2)*100</f>
        <v>100</v>
      </c>
    </row>
    <row r="3" spans="1:32" x14ac:dyDescent="0.2">
      <c r="A3" t="s">
        <v>351</v>
      </c>
      <c r="B3">
        <f>ALL!C4</f>
        <v>140</v>
      </c>
      <c r="C3">
        <f>ALL!D4</f>
        <v>144</v>
      </c>
      <c r="D3">
        <f>ALL!E4</f>
        <v>140</v>
      </c>
      <c r="E3">
        <f>ALL!F4</f>
        <v>136</v>
      </c>
      <c r="F3">
        <f>ALL!G4</f>
        <v>139</v>
      </c>
      <c r="G3">
        <f>ALL!H4</f>
        <v>134</v>
      </c>
      <c r="H3">
        <f>ALL!I4</f>
        <v>132</v>
      </c>
      <c r="I3">
        <f>ALL!J4</f>
        <v>128</v>
      </c>
      <c r="J3">
        <f>ALL!K4</f>
        <v>126</v>
      </c>
      <c r="K3">
        <f>ALL!L4</f>
        <v>104</v>
      </c>
      <c r="L3">
        <f>ALL!M4</f>
        <v>104</v>
      </c>
      <c r="M3">
        <f>ALL!N4</f>
        <v>104</v>
      </c>
      <c r="N3">
        <f>ALL!O4</f>
        <v>85</v>
      </c>
      <c r="O3">
        <f>ALL!P4</f>
        <v>83</v>
      </c>
      <c r="P3">
        <f>ALL!Q4</f>
        <v>83</v>
      </c>
      <c r="AA3" t="str">
        <f t="shared" ref="AA3:AA4" si="0">_xlfn.CONCAT("% ",A3)</f>
        <v>% Weighted Plan</v>
      </c>
      <c r="AB3">
        <f>SUM(B3:D3)/SUM(B2:D2)*100</f>
        <v>92.576419213973807</v>
      </c>
      <c r="AC3">
        <f>SUM(E3:G3)/SUM(E2:G2)*100</f>
        <v>87.956989247311824</v>
      </c>
      <c r="AD3">
        <f>SUM(H3:J3)/SUM(H2:J2)*100</f>
        <v>83.549783549783555</v>
      </c>
      <c r="AE3">
        <f>SUM(K3:M3)/SUM(K2:M2)*100</f>
        <v>66.38297872340425</v>
      </c>
      <c r="AF3">
        <f>SUM(N3:P3)/SUM(N2:P2)*100</f>
        <v>53.290870488322717</v>
      </c>
    </row>
    <row r="4" spans="1:32" x14ac:dyDescent="0.2">
      <c r="A4" t="s">
        <v>352</v>
      </c>
      <c r="B4">
        <f>'Full-ALL'!C4</f>
        <v>144</v>
      </c>
      <c r="C4">
        <f>'Full-ALL'!D4</f>
        <v>150</v>
      </c>
      <c r="D4">
        <f>'Full-ALL'!E4</f>
        <v>148</v>
      </c>
      <c r="E4">
        <f>'Full-ALL'!F4</f>
        <v>145</v>
      </c>
      <c r="F4">
        <f>'Full-ALL'!G4</f>
        <v>163</v>
      </c>
      <c r="G4">
        <f>'Full-ALL'!H4</f>
        <v>159</v>
      </c>
      <c r="H4">
        <f>'Full-ALL'!I4</f>
        <v>156</v>
      </c>
      <c r="I4">
        <f>'Full-ALL'!J4</f>
        <v>152</v>
      </c>
      <c r="J4">
        <f>'Full-ALL'!K4</f>
        <v>149</v>
      </c>
      <c r="K4">
        <f>'Full-ALL'!L4</f>
        <v>128</v>
      </c>
      <c r="L4">
        <f>'Full-ALL'!M4</f>
        <v>127</v>
      </c>
      <c r="M4">
        <f>'Full-ALL'!N4</f>
        <v>126</v>
      </c>
      <c r="N4">
        <f>'Full-ALL'!O4</f>
        <v>106</v>
      </c>
      <c r="O4">
        <f>'Full-ALL'!P4</f>
        <v>102</v>
      </c>
      <c r="P4">
        <f>'Full-ALL'!Q4</f>
        <v>101</v>
      </c>
      <c r="AA4" t="str">
        <f t="shared" si="0"/>
        <v>% Unweighted Plan</v>
      </c>
      <c r="AB4">
        <f>SUM(B4:D4)/SUM(B2:D2)*100</f>
        <v>96.506550218340621</v>
      </c>
      <c r="AC4">
        <f>SUM(E4:G4)/SUM(E2:G2)*100</f>
        <v>100.43010752688173</v>
      </c>
      <c r="AD4">
        <f>SUM(H4:J4)/SUM(H2:J2)*100</f>
        <v>98.917748917748909</v>
      </c>
      <c r="AE4">
        <f>SUM(K4:M4)/SUM(K2:M2)*100</f>
        <v>81.063829787234042</v>
      </c>
      <c r="AF4">
        <f>SUM(N4:P4)/SUM(N2:P2)*100</f>
        <v>65.605095541401269</v>
      </c>
    </row>
    <row r="11" spans="1:32" x14ac:dyDescent="0.2">
      <c r="A11" s="49" t="str">
        <f>DV!A2</f>
        <v>DV</v>
      </c>
      <c r="B11" t="str">
        <f>DV!C1</f>
        <v>APR</v>
      </c>
      <c r="C11" t="str">
        <f>DV!D1</f>
        <v>MAY</v>
      </c>
      <c r="D11" t="str">
        <f>DV!E1</f>
        <v>JUN</v>
      </c>
      <c r="E11" t="str">
        <f>DV!F1</f>
        <v>JUL</v>
      </c>
      <c r="F11" t="str">
        <f>DV!G1</f>
        <v>AUG</v>
      </c>
      <c r="G11" t="str">
        <f>DV!H1</f>
        <v>SEP</v>
      </c>
      <c r="H11" t="str">
        <f>DV!I1</f>
        <v>OCT</v>
      </c>
      <c r="I11" t="str">
        <f>DV!J1</f>
        <v>NOV</v>
      </c>
      <c r="J11" t="str">
        <f>DV!K1</f>
        <v>DEC</v>
      </c>
      <c r="K11" t="str">
        <f>DV!L1</f>
        <v>JAN'27</v>
      </c>
      <c r="L11" t="str">
        <f>DV!M1</f>
        <v>FEB'27</v>
      </c>
      <c r="M11" t="str">
        <f>DV!N1</f>
        <v>MAR'27</v>
      </c>
      <c r="N11" t="str">
        <f>DV!O1</f>
        <v>APR'27</v>
      </c>
      <c r="O11" t="str">
        <f>DV!P1</f>
        <v>MAY'27</v>
      </c>
      <c r="P11" t="str">
        <f>DV!Q1</f>
        <v>JUN'27</v>
      </c>
      <c r="AA11" t="str">
        <f>A11</f>
        <v>DV</v>
      </c>
      <c r="AB11" t="str">
        <f>AB$1</f>
        <v>Q2</v>
      </c>
      <c r="AC11" t="str">
        <f t="shared" ref="AC11:AF11" si="1">AC$1</f>
        <v>Q3</v>
      </c>
      <c r="AD11" t="str">
        <f t="shared" si="1"/>
        <v>Q4</v>
      </c>
      <c r="AE11" t="str">
        <f t="shared" si="1"/>
        <v>Q1'27</v>
      </c>
      <c r="AF11" t="str">
        <f t="shared" si="1"/>
        <v>Q2'27</v>
      </c>
    </row>
    <row r="12" spans="1:32" x14ac:dyDescent="0.2">
      <c r="A12" t="str">
        <f>DV!B2</f>
        <v>Staff</v>
      </c>
      <c r="B12">
        <f>DV!C2</f>
        <v>111</v>
      </c>
      <c r="C12">
        <f>DV!D2</f>
        <v>114</v>
      </c>
      <c r="D12">
        <f>DV!E2</f>
        <v>116</v>
      </c>
      <c r="E12">
        <f>DV!F2</f>
        <v>118</v>
      </c>
      <c r="F12">
        <f>DV!G2</f>
        <v>118</v>
      </c>
      <c r="G12">
        <f>DV!H2</f>
        <v>118</v>
      </c>
      <c r="H12">
        <f>DV!I2</f>
        <v>118</v>
      </c>
      <c r="I12">
        <f>DV!J2</f>
        <v>118</v>
      </c>
      <c r="J12">
        <f>DV!K2</f>
        <v>118</v>
      </c>
      <c r="K12">
        <f>DV!L2</f>
        <v>118</v>
      </c>
      <c r="L12">
        <f>DV!M2</f>
        <v>118</v>
      </c>
      <c r="M12">
        <f>DV!N2</f>
        <v>118</v>
      </c>
      <c r="N12">
        <f>DV!O2</f>
        <v>118</v>
      </c>
      <c r="O12">
        <f>DV!P2</f>
        <v>118</v>
      </c>
      <c r="P12">
        <f>DV!Q2</f>
        <v>118</v>
      </c>
      <c r="AA12" t="str">
        <f>_xlfn.CONCAT("% ",A12)</f>
        <v>% Staff</v>
      </c>
      <c r="AB12">
        <f>SUM(B12:D12)/SUM(B12:D12)*100</f>
        <v>100</v>
      </c>
      <c r="AC12">
        <f>SUM(E12:G12)/SUM(E12:G12)*100</f>
        <v>100</v>
      </c>
      <c r="AD12">
        <f>SUM(H12:J12)/SUM(H12:J12)*100</f>
        <v>100</v>
      </c>
      <c r="AE12">
        <f>SUM(K12:M12)/SUM(K12:M12)*100</f>
        <v>100</v>
      </c>
      <c r="AF12">
        <f>SUM(N12:P12)/SUM(N12:P12)*100</f>
        <v>100</v>
      </c>
    </row>
    <row r="13" spans="1:32" x14ac:dyDescent="0.2">
      <c r="A13" t="str">
        <f>A3</f>
        <v>Weighted Plan</v>
      </c>
      <c r="B13">
        <f>DV!C4</f>
        <v>104</v>
      </c>
      <c r="C13">
        <f>DV!D4</f>
        <v>109</v>
      </c>
      <c r="D13">
        <f>DV!E4</f>
        <v>106</v>
      </c>
      <c r="E13">
        <f>DV!F4</f>
        <v>102</v>
      </c>
      <c r="F13">
        <f>DV!G4</f>
        <v>106</v>
      </c>
      <c r="G13">
        <f>DV!H4</f>
        <v>101</v>
      </c>
      <c r="H13">
        <f>DV!I4</f>
        <v>99</v>
      </c>
      <c r="I13">
        <f>DV!J4</f>
        <v>95</v>
      </c>
      <c r="J13">
        <f>DV!K4</f>
        <v>94</v>
      </c>
      <c r="K13">
        <f>DV!L4</f>
        <v>74</v>
      </c>
      <c r="L13">
        <f>DV!M4</f>
        <v>73</v>
      </c>
      <c r="M13">
        <f>DV!N4</f>
        <v>73</v>
      </c>
      <c r="N13">
        <f>DV!O4</f>
        <v>56</v>
      </c>
      <c r="O13">
        <f>DV!P4</f>
        <v>54</v>
      </c>
      <c r="P13">
        <f>DV!Q4</f>
        <v>53</v>
      </c>
      <c r="AA13" t="str">
        <f t="shared" ref="AA13:AA14" si="2">_xlfn.CONCAT("% ",A13)</f>
        <v>% Weighted Plan</v>
      </c>
      <c r="AB13">
        <f>SUM(B13:D13)/SUM(B12:D12)*100</f>
        <v>93.548387096774192</v>
      </c>
      <c r="AC13">
        <f>SUM(E13:G13)/SUM(E12:G12)*100</f>
        <v>87.288135593220346</v>
      </c>
      <c r="AD13">
        <f>SUM(H13:J13)/SUM(H12:J12)*100</f>
        <v>81.355932203389841</v>
      </c>
      <c r="AE13">
        <f>SUM(K13:M13)/SUM(K12:M12)*100</f>
        <v>62.146892655367239</v>
      </c>
      <c r="AF13">
        <f>SUM(N13:P13)/SUM(N12:P12)*100</f>
        <v>46.045197740112989</v>
      </c>
    </row>
    <row r="14" spans="1:32" x14ac:dyDescent="0.2">
      <c r="A14" t="str">
        <f>A4</f>
        <v>Unweighted Plan</v>
      </c>
      <c r="B14">
        <f>'Full-DV'!C4</f>
        <v>108</v>
      </c>
      <c r="C14">
        <f>'Full-DV'!D4</f>
        <v>114</v>
      </c>
      <c r="D14">
        <f>'Full-DV'!E4</f>
        <v>113</v>
      </c>
      <c r="E14">
        <f>'Full-DV'!F4</f>
        <v>111</v>
      </c>
      <c r="F14">
        <f>'Full-DV'!G4</f>
        <v>128</v>
      </c>
      <c r="G14">
        <f>'Full-DV'!H4</f>
        <v>126</v>
      </c>
      <c r="H14">
        <f>'Full-DV'!I4</f>
        <v>122</v>
      </c>
      <c r="I14">
        <f>'Full-DV'!J4</f>
        <v>119</v>
      </c>
      <c r="J14">
        <f>'Full-DV'!K4</f>
        <v>116</v>
      </c>
      <c r="K14">
        <f>'Full-DV'!L4</f>
        <v>97</v>
      </c>
      <c r="L14">
        <f>'Full-DV'!M4</f>
        <v>95</v>
      </c>
      <c r="M14">
        <f>'Full-DV'!N4</f>
        <v>95</v>
      </c>
      <c r="N14">
        <f>'Full-DV'!O4</f>
        <v>77</v>
      </c>
      <c r="O14">
        <f>'Full-DV'!P4</f>
        <v>72</v>
      </c>
      <c r="P14">
        <f>'Full-DV'!Q4</f>
        <v>72</v>
      </c>
      <c r="AA14" t="str">
        <f t="shared" si="2"/>
        <v>% Unweighted Plan</v>
      </c>
      <c r="AB14">
        <f>SUM(B14:D14)/SUM(B12:D12)*100</f>
        <v>98.240469208211152</v>
      </c>
      <c r="AC14">
        <f>SUM(E14:G14)/SUM(E12:G12)*100</f>
        <v>103.10734463276836</v>
      </c>
      <c r="AD14">
        <f>SUM(H14:J14)/SUM(H12:J12)*100</f>
        <v>100.84745762711864</v>
      </c>
      <c r="AE14">
        <f>SUM(K14:M14)/SUM(K12:M12)*100</f>
        <v>81.073446327683612</v>
      </c>
      <c r="AF14">
        <f>SUM(N14:P14)/SUM(N12:P12)*100</f>
        <v>62.429378531073439</v>
      </c>
    </row>
    <row r="21" spans="1:32" x14ac:dyDescent="0.2">
      <c r="A21" s="102" t="str">
        <f>CPS!A2</f>
        <v>CPS</v>
      </c>
      <c r="B21" t="str">
        <f>CPS!C1</f>
        <v>APR</v>
      </c>
      <c r="C21" t="str">
        <f>CPS!D1</f>
        <v>MAY</v>
      </c>
      <c r="D21" t="str">
        <f>CPS!E1</f>
        <v>JUN</v>
      </c>
      <c r="E21" t="str">
        <f>CPS!F1</f>
        <v>JUL</v>
      </c>
      <c r="F21" t="str">
        <f>CPS!G1</f>
        <v>AUG</v>
      </c>
      <c r="G21" t="str">
        <f>CPS!H1</f>
        <v>SEP</v>
      </c>
      <c r="H21" t="str">
        <f>CPS!I1</f>
        <v>OCT</v>
      </c>
      <c r="I21" t="str">
        <f>CPS!J1</f>
        <v>NOV</v>
      </c>
      <c r="J21" t="str">
        <f>CPS!K1</f>
        <v>DEC</v>
      </c>
      <c r="K21" t="str">
        <f>CPS!L1</f>
        <v>JAN'27</v>
      </c>
      <c r="L21" t="str">
        <f>CPS!M1</f>
        <v>FEB'27</v>
      </c>
      <c r="M21" t="str">
        <f>CPS!N1</f>
        <v>MAR'27</v>
      </c>
      <c r="N21" t="str">
        <f>CPS!O1</f>
        <v>APR'27</v>
      </c>
      <c r="O21" t="str">
        <f>CPS!P1</f>
        <v>MAY'27</v>
      </c>
      <c r="P21" t="str">
        <f>CPS!Q1</f>
        <v>JUN'27</v>
      </c>
      <c r="AA21" t="str">
        <f>A21</f>
        <v>CPS</v>
      </c>
      <c r="AB21" t="str">
        <f>AB$1</f>
        <v>Q2</v>
      </c>
      <c r="AC21" t="str">
        <f t="shared" ref="AC21:AF21" si="3">AC$1</f>
        <v>Q3</v>
      </c>
      <c r="AD21" t="str">
        <f t="shared" si="3"/>
        <v>Q4</v>
      </c>
      <c r="AE21" t="str">
        <f t="shared" si="3"/>
        <v>Q1'27</v>
      </c>
      <c r="AF21" t="str">
        <f t="shared" si="3"/>
        <v>Q2'27</v>
      </c>
    </row>
    <row r="22" spans="1:32" x14ac:dyDescent="0.2">
      <c r="A22" t="str">
        <f>CPS!B2</f>
        <v>Staff</v>
      </c>
      <c r="B22">
        <f>CPS!C2</f>
        <v>17</v>
      </c>
      <c r="C22">
        <f>CPS!D2</f>
        <v>17</v>
      </c>
      <c r="D22">
        <f>CPS!E2</f>
        <v>17</v>
      </c>
      <c r="E22">
        <f>CPS!F2</f>
        <v>17</v>
      </c>
      <c r="F22">
        <f>CPS!G2</f>
        <v>17</v>
      </c>
      <c r="G22">
        <f>CPS!H2</f>
        <v>17</v>
      </c>
      <c r="H22">
        <f>CPS!I2</f>
        <v>17</v>
      </c>
      <c r="I22">
        <f>CPS!J2</f>
        <v>17</v>
      </c>
      <c r="J22">
        <f>CPS!K2</f>
        <v>17</v>
      </c>
      <c r="K22">
        <f>CPS!L2</f>
        <v>17</v>
      </c>
      <c r="L22">
        <f>CPS!M2</f>
        <v>17</v>
      </c>
      <c r="M22">
        <f>CPS!N2</f>
        <v>17</v>
      </c>
      <c r="N22">
        <f>CPS!O2</f>
        <v>17</v>
      </c>
      <c r="O22">
        <f>CPS!P2</f>
        <v>17</v>
      </c>
      <c r="P22">
        <f>CPS!Q2</f>
        <v>17</v>
      </c>
      <c r="AA22" t="str">
        <f>_xlfn.CONCAT("% ",A22)</f>
        <v>% Staff</v>
      </c>
      <c r="AB22">
        <f>SUM(B22:D22)/SUM(B22:D22)*100</f>
        <v>100</v>
      </c>
      <c r="AC22">
        <f>SUM(E22:G22)/SUM(E22:G22)*100</f>
        <v>100</v>
      </c>
      <c r="AD22">
        <f>SUM(H22:J22)/SUM(H22:J22)*100</f>
        <v>100</v>
      </c>
      <c r="AE22">
        <f>SUM(K22:M22)/SUM(K22:M22)*100</f>
        <v>100</v>
      </c>
      <c r="AF22">
        <f>SUM(N22:P22)/SUM(N22:P22)*100</f>
        <v>100</v>
      </c>
    </row>
    <row r="23" spans="1:32" x14ac:dyDescent="0.2">
      <c r="A23" t="str">
        <f>A3</f>
        <v>Weighted Plan</v>
      </c>
      <c r="B23">
        <f>CPS!C4</f>
        <v>17.45</v>
      </c>
      <c r="C23">
        <f>CPS!D4</f>
        <v>17.75</v>
      </c>
      <c r="D23">
        <f>CPS!E4</f>
        <v>17.850000000000001</v>
      </c>
      <c r="E23">
        <f>CPS!F4</f>
        <v>15.07</v>
      </c>
      <c r="F23">
        <f>CPS!G4</f>
        <v>15.42</v>
      </c>
      <c r="G23">
        <f>CPS!H4</f>
        <v>14.41</v>
      </c>
      <c r="H23">
        <f>CPS!I4</f>
        <v>13.96</v>
      </c>
      <c r="I23">
        <f>CPS!J4</f>
        <v>13.81</v>
      </c>
      <c r="J23">
        <f>CPS!K4</f>
        <v>13.81</v>
      </c>
      <c r="K23">
        <f>CPS!L4</f>
        <v>12.85</v>
      </c>
      <c r="L23">
        <f>CPS!M4</f>
        <v>12.8</v>
      </c>
      <c r="M23">
        <f>CPS!N4</f>
        <v>12.8</v>
      </c>
      <c r="N23">
        <f>CPS!O4</f>
        <v>11.8</v>
      </c>
      <c r="O23">
        <f>CPS!P4</f>
        <v>11.8</v>
      </c>
      <c r="P23">
        <f>CPS!Q4</f>
        <v>11.8</v>
      </c>
      <c r="AA23" t="str">
        <f t="shared" ref="AA23:AA24" si="4">_xlfn.CONCAT("% ",A23)</f>
        <v>% Weighted Plan</v>
      </c>
      <c r="AB23">
        <f>SUM(B23:D23)/SUM(B22:D22)*100</f>
        <v>104.01960784313727</v>
      </c>
      <c r="AC23">
        <f>SUM(E23:G23)/SUM(E22:G22)*100</f>
        <v>88.039215686274517</v>
      </c>
      <c r="AD23">
        <f>SUM(H23:J23)/SUM(H22:J22)*100</f>
        <v>81.529411764705898</v>
      </c>
      <c r="AE23">
        <f>SUM(K23:M23)/SUM(K22:M22)*100</f>
        <v>75.392156862745111</v>
      </c>
      <c r="AF23">
        <f>SUM(N23:P23)/SUM(N22:P22)*100</f>
        <v>69.411764705882362</v>
      </c>
    </row>
    <row r="24" spans="1:32" x14ac:dyDescent="0.2">
      <c r="A24" t="str">
        <f>A4</f>
        <v>Unweighted Plan</v>
      </c>
      <c r="B24">
        <f>'Full-CPS'!C4</f>
        <v>17.45</v>
      </c>
      <c r="C24">
        <f>'Full-CPS'!D4</f>
        <v>17.75</v>
      </c>
      <c r="D24">
        <f>'Full-CPS'!E4</f>
        <v>17.850000000000001</v>
      </c>
      <c r="E24">
        <f>'Full-CPS'!F4</f>
        <v>15.07</v>
      </c>
      <c r="F24">
        <f>'Full-CPS'!G4</f>
        <v>15.42</v>
      </c>
      <c r="G24">
        <f>'Full-CPS'!H4</f>
        <v>14.41</v>
      </c>
      <c r="H24">
        <f>'Full-CPS'!I4</f>
        <v>13.96</v>
      </c>
      <c r="I24">
        <f>'Full-CPS'!J4</f>
        <v>13.81</v>
      </c>
      <c r="J24">
        <f>'Full-CPS'!K4</f>
        <v>13.81</v>
      </c>
      <c r="K24">
        <f>'Full-CPS'!L4</f>
        <v>12.85</v>
      </c>
      <c r="L24">
        <f>'Full-CPS'!M4</f>
        <v>12.8</v>
      </c>
      <c r="M24">
        <f>'Full-CPS'!N4</f>
        <v>12.8</v>
      </c>
      <c r="N24">
        <f>'Full-CPS'!O4</f>
        <v>11.8</v>
      </c>
      <c r="O24">
        <f>'Full-CPS'!P4</f>
        <v>11.8</v>
      </c>
      <c r="P24">
        <f>'Full-CPS'!Q4</f>
        <v>11.8</v>
      </c>
      <c r="AA24" t="str">
        <f t="shared" si="4"/>
        <v>% Unweighted Plan</v>
      </c>
      <c r="AB24">
        <f>SUM(B24:D24)/SUM(B22:D22)*100</f>
        <v>104.01960784313727</v>
      </c>
      <c r="AC24">
        <f>SUM(E24:G24)/SUM(E22:G22)*100</f>
        <v>88.039215686274517</v>
      </c>
      <c r="AD24">
        <f>SUM(H24:J24)/SUM(H22:J22)*100</f>
        <v>81.529411764705898</v>
      </c>
      <c r="AE24">
        <f>SUM(K24:M24)/SUM(K22:M22)*100</f>
        <v>75.392156862745111</v>
      </c>
      <c r="AF24">
        <f>SUM(N24:P24)/SUM(N22:P22)*100</f>
        <v>69.411764705882362</v>
      </c>
    </row>
    <row r="31" spans="1:32" x14ac:dyDescent="0.2">
      <c r="A31" s="49" t="str">
        <f>CPS!A66</f>
        <v>Business Development &amp; Partnerships</v>
      </c>
      <c r="B31" t="str">
        <f>CPS!C61</f>
        <v>APR</v>
      </c>
      <c r="C31" t="str">
        <f>CPS!D61</f>
        <v>MAY</v>
      </c>
      <c r="D31" t="str">
        <f>CPS!E61</f>
        <v>JUN</v>
      </c>
      <c r="E31" t="str">
        <f>CPS!F61</f>
        <v>JUL</v>
      </c>
      <c r="F31" t="str">
        <f>CPS!G61</f>
        <v>AUG</v>
      </c>
      <c r="G31" t="str">
        <f>CPS!H61</f>
        <v>SEP</v>
      </c>
      <c r="H31" t="str">
        <f>CPS!I61</f>
        <v>OCT</v>
      </c>
      <c r="I31" t="str">
        <f>CPS!J61</f>
        <v>NOV</v>
      </c>
      <c r="J31" t="str">
        <f>CPS!K61</f>
        <v>DEC</v>
      </c>
      <c r="K31" t="str">
        <f>CPS!L61</f>
        <v>JAN'27</v>
      </c>
      <c r="L31" t="str">
        <f>CPS!M61</f>
        <v>FEB'27</v>
      </c>
      <c r="M31" t="str">
        <f>CPS!N61</f>
        <v>MAR'27</v>
      </c>
      <c r="N31" t="str">
        <f>CPS!O61</f>
        <v>APR'27</v>
      </c>
      <c r="O31" t="str">
        <f>CPS!P61</f>
        <v>MAY'27</v>
      </c>
      <c r="P31" t="str">
        <f>CPS!Q61</f>
        <v>JUN'27</v>
      </c>
      <c r="AA31" t="str">
        <f>A31</f>
        <v>Business Development &amp; Partnerships</v>
      </c>
      <c r="AB31" t="str">
        <f>AB$1</f>
        <v>Q2</v>
      </c>
      <c r="AC31" t="str">
        <f t="shared" ref="AC31:AF31" si="5">AC$1</f>
        <v>Q3</v>
      </c>
      <c r="AD31" t="str">
        <f t="shared" si="5"/>
        <v>Q4</v>
      </c>
      <c r="AE31" t="str">
        <f t="shared" si="5"/>
        <v>Q1'27</v>
      </c>
      <c r="AF31" t="str">
        <f t="shared" si="5"/>
        <v>Q2'27</v>
      </c>
    </row>
    <row r="32" spans="1:32" x14ac:dyDescent="0.2">
      <c r="A32" t="str">
        <f>CPS!B66</f>
        <v>Staff</v>
      </c>
      <c r="B32">
        <f>CPS!C66</f>
        <v>11</v>
      </c>
      <c r="C32">
        <f>CPS!D66</f>
        <v>11</v>
      </c>
      <c r="D32">
        <f>CPS!E66</f>
        <v>11</v>
      </c>
      <c r="E32">
        <f>CPS!F66</f>
        <v>11</v>
      </c>
      <c r="F32">
        <f>CPS!G66</f>
        <v>11</v>
      </c>
      <c r="G32">
        <f>CPS!H66</f>
        <v>11</v>
      </c>
      <c r="H32">
        <f>CPS!I66</f>
        <v>11</v>
      </c>
      <c r="I32">
        <f>CPS!J66</f>
        <v>11</v>
      </c>
      <c r="J32">
        <f>CPS!K66</f>
        <v>11</v>
      </c>
      <c r="K32">
        <f>CPS!L66</f>
        <v>11</v>
      </c>
      <c r="L32">
        <f>CPS!M66</f>
        <v>11</v>
      </c>
      <c r="M32">
        <f>CPS!N66</f>
        <v>11</v>
      </c>
      <c r="N32">
        <f>CPS!O66</f>
        <v>11</v>
      </c>
      <c r="O32">
        <f>CPS!P66</f>
        <v>11</v>
      </c>
      <c r="P32">
        <f>CPS!Q66</f>
        <v>11</v>
      </c>
      <c r="AA32" t="str">
        <f>_xlfn.CONCAT("% ",A32)</f>
        <v>% Staff</v>
      </c>
      <c r="AB32">
        <f>SUM(B32:D32)/SUM(B32:D32)*100</f>
        <v>100</v>
      </c>
      <c r="AC32">
        <f>SUM(E32:G32)/SUM(E32:G32)*100</f>
        <v>100</v>
      </c>
      <c r="AD32">
        <f>SUM(H32:J32)/SUM(H32:J32)*100</f>
        <v>100</v>
      </c>
      <c r="AE32">
        <f>SUM(K32:M32)/SUM(K32:M32)*100</f>
        <v>100</v>
      </c>
      <c r="AF32">
        <f>SUM(N32:P32)/SUM(N32:P32)*100</f>
        <v>100</v>
      </c>
    </row>
    <row r="33" spans="1:32" x14ac:dyDescent="0.2">
      <c r="A33" t="str">
        <f>A3</f>
        <v>Weighted Plan</v>
      </c>
      <c r="B33">
        <f>CPS!C67</f>
        <v>11.45</v>
      </c>
      <c r="C33">
        <f>CPS!D67</f>
        <v>11.75</v>
      </c>
      <c r="D33">
        <f>CPS!E67</f>
        <v>11.85</v>
      </c>
      <c r="E33">
        <f>CPS!F67</f>
        <v>9.07</v>
      </c>
      <c r="F33">
        <f>CPS!G67</f>
        <v>9.42</v>
      </c>
      <c r="G33">
        <f>CPS!H67</f>
        <v>8.41</v>
      </c>
      <c r="H33">
        <f>CPS!I67</f>
        <v>7.96</v>
      </c>
      <c r="I33">
        <f>CPS!J67</f>
        <v>7.81</v>
      </c>
      <c r="J33">
        <f>CPS!K67</f>
        <v>7.81</v>
      </c>
      <c r="K33">
        <f>CPS!L67</f>
        <v>6.85</v>
      </c>
      <c r="L33">
        <f>CPS!M67</f>
        <v>6.8</v>
      </c>
      <c r="M33">
        <f>CPS!N67</f>
        <v>6.8</v>
      </c>
      <c r="N33">
        <f>CPS!O67</f>
        <v>5.8</v>
      </c>
      <c r="O33">
        <f>CPS!P67</f>
        <v>5.8</v>
      </c>
      <c r="P33">
        <f>CPS!Q67</f>
        <v>5.8</v>
      </c>
      <c r="AA33" t="str">
        <f t="shared" ref="AA33:AA34" si="6">_xlfn.CONCAT("% ",A33)</f>
        <v>% Weighted Plan</v>
      </c>
      <c r="AB33">
        <f>SUM(B33:D33)/SUM(B32:D32)*100</f>
        <v>106.2121212121212</v>
      </c>
      <c r="AC33">
        <f>SUM(E33:G33)/SUM(E32:G32)*100</f>
        <v>81.515151515151516</v>
      </c>
      <c r="AD33">
        <f>SUM(H33:J33)/SUM(H32:J32)*100</f>
        <v>71.454545454545453</v>
      </c>
      <c r="AE33">
        <f>SUM(K33:M33)/SUM(K32:M32)*100</f>
        <v>61.969696969696962</v>
      </c>
      <c r="AF33">
        <f>SUM(N33:P33)/SUM(N32:P32)*100</f>
        <v>52.72727272727272</v>
      </c>
    </row>
    <row r="34" spans="1:32" x14ac:dyDescent="0.2">
      <c r="A34" t="str">
        <f>A4</f>
        <v>Unweighted Plan</v>
      </c>
      <c r="B34">
        <f>'Full-CPS'!C67</f>
        <v>11.45</v>
      </c>
      <c r="C34">
        <f>'Full-CPS'!D67</f>
        <v>11.75</v>
      </c>
      <c r="D34">
        <f>'Full-CPS'!E67</f>
        <v>11.85</v>
      </c>
      <c r="E34">
        <f>'Full-CPS'!F67</f>
        <v>9.07</v>
      </c>
      <c r="F34">
        <f>'Full-CPS'!G67</f>
        <v>9.42</v>
      </c>
      <c r="G34">
        <f>'Full-CPS'!H67</f>
        <v>8.41</v>
      </c>
      <c r="H34">
        <f>'Full-CPS'!I67</f>
        <v>7.96</v>
      </c>
      <c r="I34">
        <f>'Full-CPS'!J67</f>
        <v>7.81</v>
      </c>
      <c r="J34">
        <f>'Full-CPS'!K67</f>
        <v>7.81</v>
      </c>
      <c r="K34">
        <f>'Full-CPS'!L67</f>
        <v>6.85</v>
      </c>
      <c r="L34">
        <f>'Full-CPS'!M67</f>
        <v>6.8</v>
      </c>
      <c r="M34">
        <f>'Full-CPS'!N67</f>
        <v>6.8</v>
      </c>
      <c r="N34">
        <f>'Full-CPS'!O67</f>
        <v>5.8</v>
      </c>
      <c r="O34">
        <f>'Full-CPS'!P67</f>
        <v>5.8</v>
      </c>
      <c r="P34">
        <f>'Full-CPS'!Q67</f>
        <v>5.8</v>
      </c>
      <c r="AA34" t="str">
        <f t="shared" si="6"/>
        <v>% Unweighted Plan</v>
      </c>
      <c r="AB34">
        <f>SUM(B34:D34)/SUM(B32:D32)*100</f>
        <v>106.2121212121212</v>
      </c>
      <c r="AC34">
        <f>SUM(E34:G34)/SUM(E32:G32)*100</f>
        <v>81.515151515151516</v>
      </c>
      <c r="AD34">
        <f>SUM(H34:J34)/SUM(H32:J32)*100</f>
        <v>71.454545454545453</v>
      </c>
      <c r="AE34">
        <f>SUM(K34:M34)/SUM(K32:M32)*100</f>
        <v>61.969696969696962</v>
      </c>
      <c r="AF34">
        <f>SUM(N34:P34)/SUM(N32:P32)*100</f>
        <v>52.72727272727272</v>
      </c>
    </row>
    <row r="41" spans="1:32" x14ac:dyDescent="0.2">
      <c r="A41" s="49" t="str">
        <f>CPS!A68</f>
        <v>Product Commercialization</v>
      </c>
      <c r="B41" t="str">
        <f>CPS!C61</f>
        <v>APR</v>
      </c>
      <c r="C41" t="str">
        <f>CPS!D61</f>
        <v>MAY</v>
      </c>
      <c r="D41" t="str">
        <f>CPS!E61</f>
        <v>JUN</v>
      </c>
      <c r="E41" t="str">
        <f>CPS!F61</f>
        <v>JUL</v>
      </c>
      <c r="F41" t="str">
        <f>CPS!G61</f>
        <v>AUG</v>
      </c>
      <c r="G41" t="str">
        <f>CPS!H61</f>
        <v>SEP</v>
      </c>
      <c r="H41" t="str">
        <f>CPS!I61</f>
        <v>OCT</v>
      </c>
      <c r="I41" t="str">
        <f>CPS!J61</f>
        <v>NOV</v>
      </c>
      <c r="J41" t="str">
        <f>CPS!K61</f>
        <v>DEC</v>
      </c>
      <c r="K41" t="str">
        <f>CPS!L61</f>
        <v>JAN'27</v>
      </c>
      <c r="L41" t="str">
        <f>CPS!M61</f>
        <v>FEB'27</v>
      </c>
      <c r="M41" t="str">
        <f>CPS!N61</f>
        <v>MAR'27</v>
      </c>
      <c r="N41" t="str">
        <f>CPS!O61</f>
        <v>APR'27</v>
      </c>
      <c r="O41" t="str">
        <f>CPS!P61</f>
        <v>MAY'27</v>
      </c>
      <c r="P41" t="str">
        <f>CPS!Q61</f>
        <v>JUN'27</v>
      </c>
      <c r="AA41" t="str">
        <f>A41</f>
        <v>Product Commercialization</v>
      </c>
      <c r="AB41" t="str">
        <f>AB$1</f>
        <v>Q2</v>
      </c>
      <c r="AC41" t="str">
        <f t="shared" ref="AC41:AF41" si="7">AC$1</f>
        <v>Q3</v>
      </c>
      <c r="AD41" t="str">
        <f t="shared" si="7"/>
        <v>Q4</v>
      </c>
      <c r="AE41" t="str">
        <f t="shared" si="7"/>
        <v>Q1'27</v>
      </c>
      <c r="AF41" t="str">
        <f t="shared" si="7"/>
        <v>Q2'27</v>
      </c>
    </row>
    <row r="42" spans="1:32" x14ac:dyDescent="0.2">
      <c r="A42" t="str">
        <f>CPS!B68</f>
        <v>Staff</v>
      </c>
      <c r="B42">
        <f>CPS!C68</f>
        <v>5</v>
      </c>
      <c r="C42">
        <f>CPS!D68</f>
        <v>5</v>
      </c>
      <c r="D42">
        <f>CPS!E68</f>
        <v>5</v>
      </c>
      <c r="E42">
        <f>CPS!F68</f>
        <v>5</v>
      </c>
      <c r="F42">
        <f>CPS!G68</f>
        <v>5</v>
      </c>
      <c r="G42">
        <f>CPS!H68</f>
        <v>5</v>
      </c>
      <c r="H42">
        <f>CPS!I68</f>
        <v>5</v>
      </c>
      <c r="I42">
        <f>CPS!J68</f>
        <v>5</v>
      </c>
      <c r="J42">
        <f>CPS!K68</f>
        <v>5</v>
      </c>
      <c r="K42">
        <f>CPS!L68</f>
        <v>5</v>
      </c>
      <c r="L42">
        <f>CPS!M68</f>
        <v>5</v>
      </c>
      <c r="M42">
        <f>CPS!N68</f>
        <v>5</v>
      </c>
      <c r="N42">
        <f>CPS!O68</f>
        <v>5</v>
      </c>
      <c r="O42">
        <f>CPS!P68</f>
        <v>5</v>
      </c>
      <c r="P42">
        <f>CPS!Q68</f>
        <v>5</v>
      </c>
      <c r="AA42" t="str">
        <f>_xlfn.CONCAT("% ",A42)</f>
        <v>% Staff</v>
      </c>
      <c r="AB42">
        <f>SUM(B42:D42)/SUM(B42:D42)*100</f>
        <v>100</v>
      </c>
      <c r="AC42">
        <f>SUM(E42:G42)/SUM(E42:G42)*100</f>
        <v>100</v>
      </c>
      <c r="AD42">
        <f>SUM(H42:J42)/SUM(H42:J42)*100</f>
        <v>100</v>
      </c>
      <c r="AE42">
        <f>SUM(K42:M42)/SUM(K42:M42)*100</f>
        <v>100</v>
      </c>
      <c r="AF42">
        <f>SUM(N42:P42)/SUM(N42:P42)*100</f>
        <v>100</v>
      </c>
    </row>
    <row r="43" spans="1:32" x14ac:dyDescent="0.2">
      <c r="A43" t="str">
        <f>A3</f>
        <v>Weighted Plan</v>
      </c>
      <c r="B43">
        <f>CPS!C69</f>
        <v>5</v>
      </c>
      <c r="C43">
        <f>CPS!D69</f>
        <v>5</v>
      </c>
      <c r="D43">
        <f>CPS!E69</f>
        <v>5</v>
      </c>
      <c r="E43">
        <f>CPS!F69</f>
        <v>5</v>
      </c>
      <c r="F43">
        <f>CPS!G69</f>
        <v>5</v>
      </c>
      <c r="G43">
        <f>CPS!H69</f>
        <v>5</v>
      </c>
      <c r="H43">
        <f>CPS!I69</f>
        <v>5</v>
      </c>
      <c r="I43">
        <f>CPS!J69</f>
        <v>5</v>
      </c>
      <c r="J43">
        <f>CPS!K69</f>
        <v>5</v>
      </c>
      <c r="K43">
        <f>CPS!L69</f>
        <v>5</v>
      </c>
      <c r="L43">
        <f>CPS!M69</f>
        <v>5</v>
      </c>
      <c r="M43">
        <f>CPS!N69</f>
        <v>5</v>
      </c>
      <c r="N43">
        <f>CPS!O69</f>
        <v>5</v>
      </c>
      <c r="O43">
        <f>CPS!P69</f>
        <v>5</v>
      </c>
      <c r="P43">
        <f>CPS!Q69</f>
        <v>5</v>
      </c>
      <c r="AA43" t="str">
        <f t="shared" ref="AA43:AA44" si="8">_xlfn.CONCAT("% ",A43)</f>
        <v>% Weighted Plan</v>
      </c>
      <c r="AB43">
        <f>SUM(B43:D43)/SUM(B42:D42)*100</f>
        <v>100</v>
      </c>
      <c r="AC43">
        <f>SUM(E43:G43)/SUM(E42:G42)*100</f>
        <v>100</v>
      </c>
      <c r="AD43">
        <f>SUM(H43:J43)/SUM(H42:J42)*100</f>
        <v>100</v>
      </c>
      <c r="AE43">
        <f>SUM(K43:M43)/SUM(K42:M42)*100</f>
        <v>100</v>
      </c>
      <c r="AF43">
        <f>SUM(N43:P43)/SUM(N42:P42)*100</f>
        <v>100</v>
      </c>
    </row>
    <row r="44" spans="1:32" x14ac:dyDescent="0.2">
      <c r="A44" t="str">
        <f>A4</f>
        <v>Unweighted Plan</v>
      </c>
      <c r="B44">
        <f>'Full-CPS'!C69</f>
        <v>5</v>
      </c>
      <c r="C44">
        <f>'Full-CPS'!D69</f>
        <v>5</v>
      </c>
      <c r="D44">
        <f>'Full-CPS'!E69</f>
        <v>5</v>
      </c>
      <c r="E44">
        <f>'Full-CPS'!F69</f>
        <v>5</v>
      </c>
      <c r="F44">
        <f>'Full-CPS'!G69</f>
        <v>5</v>
      </c>
      <c r="G44">
        <f>'Full-CPS'!H69</f>
        <v>5</v>
      </c>
      <c r="H44">
        <f>'Full-CPS'!I69</f>
        <v>5</v>
      </c>
      <c r="I44">
        <f>'Full-CPS'!J69</f>
        <v>5</v>
      </c>
      <c r="J44">
        <f>'Full-CPS'!K69</f>
        <v>5</v>
      </c>
      <c r="K44">
        <f>'Full-CPS'!L69</f>
        <v>5</v>
      </c>
      <c r="L44">
        <f>'Full-CPS'!M69</f>
        <v>5</v>
      </c>
      <c r="M44">
        <f>'Full-CPS'!N69</f>
        <v>5</v>
      </c>
      <c r="N44">
        <f>'Full-CPS'!O69</f>
        <v>5</v>
      </c>
      <c r="O44">
        <f>'Full-CPS'!P69</f>
        <v>5</v>
      </c>
      <c r="P44">
        <f>'Full-CPS'!Q69</f>
        <v>5</v>
      </c>
      <c r="AA44" t="str">
        <f t="shared" si="8"/>
        <v>% Unweighted Plan</v>
      </c>
      <c r="AB44">
        <f>SUM(B44:D44)/SUM(B42:D42)*100</f>
        <v>100</v>
      </c>
      <c r="AC44">
        <f>SUM(E44:G44)/SUM(E42:G42)*100</f>
        <v>100</v>
      </c>
      <c r="AD44">
        <f>SUM(H44:J44)/SUM(H42:J42)*100</f>
        <v>100</v>
      </c>
      <c r="AE44">
        <f>SUM(K44:M44)/SUM(K42:M42)*100</f>
        <v>100</v>
      </c>
      <c r="AF44">
        <f>SUM(N44:P44)/SUM(N42:P42)*100</f>
        <v>100</v>
      </c>
    </row>
    <row r="45" spans="1:32" x14ac:dyDescent="0.2">
      <c r="I45" t="s">
        <v>365</v>
      </c>
    </row>
    <row r="51" spans="1:32" x14ac:dyDescent="0.2">
      <c r="A51" s="102" t="str">
        <f>PSE!A2</f>
        <v>PSE</v>
      </c>
      <c r="B51" t="str">
        <f>PSE!C1</f>
        <v>APR</v>
      </c>
      <c r="C51" t="str">
        <f>PSE!D1</f>
        <v>MAY</v>
      </c>
      <c r="D51" t="str">
        <f>PSE!E1</f>
        <v>JUN</v>
      </c>
      <c r="E51" t="str">
        <f>PSE!F1</f>
        <v>JUL</v>
      </c>
      <c r="F51" t="str">
        <f>PSE!G1</f>
        <v>AUG</v>
      </c>
      <c r="G51" t="str">
        <f>PSE!H1</f>
        <v>SEP</v>
      </c>
      <c r="H51" t="str">
        <f>PSE!I1</f>
        <v>OCT</v>
      </c>
      <c r="I51" t="str">
        <f>PSE!J1</f>
        <v>NOV</v>
      </c>
      <c r="J51" t="str">
        <f>PSE!K1</f>
        <v>DEC</v>
      </c>
      <c r="K51" t="str">
        <f>PSE!L1</f>
        <v>JAN'27</v>
      </c>
      <c r="L51" t="str">
        <f>PSE!M1</f>
        <v>FEB'27</v>
      </c>
      <c r="M51" t="str">
        <f>PSE!N1</f>
        <v>MAR'27</v>
      </c>
      <c r="N51" t="str">
        <f>PSE!O1</f>
        <v>APR'27</v>
      </c>
      <c r="O51" t="str">
        <f>PSE!P1</f>
        <v>MAY'27</v>
      </c>
      <c r="P51" t="str">
        <f>PSE!Q1</f>
        <v>JUN'27</v>
      </c>
      <c r="AA51" t="str">
        <f>A51</f>
        <v>PSE</v>
      </c>
      <c r="AB51" t="str">
        <f>AB$1</f>
        <v>Q2</v>
      </c>
      <c r="AC51" t="str">
        <f t="shared" ref="AC51:AF51" si="9">AC$1</f>
        <v>Q3</v>
      </c>
      <c r="AD51" t="str">
        <f t="shared" si="9"/>
        <v>Q4</v>
      </c>
      <c r="AE51" t="str">
        <f t="shared" si="9"/>
        <v>Q1'27</v>
      </c>
      <c r="AF51" t="str">
        <f t="shared" si="9"/>
        <v>Q2'27</v>
      </c>
    </row>
    <row r="52" spans="1:32" x14ac:dyDescent="0.2">
      <c r="A52" t="str">
        <f>PSE!B2</f>
        <v>Staff</v>
      </c>
      <c r="B52">
        <f>PSE!C2</f>
        <v>48</v>
      </c>
      <c r="C52">
        <f>PSE!D2</f>
        <v>48</v>
      </c>
      <c r="D52">
        <f>PSE!E2</f>
        <v>48</v>
      </c>
      <c r="E52">
        <f>PSE!F2</f>
        <v>48</v>
      </c>
      <c r="F52">
        <f>PSE!G2</f>
        <v>48</v>
      </c>
      <c r="G52">
        <f>PSE!H2</f>
        <v>48</v>
      </c>
      <c r="H52">
        <f>PSE!I2</f>
        <v>48</v>
      </c>
      <c r="I52">
        <f>PSE!J2</f>
        <v>48</v>
      </c>
      <c r="J52">
        <f>PSE!K2</f>
        <v>48</v>
      </c>
      <c r="K52">
        <f>PSE!L2</f>
        <v>48</v>
      </c>
      <c r="L52">
        <f>PSE!M2</f>
        <v>48</v>
      </c>
      <c r="M52">
        <f>PSE!N2</f>
        <v>48</v>
      </c>
      <c r="N52">
        <f>PSE!O2</f>
        <v>48</v>
      </c>
      <c r="O52">
        <f>PSE!P2</f>
        <v>48</v>
      </c>
      <c r="P52">
        <f>PSE!Q2</f>
        <v>48</v>
      </c>
      <c r="AA52" t="str">
        <f>_xlfn.CONCAT("% ",A52)</f>
        <v>% Staff</v>
      </c>
      <c r="AB52">
        <f>SUM(B52:D52)/SUM(B52:D52)*100</f>
        <v>100</v>
      </c>
      <c r="AC52">
        <f>SUM(E52:G52)/SUM(E52:G52)*100</f>
        <v>100</v>
      </c>
      <c r="AD52">
        <f>SUM(H52:J52)/SUM(H52:J52)*100</f>
        <v>100</v>
      </c>
      <c r="AE52">
        <f>SUM(K52:M52)/SUM(K52:M52)*100</f>
        <v>100</v>
      </c>
      <c r="AF52">
        <f>SUM(N52:P52)/SUM(N52:P52)*100</f>
        <v>100</v>
      </c>
    </row>
    <row r="53" spans="1:32" x14ac:dyDescent="0.2">
      <c r="A53" t="str">
        <f>A3</f>
        <v>Weighted Plan</v>
      </c>
      <c r="B53">
        <f>PSE!C4</f>
        <v>45</v>
      </c>
      <c r="C53">
        <f>PSE!D4</f>
        <v>47</v>
      </c>
      <c r="D53">
        <f>PSE!E4</f>
        <v>43</v>
      </c>
      <c r="E53">
        <f>PSE!F4</f>
        <v>41</v>
      </c>
      <c r="F53">
        <f>PSE!G4</f>
        <v>41</v>
      </c>
      <c r="G53">
        <f>PSE!H4</f>
        <v>38</v>
      </c>
      <c r="H53">
        <f>PSE!I4</f>
        <v>36</v>
      </c>
      <c r="I53">
        <f>PSE!J4</f>
        <v>35</v>
      </c>
      <c r="J53">
        <f>PSE!K4</f>
        <v>35</v>
      </c>
      <c r="K53">
        <f>PSE!L4</f>
        <v>25</v>
      </c>
      <c r="L53">
        <f>PSE!M4</f>
        <v>25</v>
      </c>
      <c r="M53">
        <f>PSE!N4</f>
        <v>26</v>
      </c>
      <c r="N53">
        <f>PSE!O4</f>
        <v>23.774999999999999</v>
      </c>
      <c r="O53">
        <f>PSE!P4</f>
        <v>22.574999999999999</v>
      </c>
      <c r="P53">
        <f>PSE!Q4</f>
        <v>21.9</v>
      </c>
      <c r="AA53" t="str">
        <f t="shared" ref="AA53:AA54" si="10">_xlfn.CONCAT("% ",A53)</f>
        <v>% Weighted Plan</v>
      </c>
      <c r="AB53">
        <f>SUM(B53:D53)/SUM(B52:D52)*100</f>
        <v>93.75</v>
      </c>
      <c r="AC53">
        <f>SUM(E53:G53)/SUM(E52:G52)*100</f>
        <v>83.333333333333343</v>
      </c>
      <c r="AD53">
        <f>SUM(H53:J53)/SUM(H52:J52)*100</f>
        <v>73.611111111111114</v>
      </c>
      <c r="AE53">
        <f>SUM(K53:M53)/SUM(K52:M52)*100</f>
        <v>52.777777777777779</v>
      </c>
      <c r="AF53">
        <f>SUM(N53:P53)/SUM(N52:P52)*100</f>
        <v>47.395833333333329</v>
      </c>
    </row>
    <row r="54" spans="1:32" x14ac:dyDescent="0.2">
      <c r="A54" t="str">
        <f>A4</f>
        <v>Unweighted Plan</v>
      </c>
      <c r="B54">
        <f>'Full-PSE'!C4</f>
        <v>47</v>
      </c>
      <c r="C54">
        <f>'Full-PSE'!D4</f>
        <v>49</v>
      </c>
      <c r="D54">
        <f>'Full-PSE'!E4</f>
        <v>46</v>
      </c>
      <c r="E54">
        <f>'Full-PSE'!F4</f>
        <v>45</v>
      </c>
      <c r="F54">
        <f>'Full-PSE'!G4</f>
        <v>48</v>
      </c>
      <c r="G54">
        <f>'Full-PSE'!H4</f>
        <v>48</v>
      </c>
      <c r="H54">
        <f>'Full-PSE'!I4</f>
        <v>45</v>
      </c>
      <c r="I54">
        <f>'Full-PSE'!J4</f>
        <v>45</v>
      </c>
      <c r="J54">
        <f>'Full-PSE'!K4</f>
        <v>44</v>
      </c>
      <c r="K54">
        <f>'Full-PSE'!L4</f>
        <v>43</v>
      </c>
      <c r="L54">
        <f>'Full-PSE'!M4</f>
        <v>43</v>
      </c>
      <c r="M54">
        <f>'Full-PSE'!N4</f>
        <v>43</v>
      </c>
      <c r="N54">
        <f>'Full-PSE'!O4</f>
        <v>39.700000000000003</v>
      </c>
      <c r="O54">
        <f>'Full-PSE'!P4</f>
        <v>36.799999999999997</v>
      </c>
      <c r="P54">
        <f>'Full-PSE'!Q4</f>
        <v>35.9</v>
      </c>
      <c r="AA54" t="str">
        <f t="shared" si="10"/>
        <v>% Unweighted Plan</v>
      </c>
      <c r="AB54">
        <f>SUM(B54:D54)/SUM(B52:D52)*100</f>
        <v>98.611111111111114</v>
      </c>
      <c r="AC54">
        <f>SUM(E54:G54)/SUM(E52:G52)*100</f>
        <v>97.916666666666657</v>
      </c>
      <c r="AD54">
        <f>SUM(H54:J54)/SUM(H52:J52)*100</f>
        <v>93.055555555555557</v>
      </c>
      <c r="AE54">
        <f>SUM(K54:M54)/SUM(K52:M52)*100</f>
        <v>89.583333333333343</v>
      </c>
      <c r="AF54">
        <f>SUM(N54:P54)/SUM(N52:P52)*100</f>
        <v>78.055555555555557</v>
      </c>
    </row>
    <row r="61" spans="1:32" x14ac:dyDescent="0.2">
      <c r="A61" s="49" t="str">
        <f>PSE!A66</f>
        <v>Platform Engineering</v>
      </c>
      <c r="B61" t="str">
        <f>PSE!C61</f>
        <v>APR</v>
      </c>
      <c r="C61" t="str">
        <f>PSE!D61</f>
        <v>MAY</v>
      </c>
      <c r="D61" t="str">
        <f>PSE!E61</f>
        <v>JUN</v>
      </c>
      <c r="E61" t="str">
        <f>PSE!F61</f>
        <v>JUL</v>
      </c>
      <c r="F61" t="str">
        <f>PSE!G61</f>
        <v>AUG</v>
      </c>
      <c r="G61" t="str">
        <f>PSE!H61</f>
        <v>SEP</v>
      </c>
      <c r="H61" t="str">
        <f>PSE!I61</f>
        <v>OCT</v>
      </c>
      <c r="I61" t="str">
        <f>PSE!J61</f>
        <v>NOV</v>
      </c>
      <c r="J61" t="str">
        <f>PSE!K61</f>
        <v>DEC</v>
      </c>
      <c r="K61" t="str">
        <f>PSE!L61</f>
        <v>JAN'27</v>
      </c>
      <c r="L61" t="str">
        <f>PSE!M61</f>
        <v>FEB'27</v>
      </c>
      <c r="M61" t="str">
        <f>PSE!N61</f>
        <v>MAR'27</v>
      </c>
      <c r="N61" t="str">
        <f>PSE!O61</f>
        <v>APR'27</v>
      </c>
      <c r="O61" t="str">
        <f>PSE!P61</f>
        <v>MAY'27</v>
      </c>
      <c r="P61" t="str">
        <f>PSE!Q61</f>
        <v>JUN'27</v>
      </c>
      <c r="AA61" t="str">
        <f>A61</f>
        <v>Platform Engineering</v>
      </c>
      <c r="AB61" t="str">
        <f>AB$1</f>
        <v>Q2</v>
      </c>
      <c r="AC61" t="str">
        <f t="shared" ref="AC61:AF61" si="11">AC$1</f>
        <v>Q3</v>
      </c>
      <c r="AD61" t="str">
        <f t="shared" si="11"/>
        <v>Q4</v>
      </c>
      <c r="AE61" t="str">
        <f t="shared" si="11"/>
        <v>Q1'27</v>
      </c>
      <c r="AF61" t="str">
        <f t="shared" si="11"/>
        <v>Q2'27</v>
      </c>
    </row>
    <row r="62" spans="1:32" x14ac:dyDescent="0.2">
      <c r="A62" t="str">
        <f>PSE!B66</f>
        <v>Staff</v>
      </c>
      <c r="B62">
        <f>PSE!C66</f>
        <v>6</v>
      </c>
      <c r="C62">
        <f>PSE!D66</f>
        <v>6</v>
      </c>
      <c r="D62">
        <f>PSE!E66</f>
        <v>6</v>
      </c>
      <c r="E62">
        <f>PSE!F66</f>
        <v>6</v>
      </c>
      <c r="F62">
        <f>PSE!G66</f>
        <v>6</v>
      </c>
      <c r="G62">
        <f>PSE!H66</f>
        <v>6</v>
      </c>
      <c r="H62">
        <f>PSE!I66</f>
        <v>6</v>
      </c>
      <c r="I62">
        <f>PSE!J66</f>
        <v>6</v>
      </c>
      <c r="J62">
        <f>PSE!K66</f>
        <v>6</v>
      </c>
      <c r="K62">
        <f>PSE!L66</f>
        <v>6</v>
      </c>
      <c r="L62">
        <f>PSE!M66</f>
        <v>6</v>
      </c>
      <c r="M62">
        <f>PSE!N66</f>
        <v>6</v>
      </c>
      <c r="N62">
        <f>PSE!O66</f>
        <v>6</v>
      </c>
      <c r="O62">
        <f>PSE!P66</f>
        <v>6</v>
      </c>
      <c r="P62">
        <f>PSE!Q66</f>
        <v>6</v>
      </c>
      <c r="AA62" t="str">
        <f>_xlfn.CONCAT("% ",A62)</f>
        <v>% Staff</v>
      </c>
      <c r="AB62">
        <f>SUM(B62:D62)/SUM(B62:D62)*100</f>
        <v>100</v>
      </c>
      <c r="AC62">
        <f>SUM(E62:G62)/SUM(E62:G62)*100</f>
        <v>100</v>
      </c>
      <c r="AD62">
        <f>SUM(H62:J62)/SUM(H62:J62)*100</f>
        <v>100</v>
      </c>
      <c r="AE62">
        <f>SUM(K62:M62)/SUM(K62:M62)*100</f>
        <v>100</v>
      </c>
      <c r="AF62">
        <f>SUM(N62:P62)/SUM(N62:P62)*100</f>
        <v>100</v>
      </c>
    </row>
    <row r="63" spans="1:32" x14ac:dyDescent="0.2">
      <c r="A63" t="str">
        <f>A3</f>
        <v>Weighted Plan</v>
      </c>
      <c r="B63">
        <f>PSE!C67</f>
        <v>6</v>
      </c>
      <c r="C63">
        <f>PSE!D67</f>
        <v>6</v>
      </c>
      <c r="D63">
        <f>PSE!E67</f>
        <v>6</v>
      </c>
      <c r="E63">
        <f>PSE!F67</f>
        <v>5.9249999999999998</v>
      </c>
      <c r="F63">
        <f>PSE!G67</f>
        <v>5.625</v>
      </c>
      <c r="G63">
        <f>PSE!H67</f>
        <v>5.6749999999999998</v>
      </c>
      <c r="H63">
        <f>PSE!I67</f>
        <v>5.85</v>
      </c>
      <c r="I63">
        <f>PSE!J67</f>
        <v>5.85</v>
      </c>
      <c r="J63">
        <f>PSE!K67</f>
        <v>6</v>
      </c>
      <c r="K63">
        <f>PSE!L67</f>
        <v>6</v>
      </c>
      <c r="L63">
        <f>PSE!M67</f>
        <v>6</v>
      </c>
      <c r="M63">
        <f>PSE!N67</f>
        <v>6</v>
      </c>
      <c r="N63">
        <f>PSE!O67</f>
        <v>6</v>
      </c>
      <c r="O63">
        <f>PSE!P67</f>
        <v>6</v>
      </c>
      <c r="P63">
        <f>PSE!Q67</f>
        <v>6</v>
      </c>
      <c r="AA63" t="str">
        <f t="shared" ref="AA63:AA64" si="12">_xlfn.CONCAT("% ",A63)</f>
        <v>% Weighted Plan</v>
      </c>
      <c r="AB63">
        <f>SUM(B63:D63)/SUM(B62:D62)*100</f>
        <v>100</v>
      </c>
      <c r="AC63">
        <f>SUM(E63:G63)/SUM(E62:G62)*100</f>
        <v>95.694444444444443</v>
      </c>
      <c r="AD63">
        <f>SUM(H63:J63)/SUM(H62:J62)*100</f>
        <v>98.333333333333329</v>
      </c>
      <c r="AE63">
        <f>SUM(K63:M63)/SUM(K62:M62)*100</f>
        <v>100</v>
      </c>
      <c r="AF63">
        <f>SUM(N63:P63)/SUM(N62:P62)*100</f>
        <v>100</v>
      </c>
    </row>
    <row r="64" spans="1:32" x14ac:dyDescent="0.2">
      <c r="A64" t="str">
        <f>A4</f>
        <v>Unweighted Plan</v>
      </c>
      <c r="B64">
        <f>'Full-PSE'!C67</f>
        <v>6</v>
      </c>
      <c r="C64">
        <f>'Full-PSE'!D67</f>
        <v>6</v>
      </c>
      <c r="D64">
        <f>'Full-PSE'!E67</f>
        <v>6</v>
      </c>
      <c r="E64">
        <f>'Full-PSE'!F67</f>
        <v>6</v>
      </c>
      <c r="F64">
        <f>'Full-PSE'!G67</f>
        <v>6</v>
      </c>
      <c r="G64">
        <f>'Full-PSE'!H67</f>
        <v>6</v>
      </c>
      <c r="H64">
        <f>'Full-PSE'!I67</f>
        <v>6</v>
      </c>
      <c r="I64">
        <f>'Full-PSE'!J67</f>
        <v>6</v>
      </c>
      <c r="J64">
        <f>'Full-PSE'!K67</f>
        <v>6</v>
      </c>
      <c r="K64">
        <f>'Full-PSE'!L67</f>
        <v>6</v>
      </c>
      <c r="L64">
        <f>'Full-PSE'!M67</f>
        <v>6</v>
      </c>
      <c r="M64">
        <f>'Full-PSE'!N67</f>
        <v>6</v>
      </c>
      <c r="N64">
        <f>'Full-PSE'!O67</f>
        <v>6</v>
      </c>
      <c r="O64">
        <f>'Full-PSE'!P67</f>
        <v>6</v>
      </c>
      <c r="P64">
        <f>'Full-PSE'!Q67</f>
        <v>6</v>
      </c>
      <c r="AA64" t="str">
        <f t="shared" si="12"/>
        <v>% Unweighted Plan</v>
      </c>
      <c r="AB64">
        <f>SUM(B64:D64)/SUM(B62:D62)*100</f>
        <v>100</v>
      </c>
      <c r="AC64">
        <f>SUM(E64:G64)/SUM(E62:G62)*100</f>
        <v>100</v>
      </c>
      <c r="AD64">
        <f>SUM(H64:J64)/SUM(H62:J62)*100</f>
        <v>100</v>
      </c>
      <c r="AE64">
        <f>SUM(K64:M64)/SUM(K62:M62)*100</f>
        <v>100</v>
      </c>
      <c r="AF64">
        <f>SUM(N64:P64)/SUM(N62:P62)*100</f>
        <v>100</v>
      </c>
    </row>
    <row r="71" spans="1:32" x14ac:dyDescent="0.2">
      <c r="A71" s="49" t="str">
        <f>PSE!A72</f>
        <v>Software Engineering</v>
      </c>
      <c r="B71" t="str">
        <f>PSE!C61</f>
        <v>APR</v>
      </c>
      <c r="C71" t="str">
        <f>PSE!D61</f>
        <v>MAY</v>
      </c>
      <c r="D71" t="str">
        <f>PSE!E61</f>
        <v>JUN</v>
      </c>
      <c r="E71" t="str">
        <f>PSE!F61</f>
        <v>JUL</v>
      </c>
      <c r="F71" t="str">
        <f>PSE!G61</f>
        <v>AUG</v>
      </c>
      <c r="G71" t="str">
        <f>PSE!H61</f>
        <v>SEP</v>
      </c>
      <c r="H71" t="str">
        <f>PSE!I61</f>
        <v>OCT</v>
      </c>
      <c r="I71" t="str">
        <f>PSE!J61</f>
        <v>NOV</v>
      </c>
      <c r="J71" t="str">
        <f>PSE!K61</f>
        <v>DEC</v>
      </c>
      <c r="K71" t="str">
        <f>PSE!L61</f>
        <v>JAN'27</v>
      </c>
      <c r="L71" t="str">
        <f>PSE!M61</f>
        <v>FEB'27</v>
      </c>
      <c r="M71" t="str">
        <f>PSE!N61</f>
        <v>MAR'27</v>
      </c>
      <c r="N71" t="str">
        <f>PSE!O61</f>
        <v>APR'27</v>
      </c>
      <c r="O71" t="str">
        <f>PSE!P61</f>
        <v>MAY'27</v>
      </c>
      <c r="P71" t="str">
        <f>PSE!Q61</f>
        <v>JUN'27</v>
      </c>
      <c r="AA71" t="str">
        <f>A71</f>
        <v>Software Engineering</v>
      </c>
      <c r="AB71" t="str">
        <f>AB$1</f>
        <v>Q2</v>
      </c>
      <c r="AC71" t="str">
        <f t="shared" ref="AC71:AF71" si="13">AC$1</f>
        <v>Q3</v>
      </c>
      <c r="AD71" t="str">
        <f t="shared" si="13"/>
        <v>Q4</v>
      </c>
      <c r="AE71" t="str">
        <f t="shared" si="13"/>
        <v>Q1'27</v>
      </c>
      <c r="AF71" t="str">
        <f t="shared" si="13"/>
        <v>Q2'27</v>
      </c>
    </row>
    <row r="72" spans="1:32" x14ac:dyDescent="0.2">
      <c r="A72" t="str">
        <f>PSE!B72</f>
        <v>Staff</v>
      </c>
      <c r="B72">
        <f>PSE!C72</f>
        <v>41</v>
      </c>
      <c r="C72">
        <f>PSE!D72</f>
        <v>41</v>
      </c>
      <c r="D72">
        <f>PSE!E72</f>
        <v>41</v>
      </c>
      <c r="E72">
        <f>PSE!F72</f>
        <v>41</v>
      </c>
      <c r="F72">
        <f>PSE!G72</f>
        <v>41</v>
      </c>
      <c r="G72">
        <f>PSE!H72</f>
        <v>41</v>
      </c>
      <c r="H72">
        <f>PSE!I72</f>
        <v>41</v>
      </c>
      <c r="I72">
        <f>PSE!J72</f>
        <v>41</v>
      </c>
      <c r="J72">
        <f>PSE!K72</f>
        <v>41</v>
      </c>
      <c r="K72">
        <f>PSE!L72</f>
        <v>41</v>
      </c>
      <c r="L72">
        <f>PSE!M72</f>
        <v>41</v>
      </c>
      <c r="M72">
        <f>PSE!N72</f>
        <v>41</v>
      </c>
      <c r="N72">
        <f>PSE!O72</f>
        <v>41</v>
      </c>
      <c r="O72">
        <f>PSE!P72</f>
        <v>41</v>
      </c>
      <c r="P72">
        <f>PSE!Q72</f>
        <v>41</v>
      </c>
      <c r="AA72" t="str">
        <f>_xlfn.CONCAT("% ",A72)</f>
        <v>% Staff</v>
      </c>
      <c r="AB72">
        <f>SUM(B72:D72)/SUM(B72:D72)*100</f>
        <v>100</v>
      </c>
      <c r="AC72">
        <f>SUM(E72:G72)/SUM(E72:G72)*100</f>
        <v>100</v>
      </c>
      <c r="AD72">
        <f>SUM(H72:J72)/SUM(H72:J72)*100</f>
        <v>100</v>
      </c>
      <c r="AE72">
        <f>SUM(K72:M72)/SUM(K72:M72)*100</f>
        <v>100</v>
      </c>
      <c r="AF72">
        <f>SUM(N72:P72)/SUM(N72:P72)*100</f>
        <v>100</v>
      </c>
    </row>
    <row r="73" spans="1:32" x14ac:dyDescent="0.2">
      <c r="A73" t="str">
        <f>A3</f>
        <v>Weighted Plan</v>
      </c>
      <c r="B73">
        <f>PSE!C73</f>
        <v>38.43</v>
      </c>
      <c r="C73">
        <f>PSE!D73</f>
        <v>39.630000000000003</v>
      </c>
      <c r="D73">
        <f>PSE!E73</f>
        <v>35.564999999999998</v>
      </c>
      <c r="E73">
        <f>PSE!F73</f>
        <v>34.54</v>
      </c>
      <c r="F73">
        <f>PSE!G73</f>
        <v>34.075000000000003</v>
      </c>
      <c r="G73">
        <f>PSE!H73</f>
        <v>31.6</v>
      </c>
      <c r="H73">
        <f>PSE!I73</f>
        <v>28.875</v>
      </c>
      <c r="I73">
        <f>PSE!J73</f>
        <v>28.4</v>
      </c>
      <c r="J73">
        <f>PSE!K73</f>
        <v>28</v>
      </c>
      <c r="K73">
        <f>PSE!L73</f>
        <v>17.5</v>
      </c>
      <c r="L73">
        <f>PSE!M73</f>
        <v>17.5</v>
      </c>
      <c r="M73">
        <f>PSE!N73</f>
        <v>18.875</v>
      </c>
      <c r="N73">
        <f>PSE!O73</f>
        <v>16.774999999999999</v>
      </c>
      <c r="O73">
        <f>PSE!P73</f>
        <v>15.574999999999999</v>
      </c>
      <c r="P73">
        <f>PSE!Q73</f>
        <v>14.9</v>
      </c>
      <c r="AA73" t="str">
        <f t="shared" ref="AA73:AA74" si="14">_xlfn.CONCAT("% ",A73)</f>
        <v>% Weighted Plan</v>
      </c>
      <c r="AB73">
        <f>SUM(B73:D73)/SUM(B72:D72)*100</f>
        <v>92.378048780487802</v>
      </c>
      <c r="AC73">
        <f>SUM(E73:G73)/SUM(E72:G72)*100</f>
        <v>81.475609756097569</v>
      </c>
      <c r="AD73">
        <f>SUM(H73:J73)/SUM(H72:J72)*100</f>
        <v>69.32926829268294</v>
      </c>
      <c r="AE73">
        <f>SUM(K73:M73)/SUM(K72:M72)*100</f>
        <v>43.800813008130078</v>
      </c>
      <c r="AF73">
        <f>SUM(N73:P73)/SUM(N72:P72)*100</f>
        <v>38.414634146341456</v>
      </c>
    </row>
    <row r="74" spans="1:32" x14ac:dyDescent="0.2">
      <c r="A74" t="str">
        <f>A4</f>
        <v>Unweighted Plan</v>
      </c>
      <c r="B74">
        <f>'Full-PSE'!C73</f>
        <v>39.700000000000003</v>
      </c>
      <c r="C74">
        <f>'Full-PSE'!D73</f>
        <v>41.9</v>
      </c>
      <c r="D74">
        <f>'Full-PSE'!E73</f>
        <v>39.299999999999997</v>
      </c>
      <c r="E74">
        <f>'Full-PSE'!F73</f>
        <v>38.1</v>
      </c>
      <c r="F74">
        <f>'Full-PSE'!G73</f>
        <v>41.1</v>
      </c>
      <c r="G74">
        <f>'Full-PSE'!H73</f>
        <v>40.700000000000003</v>
      </c>
      <c r="H74">
        <f>'Full-PSE'!I73</f>
        <v>37.6</v>
      </c>
      <c r="I74">
        <f>'Full-PSE'!J73</f>
        <v>38</v>
      </c>
      <c r="J74">
        <f>'Full-PSE'!K73</f>
        <v>36.9</v>
      </c>
      <c r="K74">
        <f>'Full-PSE'!L73</f>
        <v>35.5</v>
      </c>
      <c r="L74">
        <f>'Full-PSE'!M73</f>
        <v>35.5</v>
      </c>
      <c r="M74">
        <f>'Full-PSE'!N73</f>
        <v>36.4</v>
      </c>
      <c r="N74">
        <f>'Full-PSE'!O73</f>
        <v>32.700000000000003</v>
      </c>
      <c r="O74">
        <f>'Full-PSE'!P73</f>
        <v>29.8</v>
      </c>
      <c r="P74">
        <f>'Full-PSE'!Q73</f>
        <v>28.9</v>
      </c>
      <c r="AA74" t="str">
        <f t="shared" si="14"/>
        <v>% Unweighted Plan</v>
      </c>
      <c r="AB74">
        <f>SUM(B74:D74)/SUM(B72:D72)*100</f>
        <v>98.292682926829272</v>
      </c>
      <c r="AC74">
        <f>SUM(E74:G74)/SUM(E72:G72)*100</f>
        <v>97.479674796747972</v>
      </c>
      <c r="AD74">
        <f>SUM(H74:J74)/SUM(H72:J72)*100</f>
        <v>91.463414634146346</v>
      </c>
      <c r="AE74">
        <f>SUM(K74:M74)/SUM(K72:M72)*100</f>
        <v>87.317073170731703</v>
      </c>
      <c r="AF74">
        <f>SUM(N74:P74)/SUM(N72:P72)*100</f>
        <v>74.308943089430898</v>
      </c>
    </row>
    <row r="81" spans="1:32" x14ac:dyDescent="0.2">
      <c r="A81" s="102" t="str">
        <f>SD!A2</f>
        <v>SD</v>
      </c>
      <c r="B81" t="str">
        <f>SD!C1</f>
        <v>APR</v>
      </c>
      <c r="C81" t="str">
        <f>SD!D1</f>
        <v>MAY</v>
      </c>
      <c r="D81" t="str">
        <f>SD!E1</f>
        <v>JUN</v>
      </c>
      <c r="E81" t="str">
        <f>SD!F1</f>
        <v>JUL</v>
      </c>
      <c r="F81" t="str">
        <f>SD!G1</f>
        <v>AUG</v>
      </c>
      <c r="G81" t="str">
        <f>SD!H1</f>
        <v>SEP</v>
      </c>
      <c r="H81" t="str">
        <f>SD!I1</f>
        <v>OCT</v>
      </c>
      <c r="I81" t="str">
        <f>SD!J1</f>
        <v>NOV</v>
      </c>
      <c r="J81" t="str">
        <f>SD!K1</f>
        <v>DEC</v>
      </c>
      <c r="K81" t="str">
        <f>SD!L1</f>
        <v>JAN'27</v>
      </c>
      <c r="L81" t="str">
        <f>SD!M1</f>
        <v>FEB'27</v>
      </c>
      <c r="M81" t="str">
        <f>SD!N1</f>
        <v>MAR'27</v>
      </c>
      <c r="N81" t="str">
        <f>SD!O1</f>
        <v>APR'27</v>
      </c>
      <c r="O81" t="str">
        <f>SD!P1</f>
        <v>MAY'27</v>
      </c>
      <c r="P81" t="str">
        <f>SD!Q1</f>
        <v>JUN'27</v>
      </c>
      <c r="AA81" t="str">
        <f>A81</f>
        <v>SD</v>
      </c>
      <c r="AB81" t="str">
        <f>AB$1</f>
        <v>Q2</v>
      </c>
      <c r="AC81" t="str">
        <f t="shared" ref="AC81:AF81" si="15">AC$1</f>
        <v>Q3</v>
      </c>
      <c r="AD81" t="str">
        <f t="shared" si="15"/>
        <v>Q4</v>
      </c>
      <c r="AE81" t="str">
        <f t="shared" si="15"/>
        <v>Q1'27</v>
      </c>
      <c r="AF81" t="str">
        <f t="shared" si="15"/>
        <v>Q2'27</v>
      </c>
    </row>
    <row r="82" spans="1:32" x14ac:dyDescent="0.2">
      <c r="A82" t="str">
        <f>SD!B2</f>
        <v>Staff</v>
      </c>
      <c r="B82">
        <f>SD!C2</f>
        <v>46</v>
      </c>
      <c r="C82">
        <f>SD!D2</f>
        <v>49</v>
      </c>
      <c r="D82">
        <f>SD!E2</f>
        <v>51</v>
      </c>
      <c r="E82">
        <f>SD!F2</f>
        <v>53</v>
      </c>
      <c r="F82">
        <f>SD!G2</f>
        <v>53</v>
      </c>
      <c r="G82">
        <f>SD!H2</f>
        <v>53</v>
      </c>
      <c r="H82">
        <f>SD!I2</f>
        <v>53</v>
      </c>
      <c r="I82">
        <f>SD!J2</f>
        <v>53</v>
      </c>
      <c r="J82">
        <f>SD!K2</f>
        <v>53</v>
      </c>
      <c r="K82">
        <f>SD!L2</f>
        <v>53</v>
      </c>
      <c r="L82">
        <f>SD!M2</f>
        <v>53</v>
      </c>
      <c r="M82">
        <f>SD!N2</f>
        <v>53</v>
      </c>
      <c r="N82">
        <f>SD!O2</f>
        <v>53</v>
      </c>
      <c r="O82">
        <f>SD!P2</f>
        <v>53</v>
      </c>
      <c r="P82">
        <f>SD!Q2</f>
        <v>53</v>
      </c>
      <c r="AA82" t="str">
        <f>_xlfn.CONCAT("% ",A82)</f>
        <v>% Staff</v>
      </c>
      <c r="AB82">
        <f>SUM(B82:D82)/SUM(B82:D82)*100</f>
        <v>100</v>
      </c>
      <c r="AC82">
        <f>SUM(E82:G82)/SUM(E82:G82)*100</f>
        <v>100</v>
      </c>
      <c r="AD82">
        <f>SUM(H82:J82)/SUM(H82:J82)*100</f>
        <v>100</v>
      </c>
      <c r="AE82">
        <f>SUM(K82:M82)/SUM(K82:M82)*100</f>
        <v>100</v>
      </c>
      <c r="AF82">
        <f>SUM(N82:P82)/SUM(N82:P82)*100</f>
        <v>100</v>
      </c>
    </row>
    <row r="83" spans="1:32" x14ac:dyDescent="0.2">
      <c r="A83" t="str">
        <f>A3</f>
        <v>Weighted Plan</v>
      </c>
      <c r="B83">
        <f>SD!C4</f>
        <v>42</v>
      </c>
      <c r="C83">
        <f>SD!D4</f>
        <v>45</v>
      </c>
      <c r="D83">
        <f>SD!E4</f>
        <v>46</v>
      </c>
      <c r="E83">
        <f>SD!F4</f>
        <v>45</v>
      </c>
      <c r="F83">
        <f>SD!G4</f>
        <v>49</v>
      </c>
      <c r="G83">
        <f>SD!H4</f>
        <v>48</v>
      </c>
      <c r="H83">
        <f>SD!I4</f>
        <v>50</v>
      </c>
      <c r="I83">
        <f>SD!J4</f>
        <v>46</v>
      </c>
      <c r="J83">
        <f>SD!K4</f>
        <v>45</v>
      </c>
      <c r="K83">
        <f>SD!L4</f>
        <v>36</v>
      </c>
      <c r="L83">
        <f>SD!M4</f>
        <v>35</v>
      </c>
      <c r="M83">
        <f>SD!N4</f>
        <v>35</v>
      </c>
      <c r="N83">
        <f>SD!O4</f>
        <v>20.07</v>
      </c>
      <c r="O83">
        <f>SD!P4</f>
        <v>19.68</v>
      </c>
      <c r="P83">
        <f>SD!Q4</f>
        <v>19.68</v>
      </c>
      <c r="AA83" t="str">
        <f t="shared" ref="AA83:AA84" si="16">_xlfn.CONCAT("% ",A83)</f>
        <v>% Weighted Plan</v>
      </c>
      <c r="AB83">
        <f>SUM(B83:D83)/SUM(B82:D82)*100</f>
        <v>91.095890410958901</v>
      </c>
      <c r="AC83">
        <f>SUM(E83:G83)/SUM(E82:G82)*100</f>
        <v>89.308176100628927</v>
      </c>
      <c r="AD83">
        <f>SUM(H83:J83)/SUM(H82:J82)*100</f>
        <v>88.679245283018872</v>
      </c>
      <c r="AE83">
        <f>SUM(K83:M83)/SUM(K82:M82)*100</f>
        <v>66.666666666666657</v>
      </c>
      <c r="AF83">
        <f>SUM(N83:P83)/SUM(N82:P82)*100</f>
        <v>37.377358490566039</v>
      </c>
    </row>
    <row r="84" spans="1:32" x14ac:dyDescent="0.2">
      <c r="A84" t="str">
        <f>A4</f>
        <v>Unweighted Plan</v>
      </c>
      <c r="B84">
        <f>'Full-SD'!C4</f>
        <v>44</v>
      </c>
      <c r="C84">
        <f>'Full-SD'!D4</f>
        <v>48</v>
      </c>
      <c r="D84">
        <f>'Full-SD'!E4</f>
        <v>49</v>
      </c>
      <c r="E84">
        <f>'Full-SD'!F4</f>
        <v>51</v>
      </c>
      <c r="F84">
        <f>'Full-SD'!G4</f>
        <v>65</v>
      </c>
      <c r="G84">
        <f>'Full-SD'!H4</f>
        <v>63</v>
      </c>
      <c r="H84">
        <f>'Full-SD'!I4</f>
        <v>64</v>
      </c>
      <c r="I84">
        <f>'Full-SD'!J4</f>
        <v>60</v>
      </c>
      <c r="J84">
        <f>'Full-SD'!K4</f>
        <v>58</v>
      </c>
      <c r="K84">
        <f>'Full-SD'!L4</f>
        <v>41</v>
      </c>
      <c r="L84">
        <f>'Full-SD'!M4</f>
        <v>40</v>
      </c>
      <c r="M84">
        <f>'Full-SD'!N4</f>
        <v>39</v>
      </c>
      <c r="N84">
        <f>'Full-SD'!O4</f>
        <v>25.3475</v>
      </c>
      <c r="O84">
        <f>'Full-SD'!P4</f>
        <v>23.872499999999999</v>
      </c>
      <c r="P84">
        <f>'Full-SD'!Q4</f>
        <v>23.872499999999999</v>
      </c>
      <c r="AA84" t="str">
        <f t="shared" si="16"/>
        <v>% Unweighted Plan</v>
      </c>
      <c r="AB84">
        <f>SUM(B84:D84)/SUM(B82:D82)*100</f>
        <v>96.575342465753423</v>
      </c>
      <c r="AC84">
        <f>SUM(E84:G84)/SUM(E82:G82)*100</f>
        <v>112.57861635220125</v>
      </c>
      <c r="AD84">
        <f>SUM(H84:J84)/SUM(H82:J82)*100</f>
        <v>114.46540880503144</v>
      </c>
      <c r="AE84">
        <f>SUM(K84:M84)/SUM(K82:M82)*100</f>
        <v>75.471698113207552</v>
      </c>
      <c r="AF84">
        <f>SUM(N84:P84)/SUM(N82:P82)*100</f>
        <v>45.970125786163521</v>
      </c>
    </row>
    <row r="91" spans="1:32" x14ac:dyDescent="0.2">
      <c r="A91" s="49" t="str">
        <f>SD!A66</f>
        <v>Design</v>
      </c>
      <c r="B91" t="str">
        <f>SD!C61</f>
        <v>APR</v>
      </c>
      <c r="C91" t="str">
        <f>SD!D61</f>
        <v>MAY</v>
      </c>
      <c r="D91" t="str">
        <f>SD!E61</f>
        <v>JUN</v>
      </c>
      <c r="E91" t="str">
        <f>SD!F61</f>
        <v>JUL</v>
      </c>
      <c r="F91" t="str">
        <f>SD!G61</f>
        <v>AUG</v>
      </c>
      <c r="G91" t="str">
        <f>SD!H61</f>
        <v>SEP</v>
      </c>
      <c r="H91" t="str">
        <f>SD!I61</f>
        <v>OCT</v>
      </c>
      <c r="I91" t="str">
        <f>SD!J61</f>
        <v>NOV</v>
      </c>
      <c r="J91" t="str">
        <f>SD!K61</f>
        <v>DEC</v>
      </c>
      <c r="K91" t="str">
        <f>SD!L61</f>
        <v>JAN'27</v>
      </c>
      <c r="L91" t="str">
        <f>SD!M61</f>
        <v>FEB'27</v>
      </c>
      <c r="M91" t="str">
        <f>SD!N61</f>
        <v>MAR'27</v>
      </c>
      <c r="N91" t="str">
        <f>SD!O61</f>
        <v>APR'27</v>
      </c>
      <c r="O91" t="str">
        <f>SD!P61</f>
        <v>MAY'27</v>
      </c>
      <c r="P91" t="str">
        <f>SD!Q61</f>
        <v>JUN'27</v>
      </c>
      <c r="AA91" t="str">
        <f>A91</f>
        <v>Design</v>
      </c>
      <c r="AB91" t="str">
        <f>AB$1</f>
        <v>Q2</v>
      </c>
      <c r="AC91" t="str">
        <f t="shared" ref="AC91:AF91" si="17">AC$1</f>
        <v>Q3</v>
      </c>
      <c r="AD91" t="str">
        <f t="shared" si="17"/>
        <v>Q4</v>
      </c>
      <c r="AE91" t="str">
        <f t="shared" si="17"/>
        <v>Q1'27</v>
      </c>
      <c r="AF91" t="str">
        <f t="shared" si="17"/>
        <v>Q2'27</v>
      </c>
    </row>
    <row r="92" spans="1:32" x14ac:dyDescent="0.2">
      <c r="A92" t="str">
        <f>SD!B66</f>
        <v>Staff</v>
      </c>
      <c r="B92">
        <f>SD!C66</f>
        <v>4</v>
      </c>
      <c r="C92">
        <f>SD!D66</f>
        <v>4</v>
      </c>
      <c r="D92">
        <f>SD!E66</f>
        <v>4</v>
      </c>
      <c r="E92">
        <f>SD!F66</f>
        <v>4</v>
      </c>
      <c r="F92">
        <f>SD!G66</f>
        <v>4</v>
      </c>
      <c r="G92">
        <f>SD!H66</f>
        <v>4</v>
      </c>
      <c r="H92">
        <f>SD!I66</f>
        <v>4</v>
      </c>
      <c r="I92">
        <f>SD!J66</f>
        <v>4</v>
      </c>
      <c r="J92">
        <f>SD!K66</f>
        <v>4</v>
      </c>
      <c r="K92">
        <f>SD!L66</f>
        <v>4</v>
      </c>
      <c r="L92">
        <f>SD!M66</f>
        <v>4</v>
      </c>
      <c r="M92">
        <f>SD!N66</f>
        <v>4</v>
      </c>
      <c r="N92">
        <f>SD!O66</f>
        <v>4</v>
      </c>
      <c r="O92">
        <f>SD!P66</f>
        <v>4</v>
      </c>
      <c r="P92">
        <f>SD!Q66</f>
        <v>4</v>
      </c>
      <c r="AA92" t="str">
        <f>_xlfn.CONCAT("% ",A92)</f>
        <v>% Staff</v>
      </c>
      <c r="AB92">
        <f>SUM(B92:D92)/SUM(B92:D92)*100</f>
        <v>100</v>
      </c>
      <c r="AC92">
        <f>SUM(E92:G92)/SUM(E92:G92)*100</f>
        <v>100</v>
      </c>
      <c r="AD92">
        <f>SUM(H92:J92)/SUM(H92:J92)*100</f>
        <v>100</v>
      </c>
      <c r="AE92">
        <f>SUM(K92:M92)/SUM(K92:M92)*100</f>
        <v>100</v>
      </c>
      <c r="AF92">
        <f>SUM(N92:P92)/SUM(N92:P92)*100</f>
        <v>100</v>
      </c>
    </row>
    <row r="93" spans="1:32" x14ac:dyDescent="0.2">
      <c r="A93" t="str">
        <f>A3</f>
        <v>Weighted Plan</v>
      </c>
      <c r="B93">
        <f>SD!C67</f>
        <v>2.4562499999999998</v>
      </c>
      <c r="C93">
        <f>SD!D67</f>
        <v>3.53125</v>
      </c>
      <c r="D93">
        <f>SD!E67</f>
        <v>3.1937500000000001</v>
      </c>
      <c r="E93">
        <f>SD!F67</f>
        <v>3.2</v>
      </c>
      <c r="F93">
        <f>SD!G67</f>
        <v>4.0999999999999996</v>
      </c>
      <c r="G93">
        <f>SD!H67</f>
        <v>4.1624999999999996</v>
      </c>
      <c r="H93">
        <f>SD!I67</f>
        <v>5.2374999999999998</v>
      </c>
      <c r="I93">
        <f>SD!J67</f>
        <v>4.4874999999999998</v>
      </c>
      <c r="J93">
        <f>SD!K67</f>
        <v>4.4249999999999998</v>
      </c>
      <c r="K93">
        <f>SD!L67</f>
        <v>3.609375</v>
      </c>
      <c r="L93">
        <f>SD!M67</f>
        <v>3.1343749999999999</v>
      </c>
      <c r="M93">
        <f>SD!N67</f>
        <v>3.1343749999999999</v>
      </c>
      <c r="N93">
        <f>SD!O67</f>
        <v>2.9624999999999999</v>
      </c>
      <c r="O93">
        <f>SD!P67</f>
        <v>2.9125000000000001</v>
      </c>
      <c r="P93">
        <f>SD!Q67</f>
        <v>2.9125000000000001</v>
      </c>
      <c r="AA93" t="str">
        <f t="shared" ref="AA93:AA94" si="18">_xlfn.CONCAT("% ",A93)</f>
        <v>% Weighted Plan</v>
      </c>
      <c r="AB93">
        <f>SUM(B93:D93)/SUM(B92:D92)*100</f>
        <v>76.510416666666671</v>
      </c>
      <c r="AC93">
        <f>SUM(E93:G93)/SUM(E92:G92)*100</f>
        <v>95.520833333333314</v>
      </c>
      <c r="AD93">
        <f>SUM(H93:J93)/SUM(H92:J92)*100</f>
        <v>117.91666666666664</v>
      </c>
      <c r="AE93">
        <f>SUM(K93:M93)/SUM(K92:M92)*100</f>
        <v>82.317708333333343</v>
      </c>
      <c r="AF93">
        <f>SUM(N93:P93)/SUM(N92:P92)*100</f>
        <v>73.229166666666671</v>
      </c>
    </row>
    <row r="94" spans="1:32" x14ac:dyDescent="0.2">
      <c r="A94" t="str">
        <f>A4</f>
        <v>Unweighted Plan</v>
      </c>
      <c r="B94">
        <f>'Full-SD'!C67</f>
        <v>2.5499999999999998</v>
      </c>
      <c r="C94">
        <f>'Full-SD'!D67</f>
        <v>3.7749999999999999</v>
      </c>
      <c r="D94">
        <f>'Full-SD'!E67</f>
        <v>3.5</v>
      </c>
      <c r="E94">
        <f>'Full-SD'!F67</f>
        <v>3.4750000000000001</v>
      </c>
      <c r="F94">
        <f>'Full-SD'!G67</f>
        <v>5.6749999999999998</v>
      </c>
      <c r="G94">
        <f>'Full-SD'!H67</f>
        <v>5.85</v>
      </c>
      <c r="H94">
        <f>'Full-SD'!I67</f>
        <v>6.3875000000000002</v>
      </c>
      <c r="I94">
        <f>'Full-SD'!J67</f>
        <v>5.1375000000000002</v>
      </c>
      <c r="J94">
        <f>'Full-SD'!K67</f>
        <v>5.0750000000000002</v>
      </c>
      <c r="K94">
        <f>'Full-SD'!L67</f>
        <v>4.1500000000000004</v>
      </c>
      <c r="L94">
        <f>'Full-SD'!M67</f>
        <v>3.45</v>
      </c>
      <c r="M94">
        <f>'Full-SD'!N67</f>
        <v>3.45</v>
      </c>
      <c r="N94">
        <f>'Full-SD'!O67</f>
        <v>3.2625000000000002</v>
      </c>
      <c r="O94">
        <f>'Full-SD'!P67</f>
        <v>3.0375000000000001</v>
      </c>
      <c r="P94">
        <f>'Full-SD'!Q67</f>
        <v>3.0375000000000001</v>
      </c>
      <c r="AA94" t="str">
        <f t="shared" si="18"/>
        <v>% Unweighted Plan</v>
      </c>
      <c r="AB94">
        <f>SUM(B94:D94)/SUM(B92:D92)*100</f>
        <v>81.875</v>
      </c>
      <c r="AC94">
        <f>SUM(E94:G94)/SUM(E92:G92)*100</f>
        <v>125</v>
      </c>
      <c r="AD94">
        <f>SUM(H94:J94)/SUM(H92:J92)*100</f>
        <v>138.33333333333334</v>
      </c>
      <c r="AE94">
        <f>SUM(K94:M94)/SUM(K92:M92)*100</f>
        <v>92.083333333333343</v>
      </c>
      <c r="AF94">
        <f>SUM(N94:P94)/SUM(N92:P92)*100</f>
        <v>77.8125</v>
      </c>
    </row>
    <row r="101" spans="1:32" x14ac:dyDescent="0.2">
      <c r="A101" s="49" t="str">
        <f>SD!A68</f>
        <v>Data Technology</v>
      </c>
      <c r="B101" t="str">
        <f>SD!C61</f>
        <v>APR</v>
      </c>
      <c r="C101" t="str">
        <f>SD!D61</f>
        <v>MAY</v>
      </c>
      <c r="D101" t="str">
        <f>SD!E61</f>
        <v>JUN</v>
      </c>
      <c r="E101" t="str">
        <f>SD!F61</f>
        <v>JUL</v>
      </c>
      <c r="F101" t="str">
        <f>SD!G61</f>
        <v>AUG</v>
      </c>
      <c r="G101" t="str">
        <f>SD!H61</f>
        <v>SEP</v>
      </c>
      <c r="H101" t="str">
        <f>SD!I61</f>
        <v>OCT</v>
      </c>
      <c r="I101" t="str">
        <f>SD!J61</f>
        <v>NOV</v>
      </c>
      <c r="J101" t="str">
        <f>SD!K61</f>
        <v>DEC</v>
      </c>
      <c r="K101" t="str">
        <f>SD!L61</f>
        <v>JAN'27</v>
      </c>
      <c r="L101" t="str">
        <f>SD!M61</f>
        <v>FEB'27</v>
      </c>
      <c r="M101" t="str">
        <f>SD!N61</f>
        <v>MAR'27</v>
      </c>
      <c r="N101" t="str">
        <f>SD!O61</f>
        <v>APR'27</v>
      </c>
      <c r="O101" t="str">
        <f>SD!P61</f>
        <v>MAY'27</v>
      </c>
      <c r="P101" t="str">
        <f>SD!Q61</f>
        <v>JUN'27</v>
      </c>
      <c r="AA101" t="str">
        <f>A101</f>
        <v>Data Technology</v>
      </c>
      <c r="AB101" t="str">
        <f>AB$1</f>
        <v>Q2</v>
      </c>
      <c r="AC101" t="str">
        <f t="shared" ref="AC101:AF101" si="19">AC$1</f>
        <v>Q3</v>
      </c>
      <c r="AD101" t="str">
        <f t="shared" si="19"/>
        <v>Q4</v>
      </c>
      <c r="AE101" t="str">
        <f t="shared" si="19"/>
        <v>Q1'27</v>
      </c>
      <c r="AF101" t="str">
        <f t="shared" si="19"/>
        <v>Q2'27</v>
      </c>
    </row>
    <row r="102" spans="1:32" x14ac:dyDescent="0.2">
      <c r="A102" t="str">
        <f>SD!B68</f>
        <v>Staff</v>
      </c>
      <c r="B102">
        <f>SD!C68</f>
        <v>7</v>
      </c>
      <c r="C102">
        <f>SD!D68</f>
        <v>7</v>
      </c>
      <c r="D102">
        <f>SD!E68</f>
        <v>7</v>
      </c>
      <c r="E102">
        <f>SD!F68</f>
        <v>7</v>
      </c>
      <c r="F102">
        <f>SD!G68</f>
        <v>7</v>
      </c>
      <c r="G102">
        <f>SD!H68</f>
        <v>7</v>
      </c>
      <c r="H102">
        <f>SD!I68</f>
        <v>7</v>
      </c>
      <c r="I102">
        <f>SD!J68</f>
        <v>7</v>
      </c>
      <c r="J102">
        <f>SD!K68</f>
        <v>7</v>
      </c>
      <c r="K102">
        <f>SD!L68</f>
        <v>7</v>
      </c>
      <c r="L102">
        <f>SD!M68</f>
        <v>7</v>
      </c>
      <c r="M102">
        <f>SD!N68</f>
        <v>7</v>
      </c>
      <c r="N102">
        <f>SD!O68</f>
        <v>7</v>
      </c>
      <c r="O102">
        <f>SD!P68</f>
        <v>7</v>
      </c>
      <c r="P102">
        <f>SD!Q68</f>
        <v>7</v>
      </c>
      <c r="AA102" t="str">
        <f>_xlfn.CONCAT("% ",A102)</f>
        <v>% Staff</v>
      </c>
      <c r="AB102">
        <f>SUM(B102:D102)/SUM(B102:D102)*100</f>
        <v>100</v>
      </c>
      <c r="AC102">
        <f>SUM(E102:G102)/SUM(E102:G102)*100</f>
        <v>100</v>
      </c>
      <c r="AD102">
        <f>SUM(H102:J102)/SUM(H102:J102)*100</f>
        <v>100</v>
      </c>
      <c r="AE102">
        <f>SUM(K102:M102)/SUM(K102:M102)*100</f>
        <v>100</v>
      </c>
      <c r="AF102">
        <f>SUM(N102:P102)/SUM(N102:P102)*100</f>
        <v>100</v>
      </c>
    </row>
    <row r="103" spans="1:32" x14ac:dyDescent="0.2">
      <c r="A103" t="str">
        <f>A3</f>
        <v>Weighted Plan</v>
      </c>
      <c r="B103">
        <f>SD!C69</f>
        <v>6.12</v>
      </c>
      <c r="C103">
        <f>SD!D69</f>
        <v>5.7149999999999999</v>
      </c>
      <c r="D103">
        <f>SD!E69</f>
        <v>6.3825000000000003</v>
      </c>
      <c r="E103">
        <f>SD!F69</f>
        <v>5.89</v>
      </c>
      <c r="F103">
        <f>SD!G69</f>
        <v>5.72</v>
      </c>
      <c r="G103">
        <f>SD!H69</f>
        <v>5.5949999999999998</v>
      </c>
      <c r="H103">
        <f>SD!I69</f>
        <v>5.2450000000000001</v>
      </c>
      <c r="I103">
        <f>SD!J69</f>
        <v>5.07</v>
      </c>
      <c r="J103">
        <f>SD!K69</f>
        <v>5.0199999999999996</v>
      </c>
      <c r="K103">
        <f>SD!L69</f>
        <v>4.7050000000000001</v>
      </c>
      <c r="L103">
        <f>SD!M69</f>
        <v>4.5650000000000004</v>
      </c>
      <c r="M103">
        <f>SD!N69</f>
        <v>4.4649999999999999</v>
      </c>
      <c r="N103">
        <f>SD!O69</f>
        <v>4.6050000000000004</v>
      </c>
      <c r="O103">
        <f>SD!P69</f>
        <v>4.4649999999999999</v>
      </c>
      <c r="P103">
        <f>SD!Q69</f>
        <v>4.4649999999999999</v>
      </c>
      <c r="AA103" t="str">
        <f t="shared" ref="AA103:AA104" si="20">_xlfn.CONCAT("% ",A103)</f>
        <v>% Weighted Plan</v>
      </c>
      <c r="AB103">
        <f>SUM(B103:D103)/SUM(B102:D102)*100</f>
        <v>86.75</v>
      </c>
      <c r="AC103">
        <f>SUM(E103:G103)/SUM(E102:G102)*100</f>
        <v>81.928571428571416</v>
      </c>
      <c r="AD103">
        <f>SUM(H103:J103)/SUM(H102:J102)*100</f>
        <v>73.023809523809518</v>
      </c>
      <c r="AE103">
        <f>SUM(K103:M103)/SUM(K102:M102)*100</f>
        <v>65.404761904761898</v>
      </c>
      <c r="AF103">
        <f>SUM(N103:P103)/SUM(N102:P102)*100</f>
        <v>64.452380952380949</v>
      </c>
    </row>
    <row r="104" spans="1:32" x14ac:dyDescent="0.2">
      <c r="A104" t="str">
        <f>A4</f>
        <v>Unweighted Plan</v>
      </c>
      <c r="B104">
        <f>'Full-SD'!C69</f>
        <v>6.2874999999999996</v>
      </c>
      <c r="C104">
        <f>'Full-SD'!D69</f>
        <v>5.9874999999999998</v>
      </c>
      <c r="D104">
        <f>'Full-SD'!E69</f>
        <v>6.6624999999999996</v>
      </c>
      <c r="E104">
        <f>'Full-SD'!F69</f>
        <v>6.25</v>
      </c>
      <c r="F104">
        <f>'Full-SD'!G69</f>
        <v>6.0750000000000002</v>
      </c>
      <c r="G104">
        <f>'Full-SD'!H69</f>
        <v>5.8250000000000002</v>
      </c>
      <c r="H104">
        <f>'Full-SD'!I69</f>
        <v>5.4749999999999996</v>
      </c>
      <c r="I104">
        <f>'Full-SD'!J69</f>
        <v>5.375</v>
      </c>
      <c r="J104">
        <f>'Full-SD'!K69</f>
        <v>5.3250000000000002</v>
      </c>
      <c r="K104">
        <f>'Full-SD'!L69</f>
        <v>4.8250000000000002</v>
      </c>
      <c r="L104">
        <f>'Full-SD'!M69</f>
        <v>4.6749999999999998</v>
      </c>
      <c r="M104">
        <f>'Full-SD'!N69</f>
        <v>4.4749999999999996</v>
      </c>
      <c r="N104">
        <f>'Full-SD'!O69</f>
        <v>4.625</v>
      </c>
      <c r="O104">
        <f>'Full-SD'!P69</f>
        <v>4.4749999999999996</v>
      </c>
      <c r="P104">
        <f>'Full-SD'!Q69</f>
        <v>4.4749999999999996</v>
      </c>
      <c r="AA104" t="str">
        <f t="shared" si="20"/>
        <v>% Unweighted Plan</v>
      </c>
      <c r="AB104">
        <f>SUM(B104:D104)/SUM(B102:D102)*100</f>
        <v>90.178571428571431</v>
      </c>
      <c r="AC104">
        <f>SUM(E104:G104)/SUM(E102:G102)*100</f>
        <v>86.428571428571416</v>
      </c>
      <c r="AD104">
        <f>SUM(H104:J104)/SUM(H102:J102)*100</f>
        <v>77.023809523809533</v>
      </c>
      <c r="AE104">
        <f>SUM(K104:M104)/SUM(K102:M102)*100</f>
        <v>66.547619047619051</v>
      </c>
      <c r="AF104">
        <f>SUM(N104:P104)/SUM(N102:P102)*100</f>
        <v>64.642857142857139</v>
      </c>
    </row>
    <row r="111" spans="1:32" x14ac:dyDescent="0.2">
      <c r="A111" s="49" t="str">
        <f>SD!A74</f>
        <v>Solution Architecture</v>
      </c>
      <c r="B111" t="str">
        <f>SD!C61</f>
        <v>APR</v>
      </c>
      <c r="C111" t="str">
        <f>SD!D61</f>
        <v>MAY</v>
      </c>
      <c r="D111" t="str">
        <f>SD!E61</f>
        <v>JUN</v>
      </c>
      <c r="E111" t="str">
        <f>SD!F61</f>
        <v>JUL</v>
      </c>
      <c r="F111" t="str">
        <f>SD!G61</f>
        <v>AUG</v>
      </c>
      <c r="G111" t="str">
        <f>SD!H61</f>
        <v>SEP</v>
      </c>
      <c r="H111" t="str">
        <f>SD!I61</f>
        <v>OCT</v>
      </c>
      <c r="I111" t="str">
        <f>SD!J61</f>
        <v>NOV</v>
      </c>
      <c r="J111" t="str">
        <f>SD!K61</f>
        <v>DEC</v>
      </c>
      <c r="K111" t="str">
        <f>SD!L61</f>
        <v>JAN'27</v>
      </c>
      <c r="L111" t="str">
        <f>SD!M61</f>
        <v>FEB'27</v>
      </c>
      <c r="M111" t="str">
        <f>SD!N61</f>
        <v>MAR'27</v>
      </c>
      <c r="N111" t="str">
        <f>SD!O61</f>
        <v>APR'27</v>
      </c>
      <c r="O111" t="str">
        <f>SD!P61</f>
        <v>MAY'27</v>
      </c>
      <c r="P111" t="str">
        <f>SD!Q61</f>
        <v>JUN'27</v>
      </c>
      <c r="AA111" t="str">
        <f>A111</f>
        <v>Solution Architecture</v>
      </c>
      <c r="AB111" t="str">
        <f>AB$1</f>
        <v>Q2</v>
      </c>
      <c r="AC111" t="str">
        <f t="shared" ref="AC111:AF111" si="21">AC$1</f>
        <v>Q3</v>
      </c>
      <c r="AD111" t="str">
        <f t="shared" si="21"/>
        <v>Q4</v>
      </c>
      <c r="AE111" t="str">
        <f t="shared" si="21"/>
        <v>Q1'27</v>
      </c>
      <c r="AF111" t="str">
        <f t="shared" si="21"/>
        <v>Q2'27</v>
      </c>
    </row>
    <row r="112" spans="1:32" x14ac:dyDescent="0.2">
      <c r="A112" t="str">
        <f>SD!B74</f>
        <v>Staff</v>
      </c>
      <c r="B112">
        <f>SD!C74</f>
        <v>4</v>
      </c>
      <c r="C112">
        <f>SD!D74</f>
        <v>4</v>
      </c>
      <c r="D112">
        <f>SD!E74</f>
        <v>4</v>
      </c>
      <c r="E112">
        <f>SD!F74</f>
        <v>4</v>
      </c>
      <c r="F112">
        <f>SD!G74</f>
        <v>4</v>
      </c>
      <c r="G112">
        <f>SD!H74</f>
        <v>4</v>
      </c>
      <c r="H112">
        <f>SD!I74</f>
        <v>4</v>
      </c>
      <c r="I112">
        <f>SD!J74</f>
        <v>4</v>
      </c>
      <c r="J112">
        <f>SD!K74</f>
        <v>4</v>
      </c>
      <c r="K112">
        <f>SD!L74</f>
        <v>4</v>
      </c>
      <c r="L112">
        <f>SD!M74</f>
        <v>4</v>
      </c>
      <c r="M112">
        <f>SD!N74</f>
        <v>4</v>
      </c>
      <c r="N112">
        <f>SD!O74</f>
        <v>4</v>
      </c>
      <c r="O112">
        <f>SD!P74</f>
        <v>4</v>
      </c>
      <c r="P112">
        <f>SD!Q74</f>
        <v>4</v>
      </c>
      <c r="AA112" t="str">
        <f>_xlfn.CONCAT("% ",A112)</f>
        <v>% Staff</v>
      </c>
      <c r="AB112">
        <f>SUM(B112:D112)/SUM(B112:D112)*100</f>
        <v>100</v>
      </c>
      <c r="AC112">
        <f>SUM(E112:G112)/SUM(E112:G112)*100</f>
        <v>100</v>
      </c>
      <c r="AD112">
        <f>SUM(H112:J112)/SUM(H112:J112)*100</f>
        <v>100</v>
      </c>
      <c r="AE112">
        <f>SUM(K112:M112)/SUM(K112:M112)*100</f>
        <v>100</v>
      </c>
      <c r="AF112">
        <f>SUM(N112:P112)/SUM(N112:P112)*100</f>
        <v>100</v>
      </c>
    </row>
    <row r="113" spans="1:32" x14ac:dyDescent="0.2">
      <c r="A113" t="str">
        <f>A3</f>
        <v>Weighted Plan</v>
      </c>
      <c r="B113">
        <f>SD!C75</f>
        <v>3.8650000000000002</v>
      </c>
      <c r="C113">
        <f>SD!D75</f>
        <v>3.38</v>
      </c>
      <c r="D113">
        <f>SD!E75</f>
        <v>3.68</v>
      </c>
      <c r="E113">
        <f>SD!F75</f>
        <v>3.81</v>
      </c>
      <c r="F113">
        <f>SD!G75</f>
        <v>3.9874999999999998</v>
      </c>
      <c r="G113">
        <f>SD!H75</f>
        <v>3.5</v>
      </c>
      <c r="H113">
        <f>SD!I75</f>
        <v>3.55</v>
      </c>
      <c r="I113">
        <f>SD!J75</f>
        <v>3.55</v>
      </c>
      <c r="J113">
        <f>SD!K75</f>
        <v>3.4750000000000001</v>
      </c>
      <c r="K113">
        <f>SD!L75</f>
        <v>2.76</v>
      </c>
      <c r="L113">
        <f>SD!M75</f>
        <v>2.76</v>
      </c>
      <c r="M113">
        <f>SD!N75</f>
        <v>2.71</v>
      </c>
      <c r="N113">
        <f>SD!O75</f>
        <v>0.27</v>
      </c>
      <c r="O113">
        <f>SD!P75</f>
        <v>0.22</v>
      </c>
      <c r="P113">
        <f>SD!Q75</f>
        <v>0.22</v>
      </c>
      <c r="AA113" t="str">
        <f t="shared" ref="AA113:AA114" si="22">_xlfn.CONCAT("% ",A113)</f>
        <v>% Weighted Plan</v>
      </c>
      <c r="AB113">
        <f>SUM(B113:D113)/SUM(B112:D112)*100</f>
        <v>91.041666666666671</v>
      </c>
      <c r="AC113">
        <f>SUM(E113:G113)/SUM(E112:G112)*100</f>
        <v>94.145833333333329</v>
      </c>
      <c r="AD113">
        <f>SUM(H113:J113)/SUM(H112:J112)*100</f>
        <v>88.125</v>
      </c>
      <c r="AE113">
        <f>SUM(K113:M113)/SUM(K112:M112)*100</f>
        <v>68.583333333333343</v>
      </c>
      <c r="AF113">
        <f>SUM(N113:P113)/SUM(N112:P112)*100</f>
        <v>5.916666666666667</v>
      </c>
    </row>
    <row r="114" spans="1:32" x14ac:dyDescent="0.2">
      <c r="A114" t="str">
        <f>A4</f>
        <v>Unweighted Plan</v>
      </c>
      <c r="B114">
        <f>'Full-SD'!C75</f>
        <v>4.57</v>
      </c>
      <c r="C114">
        <f>'Full-SD'!D75</f>
        <v>4.01</v>
      </c>
      <c r="D114">
        <f>'Full-SD'!E75</f>
        <v>4.66</v>
      </c>
      <c r="E114">
        <f>'Full-SD'!F75</f>
        <v>4.8899999999999997</v>
      </c>
      <c r="F114">
        <f>'Full-SD'!G75</f>
        <v>4.92</v>
      </c>
      <c r="G114">
        <f>'Full-SD'!H75</f>
        <v>4.37</v>
      </c>
      <c r="H114">
        <f>'Full-SD'!I75</f>
        <v>4.42</v>
      </c>
      <c r="I114">
        <f>'Full-SD'!J75</f>
        <v>4.42</v>
      </c>
      <c r="J114">
        <f>'Full-SD'!K75</f>
        <v>4.2699999999999996</v>
      </c>
      <c r="K114">
        <f>'Full-SD'!L75</f>
        <v>3.52</v>
      </c>
      <c r="L114">
        <f>'Full-SD'!M75</f>
        <v>3.52</v>
      </c>
      <c r="M114">
        <f>'Full-SD'!N75</f>
        <v>3.42</v>
      </c>
      <c r="N114">
        <f>'Full-SD'!O75</f>
        <v>0.52</v>
      </c>
      <c r="O114">
        <f>'Full-SD'!P75</f>
        <v>0.42</v>
      </c>
      <c r="P114">
        <f>'Full-SD'!Q75</f>
        <v>0.42</v>
      </c>
      <c r="AA114" t="str">
        <f t="shared" si="22"/>
        <v>% Unweighted Plan</v>
      </c>
      <c r="AB114">
        <f>SUM(B114:D114)/SUM(B112:D112)*100</f>
        <v>110.33333333333333</v>
      </c>
      <c r="AC114">
        <f>SUM(E114:G114)/SUM(E112:G112)*100</f>
        <v>118.16666666666666</v>
      </c>
      <c r="AD114">
        <f>SUM(H114:J114)/SUM(H112:J112)*100</f>
        <v>109.25</v>
      </c>
      <c r="AE114">
        <f>SUM(K114:M114)/SUM(K112:M112)*100</f>
        <v>87.166666666666671</v>
      </c>
      <c r="AF114">
        <f>SUM(N114:P114)/SUM(N112:P112)*100</f>
        <v>11.333333333333332</v>
      </c>
    </row>
    <row r="121" spans="1:32" x14ac:dyDescent="0.2">
      <c r="A121" s="49" t="str">
        <f>SD!A76</f>
        <v>Site Reliability Engineering</v>
      </c>
      <c r="B121" t="str">
        <f>SD!C61</f>
        <v>APR</v>
      </c>
      <c r="C121" t="str">
        <f>SD!D61</f>
        <v>MAY</v>
      </c>
      <c r="D121" t="str">
        <f>SD!E61</f>
        <v>JUN</v>
      </c>
      <c r="E121" t="str">
        <f>SD!F61</f>
        <v>JUL</v>
      </c>
      <c r="F121" t="str">
        <f>SD!G61</f>
        <v>AUG</v>
      </c>
      <c r="G121" t="str">
        <f>SD!H61</f>
        <v>SEP</v>
      </c>
      <c r="H121" t="str">
        <f>SD!I61</f>
        <v>OCT</v>
      </c>
      <c r="I121" t="str">
        <f>SD!J61</f>
        <v>NOV</v>
      </c>
      <c r="J121" t="str">
        <f>SD!K61</f>
        <v>DEC</v>
      </c>
      <c r="K121" t="str">
        <f>SD!L61</f>
        <v>JAN'27</v>
      </c>
      <c r="L121" t="str">
        <f>SD!M61</f>
        <v>FEB'27</v>
      </c>
      <c r="M121" t="str">
        <f>SD!N61</f>
        <v>MAR'27</v>
      </c>
      <c r="N121" t="str">
        <f>SD!O61</f>
        <v>APR'27</v>
      </c>
      <c r="O121" t="str">
        <f>SD!P61</f>
        <v>MAY'27</v>
      </c>
      <c r="P121" t="str">
        <f>SD!Q61</f>
        <v>JUN'27</v>
      </c>
      <c r="AA121" t="str">
        <f>A121</f>
        <v>Site Reliability Engineering</v>
      </c>
      <c r="AB121" t="str">
        <f>AB$1</f>
        <v>Q2</v>
      </c>
      <c r="AC121" t="str">
        <f t="shared" ref="AC121:AF121" si="23">AC$1</f>
        <v>Q3</v>
      </c>
      <c r="AD121" t="str">
        <f t="shared" si="23"/>
        <v>Q4</v>
      </c>
      <c r="AE121" t="str">
        <f t="shared" si="23"/>
        <v>Q1'27</v>
      </c>
      <c r="AF121" t="str">
        <f t="shared" si="23"/>
        <v>Q2'27</v>
      </c>
    </row>
    <row r="122" spans="1:32" x14ac:dyDescent="0.2">
      <c r="A122" t="str">
        <f>SD!B76</f>
        <v>Staff</v>
      </c>
      <c r="B122">
        <f>SD!C76</f>
        <v>2</v>
      </c>
      <c r="C122">
        <f>SD!D76</f>
        <v>2</v>
      </c>
      <c r="D122">
        <f>SD!E76</f>
        <v>2</v>
      </c>
      <c r="E122">
        <f>SD!F76</f>
        <v>3</v>
      </c>
      <c r="F122">
        <f>SD!G76</f>
        <v>3</v>
      </c>
      <c r="G122">
        <f>SD!H76</f>
        <v>3</v>
      </c>
      <c r="H122">
        <f>SD!I76</f>
        <v>3</v>
      </c>
      <c r="I122">
        <f>SD!J76</f>
        <v>3</v>
      </c>
      <c r="J122">
        <f>SD!K76</f>
        <v>3</v>
      </c>
      <c r="K122">
        <f>SD!L76</f>
        <v>3</v>
      </c>
      <c r="L122">
        <f>SD!M76</f>
        <v>3</v>
      </c>
      <c r="M122">
        <f>SD!N76</f>
        <v>3</v>
      </c>
      <c r="N122">
        <f>SD!O76</f>
        <v>3</v>
      </c>
      <c r="O122">
        <f>SD!P76</f>
        <v>3</v>
      </c>
      <c r="P122">
        <f>SD!Q76</f>
        <v>3</v>
      </c>
      <c r="AA122" t="str">
        <f>_xlfn.CONCAT("% ",A122)</f>
        <v>% Staff</v>
      </c>
      <c r="AB122">
        <f>SUM(B122:D122)/SUM(B122:D122)*100</f>
        <v>100</v>
      </c>
      <c r="AC122">
        <f>SUM(E122:G122)/SUM(E122:G122)*100</f>
        <v>100</v>
      </c>
      <c r="AD122">
        <f>SUM(H122:J122)/SUM(H122:J122)*100</f>
        <v>100</v>
      </c>
      <c r="AE122">
        <f>SUM(K122:M122)/SUM(K122:M122)*100</f>
        <v>100</v>
      </c>
      <c r="AF122">
        <f>SUM(N122:P122)/SUM(N122:P122)*100</f>
        <v>100</v>
      </c>
    </row>
    <row r="123" spans="1:32" x14ac:dyDescent="0.2">
      <c r="A123" t="str">
        <f>A3</f>
        <v>Weighted Plan</v>
      </c>
      <c r="B123">
        <f>SD!C77</f>
        <v>2.5550000000000002</v>
      </c>
      <c r="C123">
        <f>SD!D77</f>
        <v>2.585</v>
      </c>
      <c r="D123">
        <f>SD!E77</f>
        <v>2.2149999999999999</v>
      </c>
      <c r="E123">
        <f>SD!F77</f>
        <v>2.2625000000000002</v>
      </c>
      <c r="F123">
        <f>SD!G77</f>
        <v>2.2625000000000002</v>
      </c>
      <c r="G123">
        <f>SD!H77</f>
        <v>2.2925</v>
      </c>
      <c r="H123">
        <f>SD!I77</f>
        <v>2.355</v>
      </c>
      <c r="I123">
        <f>SD!J77</f>
        <v>2.2050000000000001</v>
      </c>
      <c r="J123">
        <f>SD!K77</f>
        <v>2.2050000000000001</v>
      </c>
      <c r="K123">
        <f>SD!L77</f>
        <v>0.82499999999999996</v>
      </c>
      <c r="L123">
        <f>SD!M77</f>
        <v>0.82499999999999996</v>
      </c>
      <c r="M123">
        <f>SD!N77</f>
        <v>0.82499999999999996</v>
      </c>
      <c r="N123">
        <f>SD!O77</f>
        <v>0.57499999999999996</v>
      </c>
      <c r="O123">
        <f>SD!P77</f>
        <v>0.57499999999999996</v>
      </c>
      <c r="P123">
        <f>SD!Q77</f>
        <v>0.57499999999999996</v>
      </c>
      <c r="AA123" t="str">
        <f t="shared" ref="AA123:AA124" si="24">_xlfn.CONCAT("% ",A123)</f>
        <v>% Weighted Plan</v>
      </c>
      <c r="AB123">
        <f>SUM(B123:D123)/SUM(B122:D122)*100</f>
        <v>122.58333333333333</v>
      </c>
      <c r="AC123">
        <f>SUM(E123:G123)/SUM(E122:G122)*100</f>
        <v>75.75</v>
      </c>
      <c r="AD123">
        <f>SUM(H123:J123)/SUM(H122:J122)*100</f>
        <v>75.166666666666671</v>
      </c>
      <c r="AE123">
        <f>SUM(K123:M123)/SUM(K122:M122)*100</f>
        <v>27.499999999999996</v>
      </c>
      <c r="AF123">
        <f>SUM(N123:P123)/SUM(N122:P122)*100</f>
        <v>19.166666666666664</v>
      </c>
    </row>
    <row r="124" spans="1:32" x14ac:dyDescent="0.2">
      <c r="A124" t="str">
        <f>A4</f>
        <v>Unweighted Plan</v>
      </c>
      <c r="B124">
        <f>'Full-SD'!C77</f>
        <v>2.94</v>
      </c>
      <c r="C124">
        <f>'Full-SD'!D77</f>
        <v>3.01</v>
      </c>
      <c r="D124">
        <f>'Full-SD'!E77</f>
        <v>2.65</v>
      </c>
      <c r="E124">
        <f>'Full-SD'!F77</f>
        <v>2.82</v>
      </c>
      <c r="F124">
        <f>'Full-SD'!G77</f>
        <v>2.82</v>
      </c>
      <c r="G124">
        <f>'Full-SD'!H77</f>
        <v>2.75</v>
      </c>
      <c r="H124">
        <f>'Full-SD'!I77</f>
        <v>2.8</v>
      </c>
      <c r="I124">
        <f>'Full-SD'!J77</f>
        <v>2.5499999999999998</v>
      </c>
      <c r="J124">
        <f>'Full-SD'!K77</f>
        <v>2.5499999999999998</v>
      </c>
      <c r="K124">
        <f>'Full-SD'!L77</f>
        <v>1.08</v>
      </c>
      <c r="L124">
        <f>'Full-SD'!M77</f>
        <v>0.98</v>
      </c>
      <c r="M124">
        <f>'Full-SD'!N77</f>
        <v>0.98</v>
      </c>
      <c r="N124">
        <f>'Full-SD'!O77</f>
        <v>0.73</v>
      </c>
      <c r="O124">
        <f>'Full-SD'!P77</f>
        <v>0.73</v>
      </c>
      <c r="P124">
        <f>'Full-SD'!Q77</f>
        <v>0.73</v>
      </c>
      <c r="AA124" t="str">
        <f t="shared" si="24"/>
        <v>% Unweighted Plan</v>
      </c>
      <c r="AB124">
        <f>SUM(B124:D124)/SUM(B122:D122)*100</f>
        <v>143.33333333333334</v>
      </c>
      <c r="AC124">
        <f>SUM(E124:G124)/SUM(E122:G122)*100</f>
        <v>93.222222222222229</v>
      </c>
      <c r="AD124">
        <f>SUM(H124:J124)/SUM(H122:J122)*100</f>
        <v>87.777777777777771</v>
      </c>
      <c r="AE124">
        <f>SUM(K124:M124)/SUM(K122:M122)*100</f>
        <v>33.777777777777779</v>
      </c>
      <c r="AF124">
        <f>SUM(N124:P124)/SUM(N122:P122)*100</f>
        <v>24.333333333333332</v>
      </c>
    </row>
    <row r="131" spans="1:32" x14ac:dyDescent="0.2">
      <c r="A131" s="49" t="str">
        <f>SD!A78</f>
        <v>Cyber Security</v>
      </c>
      <c r="B131" t="str">
        <f>SD!C61</f>
        <v>APR</v>
      </c>
      <c r="C131" t="str">
        <f>SD!D61</f>
        <v>MAY</v>
      </c>
      <c r="D131" t="str">
        <f>SD!E61</f>
        <v>JUN</v>
      </c>
      <c r="E131" t="str">
        <f>SD!F61</f>
        <v>JUL</v>
      </c>
      <c r="F131" t="str">
        <f>SD!G61</f>
        <v>AUG</v>
      </c>
      <c r="G131" t="str">
        <f>SD!H61</f>
        <v>SEP</v>
      </c>
      <c r="H131" t="str">
        <f>SD!I61</f>
        <v>OCT</v>
      </c>
      <c r="I131" t="str">
        <f>SD!J61</f>
        <v>NOV</v>
      </c>
      <c r="J131" t="str">
        <f>SD!K61</f>
        <v>DEC</v>
      </c>
      <c r="K131" t="str">
        <f>SD!L61</f>
        <v>JAN'27</v>
      </c>
      <c r="L131" t="str">
        <f>SD!M61</f>
        <v>FEB'27</v>
      </c>
      <c r="M131" t="str">
        <f>SD!N61</f>
        <v>MAR'27</v>
      </c>
      <c r="N131" t="str">
        <f>SD!O61</f>
        <v>APR'27</v>
      </c>
      <c r="O131" t="str">
        <f>SD!P61</f>
        <v>MAY'27</v>
      </c>
      <c r="P131" t="str">
        <f>SD!Q61</f>
        <v>JUN'27</v>
      </c>
      <c r="AA131" t="str">
        <f>A131</f>
        <v>Cyber Security</v>
      </c>
      <c r="AB131" t="str">
        <f>AB$1</f>
        <v>Q2</v>
      </c>
      <c r="AC131" t="str">
        <f t="shared" ref="AC131:AF131" si="25">AC$1</f>
        <v>Q3</v>
      </c>
      <c r="AD131" t="str">
        <f t="shared" si="25"/>
        <v>Q4</v>
      </c>
      <c r="AE131" t="str">
        <f t="shared" si="25"/>
        <v>Q1'27</v>
      </c>
      <c r="AF131" t="str">
        <f t="shared" si="25"/>
        <v>Q2'27</v>
      </c>
    </row>
    <row r="132" spans="1:32" x14ac:dyDescent="0.2">
      <c r="A132" t="str">
        <f>SD!B78</f>
        <v>Staff</v>
      </c>
      <c r="B132">
        <f>SD!C78</f>
        <v>3</v>
      </c>
      <c r="C132">
        <f>SD!D78</f>
        <v>3</v>
      </c>
      <c r="D132">
        <f>SD!E78</f>
        <v>3</v>
      </c>
      <c r="E132">
        <f>SD!F78</f>
        <v>3</v>
      </c>
      <c r="F132">
        <f>SD!G78</f>
        <v>3</v>
      </c>
      <c r="G132">
        <f>SD!H78</f>
        <v>3</v>
      </c>
      <c r="H132">
        <f>SD!I78</f>
        <v>3</v>
      </c>
      <c r="I132">
        <f>SD!J78</f>
        <v>3</v>
      </c>
      <c r="J132">
        <f>SD!K78</f>
        <v>3</v>
      </c>
      <c r="K132">
        <f>SD!L78</f>
        <v>3</v>
      </c>
      <c r="L132">
        <f>SD!M78</f>
        <v>3</v>
      </c>
      <c r="M132">
        <f>SD!N78</f>
        <v>3</v>
      </c>
      <c r="N132">
        <f>SD!O78</f>
        <v>3</v>
      </c>
      <c r="O132">
        <f>SD!P78</f>
        <v>3</v>
      </c>
      <c r="P132">
        <f>SD!Q78</f>
        <v>3</v>
      </c>
      <c r="AA132" t="str">
        <f>_xlfn.CONCAT("% ",A132)</f>
        <v>% Staff</v>
      </c>
      <c r="AB132">
        <f>SUM(B132:D132)/SUM(B132:D132)*100</f>
        <v>100</v>
      </c>
      <c r="AC132">
        <f>SUM(E132:G132)/SUM(E132:G132)*100</f>
        <v>100</v>
      </c>
      <c r="AD132">
        <f>SUM(H132:J132)/SUM(H132:J132)*100</f>
        <v>100</v>
      </c>
      <c r="AE132">
        <f>SUM(K132:M132)/SUM(K132:M132)*100</f>
        <v>100</v>
      </c>
      <c r="AF132">
        <f>SUM(N132:P132)/SUM(N132:P132)*100</f>
        <v>100</v>
      </c>
    </row>
    <row r="133" spans="1:32" x14ac:dyDescent="0.2">
      <c r="A133" t="str">
        <f>A3</f>
        <v>Weighted Plan</v>
      </c>
      <c r="B133">
        <f>SD!C79</f>
        <v>2.85</v>
      </c>
      <c r="C133">
        <f>SD!D79</f>
        <v>3.35</v>
      </c>
      <c r="D133">
        <f>SD!E79</f>
        <v>2.5125000000000002</v>
      </c>
      <c r="E133">
        <f>SD!F79</f>
        <v>2.1575000000000002</v>
      </c>
      <c r="F133">
        <f>SD!G79</f>
        <v>2.1324999999999998</v>
      </c>
      <c r="G133">
        <f>SD!H79</f>
        <v>2.1324999999999998</v>
      </c>
      <c r="H133">
        <f>SD!I79</f>
        <v>2.1324999999999998</v>
      </c>
      <c r="I133">
        <f>SD!J79</f>
        <v>2.1324999999999998</v>
      </c>
      <c r="J133">
        <f>SD!K79</f>
        <v>1.8325</v>
      </c>
      <c r="K133">
        <f>SD!L79</f>
        <v>1.3125</v>
      </c>
      <c r="L133">
        <f>SD!M79</f>
        <v>1.3125</v>
      </c>
      <c r="M133">
        <f>SD!N79</f>
        <v>1.3125</v>
      </c>
      <c r="N133">
        <f>SD!O79</f>
        <v>0.51249999999999996</v>
      </c>
      <c r="O133">
        <f>SD!P79</f>
        <v>0.51249999999999996</v>
      </c>
      <c r="P133">
        <f>SD!Q79</f>
        <v>0.51249999999999996</v>
      </c>
      <c r="AA133" t="str">
        <f t="shared" ref="AA133:AA134" si="26">_xlfn.CONCAT("% ",A133)</f>
        <v>% Weighted Plan</v>
      </c>
      <c r="AB133">
        <f>SUM(B133:D133)/SUM(B132:D132)*100</f>
        <v>96.805555555555557</v>
      </c>
      <c r="AC133">
        <f>SUM(E133:G133)/SUM(E132:G132)*100</f>
        <v>71.361111111111114</v>
      </c>
      <c r="AD133">
        <f>SUM(H133:J133)/SUM(H132:J132)*100</f>
        <v>67.75</v>
      </c>
      <c r="AE133">
        <f>SUM(K133:M133)/SUM(K132:M132)*100</f>
        <v>43.75</v>
      </c>
      <c r="AF133">
        <f>SUM(N133:P133)/SUM(N132:P132)*100</f>
        <v>17.083333333333332</v>
      </c>
    </row>
    <row r="134" spans="1:32" x14ac:dyDescent="0.2">
      <c r="A134" t="str">
        <f>A4</f>
        <v>Unweighted Plan</v>
      </c>
      <c r="B134">
        <f>'Full-SD'!C79</f>
        <v>2.9</v>
      </c>
      <c r="C134">
        <f>'Full-SD'!D79</f>
        <v>3.375</v>
      </c>
      <c r="D134">
        <f>'Full-SD'!E79</f>
        <v>2.6749999999999998</v>
      </c>
      <c r="E134">
        <f>'Full-SD'!F79</f>
        <v>2.52</v>
      </c>
      <c r="F134">
        <f>'Full-SD'!G79</f>
        <v>2.4700000000000002</v>
      </c>
      <c r="G134">
        <f>'Full-SD'!H79</f>
        <v>2.42</v>
      </c>
      <c r="H134">
        <f>'Full-SD'!I79</f>
        <v>2.42</v>
      </c>
      <c r="I134">
        <f>'Full-SD'!J79</f>
        <v>2.42</v>
      </c>
      <c r="J134">
        <f>'Full-SD'!K79</f>
        <v>2.12</v>
      </c>
      <c r="K134">
        <f>'Full-SD'!L79</f>
        <v>1.6</v>
      </c>
      <c r="L134">
        <f>'Full-SD'!M79</f>
        <v>1.6</v>
      </c>
      <c r="M134">
        <f>'Full-SD'!N79</f>
        <v>1.6</v>
      </c>
      <c r="N134">
        <f>'Full-SD'!O79</f>
        <v>0.8</v>
      </c>
      <c r="O134">
        <f>'Full-SD'!P79</f>
        <v>0.8</v>
      </c>
      <c r="P134">
        <f>'Full-SD'!Q79</f>
        <v>0.8</v>
      </c>
      <c r="AA134" t="str">
        <f t="shared" si="26"/>
        <v>% Unweighted Plan</v>
      </c>
      <c r="AB134">
        <f>SUM(B134:D134)/SUM(B132:D132)*100</f>
        <v>99.444444444444429</v>
      </c>
      <c r="AC134">
        <f>SUM(E134:G134)/SUM(E132:G132)*100</f>
        <v>82.333333333333343</v>
      </c>
      <c r="AD134">
        <f>SUM(H134:J134)/SUM(H132:J132)*100</f>
        <v>77.333333333333329</v>
      </c>
      <c r="AE134">
        <f>SUM(K134:M134)/SUM(K132:M132)*100</f>
        <v>53.333333333333343</v>
      </c>
      <c r="AF134">
        <f>SUM(N134:P134)/SUM(N132:P132)*100</f>
        <v>26.666666666666671</v>
      </c>
    </row>
    <row r="141" spans="1:32" x14ac:dyDescent="0.2">
      <c r="A141" s="49" t="str">
        <f>SD!A80</f>
        <v>Project Management</v>
      </c>
      <c r="B141" t="str">
        <f>SD!C61</f>
        <v>APR</v>
      </c>
      <c r="C141" t="str">
        <f>SD!D61</f>
        <v>MAY</v>
      </c>
      <c r="D141" t="str">
        <f>SD!E61</f>
        <v>JUN</v>
      </c>
      <c r="E141" t="str">
        <f>SD!F61</f>
        <v>JUL</v>
      </c>
      <c r="F141" t="str">
        <f>SD!G61</f>
        <v>AUG</v>
      </c>
      <c r="G141" t="str">
        <f>SD!H61</f>
        <v>SEP</v>
      </c>
      <c r="H141" t="str">
        <f>SD!I61</f>
        <v>OCT</v>
      </c>
      <c r="I141" t="str">
        <f>SD!J61</f>
        <v>NOV</v>
      </c>
      <c r="J141" t="str">
        <f>SD!K61</f>
        <v>DEC</v>
      </c>
      <c r="K141" t="str">
        <f>SD!L61</f>
        <v>JAN'27</v>
      </c>
      <c r="L141" t="str">
        <f>SD!M61</f>
        <v>FEB'27</v>
      </c>
      <c r="M141" t="str">
        <f>SD!N61</f>
        <v>MAR'27</v>
      </c>
      <c r="N141" t="str">
        <f>SD!O61</f>
        <v>APR'27</v>
      </c>
      <c r="O141" t="str">
        <f>SD!P61</f>
        <v>MAY'27</v>
      </c>
      <c r="P141" t="str">
        <f>SD!Q61</f>
        <v>JUN'27</v>
      </c>
      <c r="AA141" t="str">
        <f>A141</f>
        <v>Project Management</v>
      </c>
      <c r="AB141" t="str">
        <f>AB$1</f>
        <v>Q2</v>
      </c>
      <c r="AC141" t="str">
        <f t="shared" ref="AC141:AF141" si="27">AC$1</f>
        <v>Q3</v>
      </c>
      <c r="AD141" t="str">
        <f t="shared" si="27"/>
        <v>Q4</v>
      </c>
      <c r="AE141" t="str">
        <f t="shared" si="27"/>
        <v>Q1'27</v>
      </c>
      <c r="AF141" t="str">
        <f t="shared" si="27"/>
        <v>Q2'27</v>
      </c>
    </row>
    <row r="142" spans="1:32" x14ac:dyDescent="0.2">
      <c r="A142" t="str">
        <f>SD!B80</f>
        <v>Staff</v>
      </c>
      <c r="B142">
        <f>SD!C80</f>
        <v>4</v>
      </c>
      <c r="C142">
        <f>SD!D80</f>
        <v>4</v>
      </c>
      <c r="D142">
        <f>SD!E80</f>
        <v>4</v>
      </c>
      <c r="E142">
        <f>SD!F80</f>
        <v>4</v>
      </c>
      <c r="F142">
        <f>SD!G80</f>
        <v>4</v>
      </c>
      <c r="G142">
        <f>SD!H80</f>
        <v>4</v>
      </c>
      <c r="H142">
        <f>SD!I80</f>
        <v>4</v>
      </c>
      <c r="I142">
        <f>SD!J80</f>
        <v>4</v>
      </c>
      <c r="J142">
        <f>SD!K80</f>
        <v>4</v>
      </c>
      <c r="K142">
        <f>SD!L80</f>
        <v>4</v>
      </c>
      <c r="L142">
        <f>SD!M80</f>
        <v>4</v>
      </c>
      <c r="M142">
        <f>SD!N80</f>
        <v>4</v>
      </c>
      <c r="N142">
        <f>SD!O80</f>
        <v>4</v>
      </c>
      <c r="O142">
        <f>SD!P80</f>
        <v>4</v>
      </c>
      <c r="P142">
        <f>SD!Q80</f>
        <v>4</v>
      </c>
      <c r="AA142" t="str">
        <f>_xlfn.CONCAT("% ",A142)</f>
        <v>% Staff</v>
      </c>
      <c r="AB142">
        <f>SUM(B142:D142)/SUM(B142:D142)*100</f>
        <v>100</v>
      </c>
      <c r="AC142">
        <f>SUM(E142:G142)/SUM(E142:G142)*100</f>
        <v>100</v>
      </c>
      <c r="AD142">
        <f>SUM(H142:J142)/SUM(H142:J142)*100</f>
        <v>100</v>
      </c>
      <c r="AE142">
        <f>SUM(K142:M142)/SUM(K142:M142)*100</f>
        <v>100</v>
      </c>
      <c r="AF142">
        <f>SUM(N142:P142)/SUM(N142:P142)*100</f>
        <v>100</v>
      </c>
    </row>
    <row r="143" spans="1:32" x14ac:dyDescent="0.2">
      <c r="A143" t="str">
        <f>A3</f>
        <v>Weighted Plan</v>
      </c>
      <c r="B143">
        <f>SD!C81</f>
        <v>3.5</v>
      </c>
      <c r="C143">
        <f>SD!D81</f>
        <v>3.53</v>
      </c>
      <c r="D143">
        <f>SD!E81</f>
        <v>3.48</v>
      </c>
      <c r="E143">
        <f>SD!F81</f>
        <v>3.0550000000000002</v>
      </c>
      <c r="F143">
        <f>SD!G81</f>
        <v>3.9049999999999998</v>
      </c>
      <c r="G143">
        <f>SD!H81</f>
        <v>3.9925000000000002</v>
      </c>
      <c r="H143">
        <f>SD!I81</f>
        <v>4.4450000000000003</v>
      </c>
      <c r="I143">
        <f>SD!J81</f>
        <v>4.0949999999999998</v>
      </c>
      <c r="J143">
        <f>SD!K81</f>
        <v>3.57</v>
      </c>
      <c r="K143">
        <f>SD!L81</f>
        <v>2.1124999999999998</v>
      </c>
      <c r="L143">
        <f>SD!M81</f>
        <v>1.7875000000000001</v>
      </c>
      <c r="M143">
        <f>SD!N81</f>
        <v>1.4875</v>
      </c>
      <c r="N143">
        <f>SD!O81</f>
        <v>0.9375</v>
      </c>
      <c r="O143">
        <f>SD!P81</f>
        <v>0.78749999999999998</v>
      </c>
      <c r="P143">
        <f>SD!Q81</f>
        <v>0.78749999999999998</v>
      </c>
      <c r="AA143" t="str">
        <f t="shared" ref="AA143:AA144" si="28">_xlfn.CONCAT("% ",A143)</f>
        <v>% Weighted Plan</v>
      </c>
      <c r="AB143">
        <f>SUM(B143:D143)/SUM(B142:D142)*100</f>
        <v>87.583333333333329</v>
      </c>
      <c r="AC143">
        <f>SUM(E143:G143)/SUM(E142:G142)*100</f>
        <v>91.270833333333329</v>
      </c>
      <c r="AD143">
        <f>SUM(H143:J143)/SUM(H142:J142)*100</f>
        <v>100.91666666666666</v>
      </c>
      <c r="AE143">
        <f>SUM(K143:M143)/SUM(K142:M142)*100</f>
        <v>44.895833333333336</v>
      </c>
      <c r="AF143">
        <f>SUM(N143:P143)/SUM(N142:P142)*100</f>
        <v>20.9375</v>
      </c>
    </row>
    <row r="144" spans="1:32" x14ac:dyDescent="0.2">
      <c r="A144" t="str">
        <f>A4</f>
        <v>Unweighted Plan</v>
      </c>
      <c r="B144">
        <f>'Full-SD'!C81</f>
        <v>3.6</v>
      </c>
      <c r="C144">
        <f>'Full-SD'!D81</f>
        <v>3.67</v>
      </c>
      <c r="D144">
        <f>'Full-SD'!E81</f>
        <v>3.62</v>
      </c>
      <c r="E144">
        <f>'Full-SD'!F81</f>
        <v>3.87</v>
      </c>
      <c r="F144">
        <f>'Full-SD'!G81</f>
        <v>5.0199999999999996</v>
      </c>
      <c r="G144">
        <f>'Full-SD'!H81</f>
        <v>5.22</v>
      </c>
      <c r="H144">
        <f>'Full-SD'!I81</f>
        <v>6.07</v>
      </c>
      <c r="I144">
        <f>'Full-SD'!J81</f>
        <v>5.97</v>
      </c>
      <c r="J144">
        <f>'Full-SD'!K81</f>
        <v>5.47</v>
      </c>
      <c r="K144">
        <f>'Full-SD'!L81</f>
        <v>3.7</v>
      </c>
      <c r="L144">
        <f>'Full-SD'!M81</f>
        <v>3.15</v>
      </c>
      <c r="M144">
        <f>'Full-SD'!N81</f>
        <v>2.4500000000000002</v>
      </c>
      <c r="N144">
        <f>'Full-SD'!O81</f>
        <v>1.65</v>
      </c>
      <c r="O144">
        <f>'Full-SD'!P81</f>
        <v>1.1499999999999999</v>
      </c>
      <c r="P144">
        <f>'Full-SD'!Q81</f>
        <v>1.1499999999999999</v>
      </c>
      <c r="AA144" t="str">
        <f t="shared" si="28"/>
        <v>% Unweighted Plan</v>
      </c>
      <c r="AB144">
        <f>SUM(B144:D144)/SUM(B142:D142)*100</f>
        <v>90.750000000000014</v>
      </c>
      <c r="AC144">
        <f>SUM(E144:G144)/SUM(E142:G142)*100</f>
        <v>117.58333333333333</v>
      </c>
      <c r="AD144">
        <f>SUM(H144:J144)/SUM(H142:J142)*100</f>
        <v>145.91666666666666</v>
      </c>
      <c r="AE144">
        <f>SUM(K144:M144)/SUM(K142:M142)*100</f>
        <v>77.5</v>
      </c>
      <c r="AF144">
        <f>SUM(N144:P144)/SUM(N142:P142)*100</f>
        <v>32.916666666666664</v>
      </c>
    </row>
    <row r="151" spans="1:32" x14ac:dyDescent="0.2">
      <c r="A151" s="49" t="str">
        <f>SD!A82</f>
        <v>Technology Analyst</v>
      </c>
      <c r="B151" t="str">
        <f>SD!C61</f>
        <v>APR</v>
      </c>
      <c r="C151" t="str">
        <f>SD!D61</f>
        <v>MAY</v>
      </c>
      <c r="D151" t="str">
        <f>SD!E61</f>
        <v>JUN</v>
      </c>
      <c r="E151" t="str">
        <f>SD!F61</f>
        <v>JUL</v>
      </c>
      <c r="F151" t="str">
        <f>SD!G61</f>
        <v>AUG</v>
      </c>
      <c r="G151" t="str">
        <f>SD!H61</f>
        <v>SEP</v>
      </c>
      <c r="H151" t="str">
        <f>SD!I61</f>
        <v>OCT</v>
      </c>
      <c r="I151" t="str">
        <f>SD!J61</f>
        <v>NOV</v>
      </c>
      <c r="J151" t="str">
        <f>SD!K61</f>
        <v>DEC</v>
      </c>
      <c r="K151" t="str">
        <f>SD!L61</f>
        <v>JAN'27</v>
      </c>
      <c r="L151" t="str">
        <f>SD!M61</f>
        <v>FEB'27</v>
      </c>
      <c r="M151" t="str">
        <f>SD!N61</f>
        <v>MAR'27</v>
      </c>
      <c r="N151" t="str">
        <f>SD!O61</f>
        <v>APR'27</v>
      </c>
      <c r="O151" t="str">
        <f>SD!P61</f>
        <v>MAY'27</v>
      </c>
      <c r="P151" t="str">
        <f>SD!Q61</f>
        <v>JUN'27</v>
      </c>
      <c r="AA151" t="str">
        <f>A151</f>
        <v>Technology Analyst</v>
      </c>
      <c r="AB151" t="str">
        <f>AB$1</f>
        <v>Q2</v>
      </c>
      <c r="AC151" t="str">
        <f t="shared" ref="AC151:AF151" si="29">AC$1</f>
        <v>Q3</v>
      </c>
      <c r="AD151" t="str">
        <f t="shared" si="29"/>
        <v>Q4</v>
      </c>
      <c r="AE151" t="str">
        <f t="shared" si="29"/>
        <v>Q1'27</v>
      </c>
      <c r="AF151" t="str">
        <f t="shared" si="29"/>
        <v>Q2'27</v>
      </c>
    </row>
    <row r="152" spans="1:32" x14ac:dyDescent="0.2">
      <c r="A152" t="str">
        <f>SD!B82</f>
        <v>Staff</v>
      </c>
      <c r="B152">
        <f>SD!C82</f>
        <v>5</v>
      </c>
      <c r="C152">
        <f>SD!D82</f>
        <v>6</v>
      </c>
      <c r="D152">
        <f>SD!E82</f>
        <v>5</v>
      </c>
      <c r="E152">
        <f>SD!F82</f>
        <v>5</v>
      </c>
      <c r="F152">
        <f>SD!G82</f>
        <v>5</v>
      </c>
      <c r="G152">
        <f>SD!H82</f>
        <v>5</v>
      </c>
      <c r="H152">
        <f>SD!I82</f>
        <v>5</v>
      </c>
      <c r="I152">
        <f>SD!J82</f>
        <v>5</v>
      </c>
      <c r="J152">
        <f>SD!K82</f>
        <v>5</v>
      </c>
      <c r="K152">
        <f>SD!L82</f>
        <v>5</v>
      </c>
      <c r="L152">
        <f>SD!M82</f>
        <v>5</v>
      </c>
      <c r="M152">
        <f>SD!N82</f>
        <v>5</v>
      </c>
      <c r="N152">
        <f>SD!O82</f>
        <v>5</v>
      </c>
      <c r="O152">
        <f>SD!P82</f>
        <v>5</v>
      </c>
      <c r="P152">
        <f>SD!Q82</f>
        <v>5</v>
      </c>
      <c r="AA152" t="str">
        <f>_xlfn.CONCAT("% ",A152)</f>
        <v>% Staff</v>
      </c>
      <c r="AB152">
        <f>SUM(B152:D152)/SUM(B152:D152)*100</f>
        <v>100</v>
      </c>
      <c r="AC152">
        <f>SUM(E152:G152)/SUM(E152:G152)*100</f>
        <v>100</v>
      </c>
      <c r="AD152">
        <f>SUM(H152:J152)/SUM(H152:J152)*100</f>
        <v>100</v>
      </c>
      <c r="AE152">
        <f>SUM(K152:M152)/SUM(K152:M152)*100</f>
        <v>100</v>
      </c>
      <c r="AF152">
        <f>SUM(N152:P152)/SUM(N152:P152)*100</f>
        <v>100</v>
      </c>
    </row>
    <row r="153" spans="1:32" x14ac:dyDescent="0.2">
      <c r="A153" t="str">
        <f>A3</f>
        <v>Weighted Plan</v>
      </c>
      <c r="B153">
        <f>SD!C83</f>
        <v>4.9000000000000004</v>
      </c>
      <c r="C153">
        <f>SD!D83</f>
        <v>5.2750000000000004</v>
      </c>
      <c r="D153">
        <f>SD!E83</f>
        <v>4.95</v>
      </c>
      <c r="E153">
        <f>SD!F83</f>
        <v>4.9050000000000002</v>
      </c>
      <c r="F153">
        <f>SD!G83</f>
        <v>5.4024999999999999</v>
      </c>
      <c r="G153">
        <f>SD!H83</f>
        <v>5.04</v>
      </c>
      <c r="H153">
        <f>SD!I83</f>
        <v>4.6150000000000002</v>
      </c>
      <c r="I153">
        <f>SD!J83</f>
        <v>4.6150000000000002</v>
      </c>
      <c r="J153">
        <f>SD!K83</f>
        <v>4.6150000000000002</v>
      </c>
      <c r="K153">
        <f>SD!L83</f>
        <v>3.3025000000000002</v>
      </c>
      <c r="L153">
        <f>SD!M83</f>
        <v>3.3025000000000002</v>
      </c>
      <c r="M153">
        <f>SD!N83</f>
        <v>3.3025000000000002</v>
      </c>
      <c r="N153">
        <f>SD!O83</f>
        <v>3.1524999999999999</v>
      </c>
      <c r="O153">
        <f>SD!P83</f>
        <v>3.1524999999999999</v>
      </c>
      <c r="P153">
        <f>SD!Q83</f>
        <v>3.1524999999999999</v>
      </c>
      <c r="AA153" t="str">
        <f t="shared" ref="AA153:AA154" si="30">_xlfn.CONCAT("% ",A153)</f>
        <v>% Weighted Plan</v>
      </c>
      <c r="AB153">
        <f>SUM(B153:D153)/SUM(B152:D152)*100</f>
        <v>94.53125</v>
      </c>
      <c r="AC153">
        <f>SUM(E153:G153)/SUM(E152:G152)*100</f>
        <v>102.31666666666668</v>
      </c>
      <c r="AD153">
        <f>SUM(H153:J153)/SUM(H152:J152)*100</f>
        <v>92.300000000000011</v>
      </c>
      <c r="AE153">
        <f>SUM(K153:M153)/SUM(K152:M152)*100</f>
        <v>66.050000000000011</v>
      </c>
      <c r="AF153">
        <f>SUM(N153:P153)/SUM(N152:P152)*100</f>
        <v>63.05</v>
      </c>
    </row>
    <row r="154" spans="1:32" x14ac:dyDescent="0.2">
      <c r="A154" t="str">
        <f>A4</f>
        <v>Unweighted Plan</v>
      </c>
      <c r="B154">
        <f>'Full-SD'!C83</f>
        <v>5.6</v>
      </c>
      <c r="C154">
        <f>'Full-SD'!D83</f>
        <v>6.2</v>
      </c>
      <c r="D154">
        <f>'Full-SD'!E83</f>
        <v>5.85</v>
      </c>
      <c r="E154">
        <f>'Full-SD'!F83</f>
        <v>5.91</v>
      </c>
      <c r="F154">
        <f>'Full-SD'!G83</f>
        <v>7.57</v>
      </c>
      <c r="G154">
        <f>'Full-SD'!H83</f>
        <v>7.07</v>
      </c>
      <c r="H154">
        <f>'Full-SD'!I83</f>
        <v>6.27</v>
      </c>
      <c r="I154">
        <f>'Full-SD'!J83</f>
        <v>6.27</v>
      </c>
      <c r="J154">
        <f>'Full-SD'!K83</f>
        <v>6.27</v>
      </c>
      <c r="K154">
        <f>'Full-SD'!L83</f>
        <v>4.62</v>
      </c>
      <c r="L154">
        <f>'Full-SD'!M83</f>
        <v>4.62</v>
      </c>
      <c r="M154">
        <f>'Full-SD'!N83</f>
        <v>4.62</v>
      </c>
      <c r="N154">
        <f>'Full-SD'!O83</f>
        <v>4.12</v>
      </c>
      <c r="O154">
        <f>'Full-SD'!P83</f>
        <v>3.62</v>
      </c>
      <c r="P154">
        <f>'Full-SD'!Q83</f>
        <v>3.62</v>
      </c>
      <c r="AA154" t="str">
        <f t="shared" si="30"/>
        <v>% Unweighted Plan</v>
      </c>
      <c r="AB154">
        <f>SUM(B154:D154)/SUM(B152:D152)*100</f>
        <v>110.31249999999999</v>
      </c>
      <c r="AC154">
        <f>SUM(E154:G154)/SUM(E152:G152)*100</f>
        <v>137</v>
      </c>
      <c r="AD154">
        <f>SUM(H154:J154)/SUM(H152:J152)*100</f>
        <v>125.4</v>
      </c>
      <c r="AE154">
        <f>SUM(K154:M154)/SUM(K152:M152)*100</f>
        <v>92.399999999999991</v>
      </c>
      <c r="AF154">
        <f>SUM(N154:P154)/SUM(N152:P152)*100</f>
        <v>75.733333333333334</v>
      </c>
    </row>
    <row r="161" spans="1:32" x14ac:dyDescent="0.2">
      <c r="A161" s="49" t="str">
        <f>SD!A84</f>
        <v>Technology QA</v>
      </c>
      <c r="B161" t="str">
        <f>SD!C61</f>
        <v>APR</v>
      </c>
      <c r="C161" t="str">
        <f>SD!D61</f>
        <v>MAY</v>
      </c>
      <c r="D161" t="str">
        <f>SD!E61</f>
        <v>JUN</v>
      </c>
      <c r="E161" t="str">
        <f>SD!F61</f>
        <v>JUL</v>
      </c>
      <c r="F161" t="str">
        <f>SD!G61</f>
        <v>AUG</v>
      </c>
      <c r="G161" t="str">
        <f>SD!H61</f>
        <v>SEP</v>
      </c>
      <c r="H161" t="str">
        <f>SD!I61</f>
        <v>OCT</v>
      </c>
      <c r="I161" t="str">
        <f>SD!J61</f>
        <v>NOV</v>
      </c>
      <c r="J161" t="str">
        <f>SD!K61</f>
        <v>DEC</v>
      </c>
      <c r="K161" t="str">
        <f>SD!L61</f>
        <v>JAN'27</v>
      </c>
      <c r="L161" t="str">
        <f>SD!M61</f>
        <v>FEB'27</v>
      </c>
      <c r="M161" t="str">
        <f>SD!N61</f>
        <v>MAR'27</v>
      </c>
      <c r="N161" t="str">
        <f>SD!O61</f>
        <v>APR'27</v>
      </c>
      <c r="O161" t="str">
        <f>SD!P61</f>
        <v>MAY'27</v>
      </c>
      <c r="P161" t="str">
        <f>SD!Q61</f>
        <v>JUN'27</v>
      </c>
      <c r="AA161" t="str">
        <f>A161</f>
        <v>Technology QA</v>
      </c>
      <c r="AB161" t="str">
        <f>AB$1</f>
        <v>Q2</v>
      </c>
      <c r="AC161" t="str">
        <f t="shared" ref="AC161:AF161" si="31">AC$1</f>
        <v>Q3</v>
      </c>
      <c r="AD161" t="str">
        <f t="shared" si="31"/>
        <v>Q4</v>
      </c>
      <c r="AE161" t="str">
        <f t="shared" si="31"/>
        <v>Q1'27</v>
      </c>
      <c r="AF161" t="str">
        <f t="shared" si="31"/>
        <v>Q2'27</v>
      </c>
    </row>
    <row r="162" spans="1:32" x14ac:dyDescent="0.2">
      <c r="A162" t="str">
        <f>SD!B84</f>
        <v>Staff</v>
      </c>
      <c r="B162">
        <f>SD!C84</f>
        <v>12</v>
      </c>
      <c r="C162">
        <f>SD!D84</f>
        <v>14</v>
      </c>
      <c r="D162">
        <f>SD!E84</f>
        <v>17</v>
      </c>
      <c r="E162">
        <f>SD!F84</f>
        <v>18</v>
      </c>
      <c r="F162">
        <f>SD!G84</f>
        <v>18</v>
      </c>
      <c r="G162">
        <f>SD!H84</f>
        <v>18</v>
      </c>
      <c r="H162">
        <f>SD!I84</f>
        <v>18</v>
      </c>
      <c r="I162">
        <f>SD!J84</f>
        <v>18</v>
      </c>
      <c r="J162">
        <f>SD!K84</f>
        <v>18</v>
      </c>
      <c r="K162">
        <f>SD!L84</f>
        <v>18</v>
      </c>
      <c r="L162">
        <f>SD!M84</f>
        <v>18</v>
      </c>
      <c r="M162">
        <f>SD!N84</f>
        <v>18</v>
      </c>
      <c r="N162">
        <f>SD!O84</f>
        <v>18</v>
      </c>
      <c r="O162">
        <f>SD!P84</f>
        <v>18</v>
      </c>
      <c r="P162">
        <f>SD!Q84</f>
        <v>18</v>
      </c>
      <c r="AA162" t="str">
        <f>_xlfn.CONCAT("% ",A162)</f>
        <v>% Staff</v>
      </c>
      <c r="AB162">
        <f>SUM(B162:D162)/SUM(B162:D162)*100</f>
        <v>100</v>
      </c>
      <c r="AC162">
        <f>SUM(E162:G162)/SUM(E162:G162)*100</f>
        <v>100</v>
      </c>
      <c r="AD162">
        <f>SUM(H162:J162)/SUM(H162:J162)*100</f>
        <v>100</v>
      </c>
      <c r="AE162">
        <f>SUM(K162:M162)/SUM(K162:M162)*100</f>
        <v>100</v>
      </c>
      <c r="AF162">
        <f>SUM(N162:P162)/SUM(N162:P162)*100</f>
        <v>100</v>
      </c>
    </row>
    <row r="163" spans="1:32" x14ac:dyDescent="0.2">
      <c r="A163" t="str">
        <f>A3</f>
        <v>Weighted Plan</v>
      </c>
      <c r="B163">
        <f>SD!C85</f>
        <v>11.234999999999999</v>
      </c>
      <c r="C163">
        <f>SD!D85</f>
        <v>13.49</v>
      </c>
      <c r="D163">
        <f>SD!E85</f>
        <v>14.86</v>
      </c>
      <c r="E163">
        <f>SD!F85</f>
        <v>16.059999999999999</v>
      </c>
      <c r="F163">
        <f>SD!G85</f>
        <v>17.760000000000002</v>
      </c>
      <c r="G163">
        <f>SD!H85</f>
        <v>17.434999999999999</v>
      </c>
      <c r="H163">
        <f>SD!I85</f>
        <v>17.350000000000001</v>
      </c>
      <c r="I163">
        <f>SD!J85</f>
        <v>15.074999999999999</v>
      </c>
      <c r="J163">
        <f>SD!K85</f>
        <v>14.824999999999999</v>
      </c>
      <c r="K163">
        <f>SD!L85</f>
        <v>12.824999999999999</v>
      </c>
      <c r="L163">
        <f>SD!M85</f>
        <v>12.824999999999999</v>
      </c>
      <c r="M163">
        <f>SD!N85</f>
        <v>12.824999999999999</v>
      </c>
      <c r="N163">
        <f>SD!O85</f>
        <v>2.3250000000000002</v>
      </c>
      <c r="O163">
        <f>SD!P85</f>
        <v>2.3250000000000002</v>
      </c>
      <c r="P163">
        <f>SD!Q85</f>
        <v>2.3250000000000002</v>
      </c>
      <c r="AA163" t="str">
        <f t="shared" ref="AA163:AA164" si="32">_xlfn.CONCAT("% ",A163)</f>
        <v>% Weighted Plan</v>
      </c>
      <c r="AB163">
        <f>SUM(B163:D163)/SUM(B162:D162)*100</f>
        <v>92.058139534883722</v>
      </c>
      <c r="AC163">
        <f>SUM(E163:G163)/SUM(E162:G162)*100</f>
        <v>94.916666666666657</v>
      </c>
      <c r="AD163">
        <f>SUM(H163:J163)/SUM(H162:J162)*100</f>
        <v>87.5</v>
      </c>
      <c r="AE163">
        <f>SUM(K163:M163)/SUM(K162:M162)*100</f>
        <v>71.249999999999986</v>
      </c>
      <c r="AF163">
        <f>SUM(N163:P163)/SUM(N162:P162)*100</f>
        <v>12.916666666666668</v>
      </c>
    </row>
    <row r="164" spans="1:32" x14ac:dyDescent="0.2">
      <c r="A164" t="str">
        <f>A4</f>
        <v>Unweighted Plan</v>
      </c>
      <c r="B164">
        <f>'Full-SD'!C85</f>
        <v>11.555</v>
      </c>
      <c r="C164">
        <f>'Full-SD'!D85</f>
        <v>13.68</v>
      </c>
      <c r="D164">
        <f>'Full-SD'!E85</f>
        <v>15.35</v>
      </c>
      <c r="E164">
        <f>'Full-SD'!F85</f>
        <v>16.75</v>
      </c>
      <c r="F164">
        <f>'Full-SD'!G85</f>
        <v>25.9</v>
      </c>
      <c r="G164">
        <f>'Full-SD'!H85</f>
        <v>25.55</v>
      </c>
      <c r="H164">
        <f>'Full-SD'!I85</f>
        <v>25.35</v>
      </c>
      <c r="I164">
        <f>'Full-SD'!J85</f>
        <v>23</v>
      </c>
      <c r="J164">
        <f>'Full-SD'!K85</f>
        <v>22.6</v>
      </c>
      <c r="K164">
        <f>'Full-SD'!L85</f>
        <v>13.1</v>
      </c>
      <c r="L164">
        <f>'Full-SD'!M85</f>
        <v>13.1</v>
      </c>
      <c r="M164">
        <f>'Full-SD'!N85</f>
        <v>13.1</v>
      </c>
      <c r="N164">
        <f>'Full-SD'!O85</f>
        <v>2.6</v>
      </c>
      <c r="O164">
        <f>'Full-SD'!P85</f>
        <v>2.6</v>
      </c>
      <c r="P164">
        <f>'Full-SD'!Q85</f>
        <v>2.6</v>
      </c>
      <c r="AA164" t="str">
        <f t="shared" si="32"/>
        <v>% Unweighted Plan</v>
      </c>
      <c r="AB164">
        <f>SUM(B164:D164)/SUM(B162:D162)*100</f>
        <v>94.383720930232556</v>
      </c>
      <c r="AC164">
        <f>SUM(E164:G164)/SUM(E162:G162)*100</f>
        <v>126.2962962962963</v>
      </c>
      <c r="AD164">
        <f>SUM(H164:J164)/SUM(H162:J162)*100</f>
        <v>131.38888888888889</v>
      </c>
      <c r="AE164">
        <f>SUM(K164:M164)/SUM(K162:M162)*100</f>
        <v>72.777777777777771</v>
      </c>
      <c r="AF164">
        <f>SUM(N164:P164)/SUM(N162:P162)*100</f>
        <v>14.444444444444446</v>
      </c>
    </row>
    <row r="171" spans="1:32" x14ac:dyDescent="0.2">
      <c r="A171" s="49" t="str">
        <f>SD!A92</f>
        <v>Technology Management</v>
      </c>
      <c r="B171" t="str">
        <f>SD!C61</f>
        <v>APR</v>
      </c>
      <c r="C171" t="str">
        <f>SD!D61</f>
        <v>MAY</v>
      </c>
      <c r="D171" t="str">
        <f>SD!E61</f>
        <v>JUN</v>
      </c>
      <c r="E171" t="str">
        <f>SD!F61</f>
        <v>JUL</v>
      </c>
      <c r="F171" t="str">
        <f>SD!G61</f>
        <v>AUG</v>
      </c>
      <c r="G171" t="str">
        <f>SD!H61</f>
        <v>SEP</v>
      </c>
      <c r="H171" t="str">
        <f>SD!I61</f>
        <v>OCT</v>
      </c>
      <c r="I171" t="str">
        <f>SD!J61</f>
        <v>NOV</v>
      </c>
      <c r="J171" t="str">
        <f>SD!K61</f>
        <v>DEC</v>
      </c>
      <c r="K171" t="str">
        <f>SD!L61</f>
        <v>JAN'27</v>
      </c>
      <c r="L171" t="str">
        <f>SD!M61</f>
        <v>FEB'27</v>
      </c>
      <c r="M171" t="str">
        <f>SD!N61</f>
        <v>MAR'27</v>
      </c>
      <c r="N171" t="str">
        <f>SD!O61</f>
        <v>APR'27</v>
      </c>
      <c r="O171" t="str">
        <f>SD!P61</f>
        <v>MAY'27</v>
      </c>
      <c r="P171" t="str">
        <f>SD!Q61</f>
        <v>JUN'27</v>
      </c>
      <c r="AA171" t="str">
        <f>A171</f>
        <v>Technology Management</v>
      </c>
      <c r="AB171" t="str">
        <f>AB$1</f>
        <v>Q2</v>
      </c>
      <c r="AC171" t="str">
        <f t="shared" ref="AC171:AF171" si="33">AC$1</f>
        <v>Q3</v>
      </c>
      <c r="AD171" t="str">
        <f t="shared" si="33"/>
        <v>Q4</v>
      </c>
      <c r="AE171" t="str">
        <f t="shared" si="33"/>
        <v>Q1'27</v>
      </c>
      <c r="AF171" t="str">
        <f t="shared" si="33"/>
        <v>Q2'27</v>
      </c>
    </row>
    <row r="172" spans="1:32" x14ac:dyDescent="0.2">
      <c r="A172" t="str">
        <f>SD!B92</f>
        <v>Staff</v>
      </c>
      <c r="B172">
        <f>SD!C92</f>
        <v>4</v>
      </c>
      <c r="C172">
        <f>SD!D92</f>
        <v>4</v>
      </c>
      <c r="D172">
        <f>SD!E92</f>
        <v>4</v>
      </c>
      <c r="E172">
        <f>SD!F92</f>
        <v>4</v>
      </c>
      <c r="F172">
        <f>SD!G92</f>
        <v>4</v>
      </c>
      <c r="G172">
        <f>SD!H92</f>
        <v>4</v>
      </c>
      <c r="H172">
        <f>SD!I92</f>
        <v>4</v>
      </c>
      <c r="I172">
        <f>SD!J92</f>
        <v>4</v>
      </c>
      <c r="J172">
        <f>SD!K92</f>
        <v>4</v>
      </c>
      <c r="K172">
        <f>SD!L92</f>
        <v>4</v>
      </c>
      <c r="L172">
        <f>SD!M92</f>
        <v>4</v>
      </c>
      <c r="M172">
        <f>SD!N92</f>
        <v>4</v>
      </c>
      <c r="N172">
        <f>SD!O92</f>
        <v>4</v>
      </c>
      <c r="O172">
        <f>SD!P92</f>
        <v>4</v>
      </c>
      <c r="P172">
        <f>SD!Q92</f>
        <v>4</v>
      </c>
      <c r="AA172" t="str">
        <f>_xlfn.CONCAT("% ",A172)</f>
        <v>% Staff</v>
      </c>
      <c r="AB172">
        <f>SUM(B172:D172)/SUM(B172:D172)*100</f>
        <v>100</v>
      </c>
      <c r="AC172">
        <f>SUM(E172:G172)/SUM(E172:G172)*100</f>
        <v>100</v>
      </c>
      <c r="AD172">
        <f>SUM(H172:J172)/SUM(H172:J172)*100</f>
        <v>100</v>
      </c>
      <c r="AE172">
        <f>SUM(K172:M172)/SUM(K172:M172)*100</f>
        <v>100</v>
      </c>
      <c r="AF172">
        <f>SUM(N172:P172)/SUM(N172:P172)*100</f>
        <v>100</v>
      </c>
    </row>
    <row r="173" spans="1:32" x14ac:dyDescent="0.2">
      <c r="A173" t="str">
        <f>A3</f>
        <v>Weighted Plan</v>
      </c>
      <c r="B173">
        <f>SD!C93</f>
        <v>3.07</v>
      </c>
      <c r="C173">
        <f>SD!D93</f>
        <v>3.07</v>
      </c>
      <c r="D173">
        <f>SD!E93</f>
        <v>3.24</v>
      </c>
      <c r="E173">
        <f>SD!F93</f>
        <v>3.13</v>
      </c>
      <c r="F173">
        <f>SD!G93</f>
        <v>3.13</v>
      </c>
      <c r="G173">
        <f>SD!H93</f>
        <v>3.34</v>
      </c>
      <c r="H173">
        <f>SD!I93</f>
        <v>3.61</v>
      </c>
      <c r="I173">
        <f>SD!J93</f>
        <v>3.73</v>
      </c>
      <c r="J173">
        <f>SD!K93</f>
        <v>3.73</v>
      </c>
      <c r="K173">
        <f>SD!L93</f>
        <v>3.73</v>
      </c>
      <c r="L173">
        <f>SD!M93</f>
        <v>3.73</v>
      </c>
      <c r="M173">
        <f>SD!N93</f>
        <v>3.73</v>
      </c>
      <c r="N173">
        <f>SD!O93</f>
        <v>3.73</v>
      </c>
      <c r="O173">
        <f>SD!P93</f>
        <v>3.73</v>
      </c>
      <c r="P173">
        <f>SD!Q93</f>
        <v>3.73</v>
      </c>
      <c r="AA173" t="str">
        <f t="shared" ref="AA173:AA174" si="34">_xlfn.CONCAT("% ",A173)</f>
        <v>% Weighted Plan</v>
      </c>
      <c r="AB173">
        <f>SUM(B173:D173)/SUM(B172:D172)*100</f>
        <v>78.166666666666657</v>
      </c>
      <c r="AC173">
        <f>SUM(E173:G173)/SUM(E172:G172)*100</f>
        <v>80</v>
      </c>
      <c r="AD173">
        <f>SUM(H173:J173)/SUM(H172:J172)*100</f>
        <v>92.25</v>
      </c>
      <c r="AE173">
        <f>SUM(K173:M173)/SUM(K172:M172)*100</f>
        <v>93.25</v>
      </c>
      <c r="AF173">
        <f>SUM(N173:P173)/SUM(N172:P172)*100</f>
        <v>93.25</v>
      </c>
    </row>
    <row r="174" spans="1:32" x14ac:dyDescent="0.2">
      <c r="A174" t="str">
        <f>A4</f>
        <v>Unweighted Plan</v>
      </c>
      <c r="B174">
        <f>'Full-SD'!C93</f>
        <v>3.07</v>
      </c>
      <c r="C174">
        <f>'Full-SD'!D93</f>
        <v>3.07</v>
      </c>
      <c r="D174">
        <f>'Full-SD'!E93</f>
        <v>3.24</v>
      </c>
      <c r="E174">
        <f>'Full-SD'!F93</f>
        <v>3.13</v>
      </c>
      <c r="F174">
        <f>'Full-SD'!G93</f>
        <v>3.13</v>
      </c>
      <c r="G174">
        <f>'Full-SD'!H93</f>
        <v>3.34</v>
      </c>
      <c r="H174">
        <f>'Full-SD'!I93</f>
        <v>3.61</v>
      </c>
      <c r="I174">
        <f>'Full-SD'!J93</f>
        <v>3.73</v>
      </c>
      <c r="J174">
        <f>'Full-SD'!K93</f>
        <v>3.73</v>
      </c>
      <c r="K174">
        <f>'Full-SD'!L93</f>
        <v>3.73</v>
      </c>
      <c r="L174">
        <f>'Full-SD'!M93</f>
        <v>3.73</v>
      </c>
      <c r="M174">
        <f>'Full-SD'!N93</f>
        <v>3.73</v>
      </c>
      <c r="N174">
        <f>'Full-SD'!O93</f>
        <v>6.04</v>
      </c>
      <c r="O174">
        <f>'Full-SD'!P93</f>
        <v>6.04</v>
      </c>
      <c r="P174">
        <f>'Full-SD'!Q93</f>
        <v>6.04</v>
      </c>
      <c r="AA174" t="str">
        <f t="shared" si="34"/>
        <v>% Unweighted Plan</v>
      </c>
      <c r="AB174">
        <f>SUM(B174:D174)/SUM(B172:D172)*100</f>
        <v>78.166666666666657</v>
      </c>
      <c r="AC174">
        <f>SUM(E174:G174)/SUM(E172:G172)*100</f>
        <v>80</v>
      </c>
      <c r="AD174">
        <f>SUM(H174:J174)/SUM(H172:J172)*100</f>
        <v>92.25</v>
      </c>
      <c r="AE174">
        <f>SUM(K174:M174)/SUM(K172:M172)*100</f>
        <v>93.25</v>
      </c>
      <c r="AF174">
        <f>SUM(N174:P174)/SUM(N172:P172)*100</f>
        <v>151</v>
      </c>
    </row>
    <row r="181" spans="1:32" x14ac:dyDescent="0.2">
      <c r="A181" s="102" t="str">
        <f>AIC!A2</f>
        <v>AIC</v>
      </c>
      <c r="B181" t="str">
        <f>AIC!C1</f>
        <v>APR</v>
      </c>
      <c r="C181" t="str">
        <f>AIC!D1</f>
        <v>MAY</v>
      </c>
      <c r="D181" t="str">
        <f>AIC!E1</f>
        <v>JUN</v>
      </c>
      <c r="E181" t="str">
        <f>AIC!F1</f>
        <v>JUL</v>
      </c>
      <c r="F181" t="str">
        <f>AIC!G1</f>
        <v>AUG</v>
      </c>
      <c r="G181" t="str">
        <f>AIC!H1</f>
        <v>SEP</v>
      </c>
      <c r="H181" t="str">
        <f>AIC!I1</f>
        <v>OCT</v>
      </c>
      <c r="I181" t="str">
        <f>AIC!J1</f>
        <v>NOV</v>
      </c>
      <c r="J181" t="str">
        <f>AIC!K1</f>
        <v>DEC</v>
      </c>
      <c r="K181" t="str">
        <f>AIC!L1</f>
        <v>JAN'27</v>
      </c>
      <c r="L181" t="str">
        <f>AIC!M1</f>
        <v>FEB'27</v>
      </c>
      <c r="M181" t="str">
        <f>AIC!N1</f>
        <v>MAR'27</v>
      </c>
      <c r="N181" t="str">
        <f>AIC!O1</f>
        <v>APR'27</v>
      </c>
      <c r="O181" t="str">
        <f>AIC!P1</f>
        <v>MAY'27</v>
      </c>
      <c r="P181" t="str">
        <f>AIC!Q1</f>
        <v>JUN'27</v>
      </c>
      <c r="AA181" t="str">
        <f>A181</f>
        <v>AIC</v>
      </c>
      <c r="AB181" t="str">
        <f>AB$1</f>
        <v>Q2</v>
      </c>
      <c r="AC181" t="str">
        <f t="shared" ref="AC181:AF181" si="35">AC$1</f>
        <v>Q3</v>
      </c>
      <c r="AD181" t="str">
        <f t="shared" si="35"/>
        <v>Q4</v>
      </c>
      <c r="AE181" t="str">
        <f t="shared" si="35"/>
        <v>Q1'27</v>
      </c>
      <c r="AF181" t="str">
        <f t="shared" si="35"/>
        <v>Q2'27</v>
      </c>
    </row>
    <row r="182" spans="1:32" x14ac:dyDescent="0.2">
      <c r="A182" t="str">
        <f>AIC!B2</f>
        <v>Staff</v>
      </c>
      <c r="B182">
        <f>AIC!C2</f>
        <v>21</v>
      </c>
      <c r="C182">
        <f>AIC!D2</f>
        <v>21</v>
      </c>
      <c r="D182">
        <f>AIC!E2</f>
        <v>21</v>
      </c>
      <c r="E182">
        <f>AIC!F2</f>
        <v>19</v>
      </c>
      <c r="F182">
        <f>AIC!G2</f>
        <v>19</v>
      </c>
      <c r="G182">
        <f>AIC!H2</f>
        <v>19</v>
      </c>
      <c r="H182">
        <f>AIC!I2</f>
        <v>19</v>
      </c>
      <c r="I182">
        <f>AIC!J2</f>
        <v>19</v>
      </c>
      <c r="J182">
        <f>AIC!K2</f>
        <v>19</v>
      </c>
      <c r="K182">
        <f>AIC!L2</f>
        <v>20</v>
      </c>
      <c r="L182">
        <f>AIC!M2</f>
        <v>20</v>
      </c>
      <c r="M182">
        <f>AIC!N2</f>
        <v>20</v>
      </c>
      <c r="N182">
        <f>AIC!O2</f>
        <v>20</v>
      </c>
      <c r="O182">
        <f>AIC!P2</f>
        <v>20</v>
      </c>
      <c r="P182">
        <f>AIC!Q2</f>
        <v>20</v>
      </c>
      <c r="AA182" t="str">
        <f>_xlfn.CONCAT("% ",A182)</f>
        <v>% Staff</v>
      </c>
      <c r="AB182">
        <f>SUM(B182:D182)/SUM(B182:D182)*100</f>
        <v>100</v>
      </c>
      <c r="AC182">
        <f>SUM(E182:G182)/SUM(E182:G182)*100</f>
        <v>100</v>
      </c>
      <c r="AD182">
        <f>SUM(H182:J182)/SUM(H182:J182)*100</f>
        <v>100</v>
      </c>
      <c r="AE182">
        <f>SUM(K182:M182)/SUM(K182:M182)*100</f>
        <v>100</v>
      </c>
      <c r="AF182">
        <f>SUM(N182:P182)/SUM(N182:P182)*100</f>
        <v>100</v>
      </c>
    </row>
    <row r="183" spans="1:32" x14ac:dyDescent="0.2">
      <c r="A183" t="str">
        <f>A3</f>
        <v>Weighted Plan</v>
      </c>
      <c r="B183">
        <f>AIC!C4</f>
        <v>17</v>
      </c>
      <c r="C183">
        <f>AIC!D4</f>
        <v>17</v>
      </c>
      <c r="D183">
        <f>AIC!E4</f>
        <v>16</v>
      </c>
      <c r="E183">
        <f>AIC!F4</f>
        <v>16</v>
      </c>
      <c r="F183">
        <f>AIC!G4</f>
        <v>16</v>
      </c>
      <c r="G183">
        <f>AIC!H4</f>
        <v>15</v>
      </c>
      <c r="H183">
        <f>AIC!I4</f>
        <v>16</v>
      </c>
      <c r="I183">
        <f>AIC!J4</f>
        <v>16</v>
      </c>
      <c r="J183">
        <f>AIC!K4</f>
        <v>15</v>
      </c>
      <c r="K183">
        <f>AIC!L4</f>
        <v>14</v>
      </c>
      <c r="L183">
        <f>AIC!M4</f>
        <v>14</v>
      </c>
      <c r="M183">
        <f>AIC!N4</f>
        <v>13</v>
      </c>
      <c r="N183">
        <f>AIC!O4</f>
        <v>11.445</v>
      </c>
      <c r="O183">
        <f>AIC!P4</f>
        <v>11.307499999999999</v>
      </c>
      <c r="P183">
        <f>AIC!Q4</f>
        <v>11.307499999999999</v>
      </c>
      <c r="AA183" t="str">
        <f t="shared" ref="AA183:AA184" si="36">_xlfn.CONCAT("% ",A183)</f>
        <v>% Weighted Plan</v>
      </c>
      <c r="AB183">
        <f>SUM(B183:D183)/SUM(B182:D182)*100</f>
        <v>79.365079365079367</v>
      </c>
      <c r="AC183">
        <f>SUM(E183:G183)/SUM(E182:G182)*100</f>
        <v>82.456140350877192</v>
      </c>
      <c r="AD183">
        <f>SUM(H183:J183)/SUM(H182:J182)*100</f>
        <v>82.456140350877192</v>
      </c>
      <c r="AE183">
        <f>SUM(K183:M183)/SUM(K182:M182)*100</f>
        <v>68.333333333333329</v>
      </c>
      <c r="AF183">
        <f>SUM(N183:P183)/SUM(N182:P182)*100</f>
        <v>56.766666666666652</v>
      </c>
    </row>
    <row r="184" spans="1:32" x14ac:dyDescent="0.2">
      <c r="A184" t="str">
        <f>A4</f>
        <v>Unweighted Plan</v>
      </c>
      <c r="B184">
        <f>'Full-AIC'!C4</f>
        <v>18</v>
      </c>
      <c r="C184">
        <f>'Full-AIC'!D4</f>
        <v>17</v>
      </c>
      <c r="D184">
        <f>'Full-AIC'!E4</f>
        <v>17</v>
      </c>
      <c r="E184">
        <f>'Full-AIC'!F4</f>
        <v>17</v>
      </c>
      <c r="F184">
        <f>'Full-AIC'!G4</f>
        <v>17</v>
      </c>
      <c r="G184">
        <f>'Full-AIC'!H4</f>
        <v>16</v>
      </c>
      <c r="H184">
        <f>'Full-AIC'!I4</f>
        <v>16</v>
      </c>
      <c r="I184">
        <f>'Full-AIC'!J4</f>
        <v>16</v>
      </c>
      <c r="J184">
        <f>'Full-AIC'!K4</f>
        <v>16</v>
      </c>
      <c r="K184">
        <f>'Full-AIC'!L4</f>
        <v>14</v>
      </c>
      <c r="L184">
        <f>'Full-AIC'!M4</f>
        <v>14</v>
      </c>
      <c r="M184">
        <f>'Full-AIC'!N4</f>
        <v>13</v>
      </c>
      <c r="N184">
        <f>'Full-AIC'!O4</f>
        <v>11.52</v>
      </c>
      <c r="O184">
        <f>'Full-AIC'!P4</f>
        <v>11.3825</v>
      </c>
      <c r="P184">
        <f>'Full-AIC'!Q4</f>
        <v>11.3825</v>
      </c>
      <c r="AA184" t="str">
        <f t="shared" si="36"/>
        <v>% Unweighted Plan</v>
      </c>
      <c r="AB184">
        <f>SUM(B184:D184)/SUM(B182:D182)*100</f>
        <v>82.539682539682531</v>
      </c>
      <c r="AC184">
        <f>SUM(E184:G184)/SUM(E182:G182)*100</f>
        <v>87.719298245614027</v>
      </c>
      <c r="AD184">
        <f>SUM(H184:J184)/SUM(H182:J182)*100</f>
        <v>84.210526315789465</v>
      </c>
      <c r="AE184">
        <f>SUM(K184:M184)/SUM(K182:M182)*100</f>
        <v>68.333333333333329</v>
      </c>
      <c r="AF184">
        <f>SUM(N184:P184)/SUM(N182:P182)*100</f>
        <v>57.141666666666659</v>
      </c>
    </row>
    <row r="191" spans="1:32" x14ac:dyDescent="0.2">
      <c r="A191" s="49" t="str">
        <f>AIC!A64</f>
        <v>AI Research &amp; Alliance</v>
      </c>
      <c r="B191" t="str">
        <f>AIC!C61</f>
        <v>APR</v>
      </c>
      <c r="C191" t="str">
        <f>AIC!D61</f>
        <v>MAY</v>
      </c>
      <c r="D191" t="str">
        <f>AIC!E61</f>
        <v>JUN</v>
      </c>
      <c r="E191" t="str">
        <f>AIC!F61</f>
        <v>JUL</v>
      </c>
      <c r="F191" t="str">
        <f>AIC!G61</f>
        <v>AUG</v>
      </c>
      <c r="G191" t="str">
        <f>AIC!H61</f>
        <v>SEP</v>
      </c>
      <c r="H191" t="str">
        <f>AIC!I61</f>
        <v>OCT</v>
      </c>
      <c r="I191" t="str">
        <f>AIC!J61</f>
        <v>NOV</v>
      </c>
      <c r="J191" t="str">
        <f>AIC!K61</f>
        <v>DEC</v>
      </c>
      <c r="K191" t="str">
        <f>AIC!L61</f>
        <v>JAN'27</v>
      </c>
      <c r="L191" t="str">
        <f>AIC!M61</f>
        <v>FEB'27</v>
      </c>
      <c r="M191" t="str">
        <f>AIC!N61</f>
        <v>MAR'27</v>
      </c>
      <c r="N191" t="str">
        <f>AIC!O61</f>
        <v>APR'27</v>
      </c>
      <c r="O191" t="str">
        <f>AIC!P61</f>
        <v>MAY'27</v>
      </c>
      <c r="P191" t="str">
        <f>AIC!Q61</f>
        <v>JUN'27</v>
      </c>
      <c r="AA191" t="str">
        <f>A191</f>
        <v>AI Research &amp; Alliance</v>
      </c>
      <c r="AB191" t="str">
        <f>AB$1</f>
        <v>Q2</v>
      </c>
      <c r="AC191" t="str">
        <f t="shared" ref="AC191:AF191" si="37">AC$1</f>
        <v>Q3</v>
      </c>
      <c r="AD191" t="str">
        <f t="shared" si="37"/>
        <v>Q4</v>
      </c>
      <c r="AE191" t="str">
        <f t="shared" si="37"/>
        <v>Q1'27</v>
      </c>
      <c r="AF191" t="str">
        <f t="shared" si="37"/>
        <v>Q2'27</v>
      </c>
    </row>
    <row r="192" spans="1:32" x14ac:dyDescent="0.2">
      <c r="A192" t="str">
        <f>AIC!B64</f>
        <v>Staff</v>
      </c>
      <c r="B192">
        <f>AIC!C64</f>
        <v>3</v>
      </c>
      <c r="C192">
        <f>AIC!D64</f>
        <v>3</v>
      </c>
      <c r="D192">
        <f>AIC!E64</f>
        <v>3</v>
      </c>
      <c r="E192">
        <f>AIC!F64</f>
        <v>2</v>
      </c>
      <c r="F192">
        <f>AIC!G64</f>
        <v>2</v>
      </c>
      <c r="G192">
        <f>AIC!H64</f>
        <v>2</v>
      </c>
      <c r="H192">
        <f>AIC!I64</f>
        <v>2</v>
      </c>
      <c r="I192">
        <f>AIC!J64</f>
        <v>2</v>
      </c>
      <c r="J192">
        <f>AIC!K64</f>
        <v>2</v>
      </c>
      <c r="K192">
        <f>AIC!L64</f>
        <v>3</v>
      </c>
      <c r="L192">
        <f>AIC!M64</f>
        <v>3</v>
      </c>
      <c r="M192">
        <f>AIC!N64</f>
        <v>3</v>
      </c>
      <c r="N192">
        <f>AIC!O64</f>
        <v>3</v>
      </c>
      <c r="O192">
        <f>AIC!P64</f>
        <v>3</v>
      </c>
      <c r="P192">
        <f>AIC!Q64</f>
        <v>3</v>
      </c>
      <c r="AA192" t="str">
        <f>_xlfn.CONCAT("% ",A192)</f>
        <v>% Staff</v>
      </c>
      <c r="AB192">
        <f>SUM(B192:D192)/SUM(B192:D192)*100</f>
        <v>100</v>
      </c>
      <c r="AC192">
        <f>SUM(E192:G192)/SUM(E192:G192)*100</f>
        <v>100</v>
      </c>
      <c r="AD192">
        <f>SUM(H192:J192)/SUM(H192:J192)*100</f>
        <v>100</v>
      </c>
      <c r="AE192">
        <f>SUM(K192:M192)/SUM(K192:M192)*100</f>
        <v>100</v>
      </c>
      <c r="AF192">
        <f>SUM(N192:P192)/SUM(N192:P192)*100</f>
        <v>100</v>
      </c>
    </row>
    <row r="193" spans="1:32" x14ac:dyDescent="0.2">
      <c r="A193" t="str">
        <f>A3</f>
        <v>Weighted Plan</v>
      </c>
      <c r="B193">
        <f>AIC!C65</f>
        <v>2.9</v>
      </c>
      <c r="C193">
        <f>AIC!D65</f>
        <v>2.9</v>
      </c>
      <c r="D193">
        <f>AIC!E65</f>
        <v>2.9</v>
      </c>
      <c r="E193">
        <f>AIC!F65</f>
        <v>2</v>
      </c>
      <c r="F193">
        <f>AIC!G65</f>
        <v>2</v>
      </c>
      <c r="G193">
        <f>AIC!H65</f>
        <v>2</v>
      </c>
      <c r="H193">
        <f>AIC!I65</f>
        <v>2</v>
      </c>
      <c r="I193">
        <f>AIC!J65</f>
        <v>2</v>
      </c>
      <c r="J193">
        <f>AIC!K65</f>
        <v>2</v>
      </c>
      <c r="K193">
        <f>AIC!L65</f>
        <v>2.9</v>
      </c>
      <c r="L193">
        <f>AIC!M65</f>
        <v>2.9</v>
      </c>
      <c r="M193">
        <f>AIC!N65</f>
        <v>2.9</v>
      </c>
      <c r="N193">
        <f>AIC!O65</f>
        <v>2.9</v>
      </c>
      <c r="O193">
        <f>AIC!P65</f>
        <v>2.9</v>
      </c>
      <c r="P193">
        <f>AIC!Q65</f>
        <v>2.9</v>
      </c>
      <c r="AA193" t="str">
        <f t="shared" ref="AA193:AA194" si="38">_xlfn.CONCAT("% ",A193)</f>
        <v>% Weighted Plan</v>
      </c>
      <c r="AB193">
        <f>SUM(B193:D193)/SUM(B192:D192)*100</f>
        <v>96.666666666666657</v>
      </c>
      <c r="AC193">
        <f>SUM(E193:G193)/SUM(E192:G192)*100</f>
        <v>100</v>
      </c>
      <c r="AD193">
        <f>SUM(H193:J193)/SUM(H192:J192)*100</f>
        <v>100</v>
      </c>
      <c r="AE193">
        <f>SUM(K193:M193)/SUM(K192:M192)*100</f>
        <v>96.666666666666657</v>
      </c>
      <c r="AF193">
        <f>SUM(N193:P193)/SUM(N192:P192)*100</f>
        <v>96.666666666666657</v>
      </c>
    </row>
    <row r="194" spans="1:32" x14ac:dyDescent="0.2">
      <c r="A194" t="str">
        <f>A4</f>
        <v>Unweighted Plan</v>
      </c>
      <c r="B194">
        <f>'Full-AIC'!C65</f>
        <v>2.9</v>
      </c>
      <c r="C194">
        <f>'Full-AIC'!D65</f>
        <v>2.9</v>
      </c>
      <c r="D194">
        <f>'Full-AIC'!E65</f>
        <v>2.9</v>
      </c>
      <c r="E194">
        <f>'Full-AIC'!F65</f>
        <v>2</v>
      </c>
      <c r="F194">
        <f>'Full-AIC'!G65</f>
        <v>2</v>
      </c>
      <c r="G194">
        <f>'Full-AIC'!H65</f>
        <v>2</v>
      </c>
      <c r="H194">
        <f>'Full-AIC'!I65</f>
        <v>2</v>
      </c>
      <c r="I194">
        <f>'Full-AIC'!J65</f>
        <v>2</v>
      </c>
      <c r="J194">
        <f>'Full-AIC'!K65</f>
        <v>2</v>
      </c>
      <c r="K194">
        <f>'Full-AIC'!L65</f>
        <v>2.9</v>
      </c>
      <c r="L194">
        <f>'Full-AIC'!M65</f>
        <v>2.9</v>
      </c>
      <c r="M194">
        <f>'Full-AIC'!N65</f>
        <v>2.9</v>
      </c>
      <c r="N194">
        <f>'Full-AIC'!O65</f>
        <v>2.9</v>
      </c>
      <c r="O194">
        <f>'Full-AIC'!P65</f>
        <v>2.9</v>
      </c>
      <c r="P194">
        <f>'Full-AIC'!Q65</f>
        <v>2.9</v>
      </c>
      <c r="AA194" t="str">
        <f t="shared" si="38"/>
        <v>% Unweighted Plan</v>
      </c>
      <c r="AB194">
        <f>SUM(B194:D194)/SUM(B192:D192)*100</f>
        <v>96.666666666666657</v>
      </c>
      <c r="AC194">
        <f>SUM(E194:G194)/SUM(E192:G192)*100</f>
        <v>100</v>
      </c>
      <c r="AD194">
        <f>SUM(H194:J194)/SUM(H192:J192)*100</f>
        <v>100</v>
      </c>
      <c r="AE194">
        <f>SUM(K194:M194)/SUM(K192:M192)*100</f>
        <v>96.666666666666657</v>
      </c>
      <c r="AF194">
        <f>SUM(N194:P194)/SUM(N192:P192)*100</f>
        <v>96.666666666666657</v>
      </c>
    </row>
    <row r="201" spans="1:32" x14ac:dyDescent="0.2">
      <c r="A201" s="49" t="str">
        <f>AIC!A66</f>
        <v>AIET AI Engineering</v>
      </c>
      <c r="B201" t="str">
        <f>AIC!C61</f>
        <v>APR</v>
      </c>
      <c r="C201" t="str">
        <f>AIC!D61</f>
        <v>MAY</v>
      </c>
      <c r="D201" t="str">
        <f>AIC!E61</f>
        <v>JUN</v>
      </c>
      <c r="E201" t="str">
        <f>AIC!F61</f>
        <v>JUL</v>
      </c>
      <c r="F201" t="str">
        <f>AIC!G61</f>
        <v>AUG</v>
      </c>
      <c r="G201" t="str">
        <f>AIC!H61</f>
        <v>SEP</v>
      </c>
      <c r="H201" t="str">
        <f>AIC!I61</f>
        <v>OCT</v>
      </c>
      <c r="I201" t="str">
        <f>AIC!J61</f>
        <v>NOV</v>
      </c>
      <c r="J201" t="str">
        <f>AIC!K61</f>
        <v>DEC</v>
      </c>
      <c r="K201" t="str">
        <f>AIC!L61</f>
        <v>JAN'27</v>
      </c>
      <c r="L201" t="str">
        <f>AIC!M61</f>
        <v>FEB'27</v>
      </c>
      <c r="M201" t="str">
        <f>AIC!N61</f>
        <v>MAR'27</v>
      </c>
      <c r="N201" t="str">
        <f>AIC!O61</f>
        <v>APR'27</v>
      </c>
      <c r="O201" t="str">
        <f>AIC!P61</f>
        <v>MAY'27</v>
      </c>
      <c r="P201" t="str">
        <f>AIC!Q61</f>
        <v>JUN'27</v>
      </c>
      <c r="AA201" t="str">
        <f>A201</f>
        <v>AIET AI Engineering</v>
      </c>
      <c r="AB201" t="str">
        <f>AB$1</f>
        <v>Q2</v>
      </c>
      <c r="AC201" t="str">
        <f t="shared" ref="AC201:AF201" si="39">AC$1</f>
        <v>Q3</v>
      </c>
      <c r="AD201" t="str">
        <f t="shared" si="39"/>
        <v>Q4</v>
      </c>
      <c r="AE201" t="str">
        <f t="shared" si="39"/>
        <v>Q1'27</v>
      </c>
      <c r="AF201" t="str">
        <f t="shared" si="39"/>
        <v>Q2'27</v>
      </c>
    </row>
    <row r="202" spans="1:32" x14ac:dyDescent="0.2">
      <c r="A202" t="str">
        <f>AIC!B66</f>
        <v>Staff</v>
      </c>
      <c r="B202">
        <f>AIC!C66</f>
        <v>8</v>
      </c>
      <c r="C202">
        <f>AIC!D66</f>
        <v>8</v>
      </c>
      <c r="D202">
        <f>AIC!E66</f>
        <v>8</v>
      </c>
      <c r="E202">
        <f>AIC!F66</f>
        <v>8</v>
      </c>
      <c r="F202">
        <f>AIC!G66</f>
        <v>8</v>
      </c>
      <c r="G202">
        <f>AIC!H66</f>
        <v>8</v>
      </c>
      <c r="H202">
        <f>AIC!I66</f>
        <v>8</v>
      </c>
      <c r="I202">
        <f>AIC!J66</f>
        <v>8</v>
      </c>
      <c r="J202">
        <f>AIC!K66</f>
        <v>8</v>
      </c>
      <c r="K202">
        <f>AIC!L66</f>
        <v>8</v>
      </c>
      <c r="L202">
        <f>AIC!M66</f>
        <v>8</v>
      </c>
      <c r="M202">
        <f>AIC!N66</f>
        <v>8</v>
      </c>
      <c r="N202">
        <f>AIC!O66</f>
        <v>8</v>
      </c>
      <c r="O202">
        <f>AIC!P66</f>
        <v>8</v>
      </c>
      <c r="P202">
        <f>AIC!Q66</f>
        <v>8</v>
      </c>
      <c r="AA202" t="str">
        <f>_xlfn.CONCAT("% ",A202)</f>
        <v>% Staff</v>
      </c>
      <c r="AB202">
        <f>SUM(B202:D202)/SUM(B202:D202)*100</f>
        <v>100</v>
      </c>
      <c r="AC202">
        <f>SUM(E202:G202)/SUM(E202:G202)*100</f>
        <v>100</v>
      </c>
      <c r="AD202">
        <f>SUM(H202:J202)/SUM(H202:J202)*100</f>
        <v>100</v>
      </c>
      <c r="AE202">
        <f>SUM(K202:M202)/SUM(K202:M202)*100</f>
        <v>100</v>
      </c>
      <c r="AF202">
        <f>SUM(N202:P202)/SUM(N202:P202)*100</f>
        <v>100</v>
      </c>
    </row>
    <row r="203" spans="1:32" x14ac:dyDescent="0.2">
      <c r="A203" t="str">
        <f>A3</f>
        <v>Weighted Plan</v>
      </c>
      <c r="B203">
        <f>AIC!C67</f>
        <v>6.913125</v>
      </c>
      <c r="C203">
        <f>AIC!D67</f>
        <v>6.9881250000000001</v>
      </c>
      <c r="D203">
        <f>AIC!E67</f>
        <v>6.8881249999999996</v>
      </c>
      <c r="E203">
        <f>AIC!F67</f>
        <v>6.1574999999999998</v>
      </c>
      <c r="F203">
        <f>AIC!G67</f>
        <v>6.1074999999999999</v>
      </c>
      <c r="G203">
        <f>AIC!H67</f>
        <v>6.1074999999999999</v>
      </c>
      <c r="H203">
        <f>AIC!I67</f>
        <v>6.42</v>
      </c>
      <c r="I203">
        <f>AIC!J67</f>
        <v>6.1325000000000003</v>
      </c>
      <c r="J203">
        <f>AIC!K67</f>
        <v>6.1325000000000003</v>
      </c>
      <c r="K203">
        <f>AIC!L67</f>
        <v>5.62</v>
      </c>
      <c r="L203">
        <f>AIC!M67</f>
        <v>5.4824999999999999</v>
      </c>
      <c r="M203">
        <f>AIC!N67</f>
        <v>5.4824999999999999</v>
      </c>
      <c r="N203">
        <f>AIC!O67</f>
        <v>4.6449999999999996</v>
      </c>
      <c r="O203">
        <f>AIC!P67</f>
        <v>4.5075000000000003</v>
      </c>
      <c r="P203">
        <f>AIC!Q67</f>
        <v>4.5075000000000003</v>
      </c>
      <c r="AA203" t="str">
        <f t="shared" ref="AA203:AA204" si="40">_xlfn.CONCAT("% ",A203)</f>
        <v>% Weighted Plan</v>
      </c>
      <c r="AB203">
        <f>SUM(B203:D203)/SUM(B202:D202)*100</f>
        <v>86.622395833333329</v>
      </c>
      <c r="AC203">
        <f>SUM(E203:G203)/SUM(E202:G202)*100</f>
        <v>76.552083333333343</v>
      </c>
      <c r="AD203">
        <f>SUM(H203:J203)/SUM(H202:J202)*100</f>
        <v>77.854166666666686</v>
      </c>
      <c r="AE203">
        <f>SUM(K203:M203)/SUM(K202:M202)*100</f>
        <v>69.104166666666671</v>
      </c>
      <c r="AF203">
        <f>SUM(N203:P203)/SUM(N202:P202)*100</f>
        <v>56.916666666666671</v>
      </c>
    </row>
    <row r="204" spans="1:32" x14ac:dyDescent="0.2">
      <c r="A204" t="str">
        <f>A4</f>
        <v>Unweighted Plan</v>
      </c>
      <c r="B204">
        <f>'Full-AIC'!C67</f>
        <v>6.913125</v>
      </c>
      <c r="C204">
        <f>'Full-AIC'!D67</f>
        <v>6.9881250000000001</v>
      </c>
      <c r="D204">
        <f>'Full-AIC'!E67</f>
        <v>6.8881249999999996</v>
      </c>
      <c r="E204">
        <f>'Full-AIC'!F67</f>
        <v>6.3075000000000001</v>
      </c>
      <c r="F204">
        <f>'Full-AIC'!G67</f>
        <v>6.2575000000000003</v>
      </c>
      <c r="G204">
        <f>'Full-AIC'!H67</f>
        <v>6.2575000000000003</v>
      </c>
      <c r="H204">
        <f>'Full-AIC'!I67</f>
        <v>6.57</v>
      </c>
      <c r="I204">
        <f>'Full-AIC'!J67</f>
        <v>6.2824999999999998</v>
      </c>
      <c r="J204">
        <f>'Full-AIC'!K67</f>
        <v>6.2824999999999998</v>
      </c>
      <c r="K204">
        <f>'Full-AIC'!L67</f>
        <v>5.62</v>
      </c>
      <c r="L204">
        <f>'Full-AIC'!M67</f>
        <v>5.4824999999999999</v>
      </c>
      <c r="M204">
        <f>'Full-AIC'!N67</f>
        <v>5.4824999999999999</v>
      </c>
      <c r="N204">
        <f>'Full-AIC'!O67</f>
        <v>4.6449999999999996</v>
      </c>
      <c r="O204">
        <f>'Full-AIC'!P67</f>
        <v>4.5075000000000003</v>
      </c>
      <c r="P204">
        <f>'Full-AIC'!Q67</f>
        <v>4.5075000000000003</v>
      </c>
      <c r="AA204" t="str">
        <f t="shared" si="40"/>
        <v>% Unweighted Plan</v>
      </c>
      <c r="AB204">
        <f>SUM(B204:D204)/SUM(B202:D202)*100</f>
        <v>86.622395833333329</v>
      </c>
      <c r="AC204">
        <f>SUM(E204:G204)/SUM(E202:G202)*100</f>
        <v>78.427083333333343</v>
      </c>
      <c r="AD204">
        <f>SUM(H204:J204)/SUM(H202:J202)*100</f>
        <v>79.729166666666657</v>
      </c>
      <c r="AE204">
        <f>SUM(K204:M204)/SUM(K202:M202)*100</f>
        <v>69.104166666666671</v>
      </c>
      <c r="AF204">
        <f>SUM(N204:P204)/SUM(N202:P202)*100</f>
        <v>56.916666666666671</v>
      </c>
    </row>
    <row r="211" spans="1:32" x14ac:dyDescent="0.2">
      <c r="A211" s="49" t="str">
        <f>AIC!A68</f>
        <v>AIET IoT Engineering</v>
      </c>
      <c r="B211" t="str">
        <f>AIC!C61</f>
        <v>APR</v>
      </c>
      <c r="C211" t="str">
        <f>AIC!D61</f>
        <v>MAY</v>
      </c>
      <c r="D211" t="str">
        <f>AIC!E61</f>
        <v>JUN</v>
      </c>
      <c r="E211" t="str">
        <f>AIC!F61</f>
        <v>JUL</v>
      </c>
      <c r="F211" t="str">
        <f>AIC!G61</f>
        <v>AUG</v>
      </c>
      <c r="G211" t="str">
        <f>AIC!H61</f>
        <v>SEP</v>
      </c>
      <c r="H211" t="str">
        <f>AIC!I61</f>
        <v>OCT</v>
      </c>
      <c r="I211" t="str">
        <f>AIC!J61</f>
        <v>NOV</v>
      </c>
      <c r="J211" t="str">
        <f>AIC!K61</f>
        <v>DEC</v>
      </c>
      <c r="K211" t="str">
        <f>AIC!L61</f>
        <v>JAN'27</v>
      </c>
      <c r="L211" t="str">
        <f>AIC!M61</f>
        <v>FEB'27</v>
      </c>
      <c r="M211" t="str">
        <f>AIC!N61</f>
        <v>MAR'27</v>
      </c>
      <c r="N211" t="str">
        <f>AIC!O61</f>
        <v>APR'27</v>
      </c>
      <c r="O211" t="str">
        <f>AIC!P61</f>
        <v>MAY'27</v>
      </c>
      <c r="P211" t="str">
        <f>AIC!Q61</f>
        <v>JUN'27</v>
      </c>
      <c r="AA211" t="str">
        <f>A211</f>
        <v>AIET IoT Engineering</v>
      </c>
      <c r="AB211" t="str">
        <f>AB$1</f>
        <v>Q2</v>
      </c>
      <c r="AC211" t="str">
        <f t="shared" ref="AC211:AF211" si="41">AC$1</f>
        <v>Q3</v>
      </c>
      <c r="AD211" t="str">
        <f t="shared" si="41"/>
        <v>Q4</v>
      </c>
      <c r="AE211" t="str">
        <f t="shared" si="41"/>
        <v>Q1'27</v>
      </c>
      <c r="AF211" t="str">
        <f t="shared" si="41"/>
        <v>Q2'27</v>
      </c>
    </row>
    <row r="212" spans="1:32" x14ac:dyDescent="0.2">
      <c r="A212" t="str">
        <f>AIC!B68</f>
        <v>Staff</v>
      </c>
      <c r="B212">
        <f>AIC!C68</f>
        <v>6</v>
      </c>
      <c r="C212">
        <f>AIC!D68</f>
        <v>6</v>
      </c>
      <c r="D212">
        <f>AIC!E68</f>
        <v>6</v>
      </c>
      <c r="E212">
        <f>AIC!F68</f>
        <v>5</v>
      </c>
      <c r="F212">
        <f>AIC!G68</f>
        <v>5</v>
      </c>
      <c r="G212">
        <f>AIC!H68</f>
        <v>5</v>
      </c>
      <c r="H212">
        <f>AIC!I68</f>
        <v>5</v>
      </c>
      <c r="I212">
        <f>AIC!J68</f>
        <v>5</v>
      </c>
      <c r="J212">
        <f>AIC!K68</f>
        <v>5</v>
      </c>
      <c r="K212">
        <f>AIC!L68</f>
        <v>5</v>
      </c>
      <c r="L212">
        <f>AIC!M68</f>
        <v>5</v>
      </c>
      <c r="M212">
        <f>AIC!N68</f>
        <v>5</v>
      </c>
      <c r="N212">
        <f>AIC!O68</f>
        <v>5</v>
      </c>
      <c r="O212">
        <f>AIC!P68</f>
        <v>5</v>
      </c>
      <c r="P212">
        <f>AIC!Q68</f>
        <v>5</v>
      </c>
      <c r="AA212" t="str">
        <f>_xlfn.CONCAT("% ",A212)</f>
        <v>% Staff</v>
      </c>
      <c r="AB212">
        <f>SUM(B212:D212)/SUM(B212:D212)*100</f>
        <v>100</v>
      </c>
      <c r="AC212">
        <f>SUM(E212:G212)/SUM(E212:G212)*100</f>
        <v>100</v>
      </c>
      <c r="AD212">
        <f>SUM(H212:J212)/SUM(H212:J212)*100</f>
        <v>100</v>
      </c>
      <c r="AE212">
        <f>SUM(K212:M212)/SUM(K212:M212)*100</f>
        <v>100</v>
      </c>
      <c r="AF212">
        <f>SUM(N212:P212)/SUM(N212:P212)*100</f>
        <v>100</v>
      </c>
    </row>
    <row r="213" spans="1:32" x14ac:dyDescent="0.2">
      <c r="A213" t="str">
        <f>A3</f>
        <v>Weighted Plan</v>
      </c>
      <c r="B213">
        <f>AIC!C69</f>
        <v>4.4249999999999998</v>
      </c>
      <c r="C213">
        <f>AIC!D69</f>
        <v>4.3499999999999996</v>
      </c>
      <c r="D213">
        <f>AIC!E69</f>
        <v>4.0999999999999996</v>
      </c>
      <c r="E213">
        <f>AIC!F69</f>
        <v>4.2249999999999996</v>
      </c>
      <c r="F213">
        <f>AIC!G69</f>
        <v>4.2249999999999996</v>
      </c>
      <c r="G213">
        <f>AIC!H69</f>
        <v>4.2249999999999996</v>
      </c>
      <c r="H213">
        <f>AIC!I69</f>
        <v>4.125</v>
      </c>
      <c r="I213">
        <f>AIC!J69</f>
        <v>4.125</v>
      </c>
      <c r="J213">
        <f>AIC!K69</f>
        <v>4.125</v>
      </c>
      <c r="K213">
        <f>AIC!L69</f>
        <v>2.875</v>
      </c>
      <c r="L213">
        <f>AIC!M69</f>
        <v>2.875</v>
      </c>
      <c r="M213">
        <f>AIC!N69</f>
        <v>2.1</v>
      </c>
      <c r="N213">
        <f>AIC!O69</f>
        <v>1.85</v>
      </c>
      <c r="O213">
        <f>AIC!P69</f>
        <v>1.85</v>
      </c>
      <c r="P213">
        <f>AIC!Q69</f>
        <v>1.85</v>
      </c>
      <c r="AA213" t="str">
        <f t="shared" ref="AA213:AA214" si="42">_xlfn.CONCAT("% ",A213)</f>
        <v>% Weighted Plan</v>
      </c>
      <c r="AB213">
        <f>SUM(B213:D213)/SUM(B212:D212)*100</f>
        <v>71.527777777777771</v>
      </c>
      <c r="AC213">
        <f>SUM(E213:G213)/SUM(E212:G212)*100</f>
        <v>84.5</v>
      </c>
      <c r="AD213">
        <f>SUM(H213:J213)/SUM(H212:J212)*100</f>
        <v>82.5</v>
      </c>
      <c r="AE213">
        <f>SUM(K213:M213)/SUM(K212:M212)*100</f>
        <v>52.333333333333329</v>
      </c>
      <c r="AF213">
        <f>SUM(N213:P213)/SUM(N212:P212)*100</f>
        <v>37.000000000000007</v>
      </c>
    </row>
    <row r="214" spans="1:32" x14ac:dyDescent="0.2">
      <c r="A214" t="str">
        <f>A4</f>
        <v>Unweighted Plan</v>
      </c>
      <c r="B214">
        <f>'Full-AIC'!C69</f>
        <v>4.55</v>
      </c>
      <c r="C214">
        <f>'Full-AIC'!D69</f>
        <v>4.5999999999999996</v>
      </c>
      <c r="D214">
        <f>'Full-AIC'!E69</f>
        <v>4.3499999999999996</v>
      </c>
      <c r="E214">
        <f>'Full-AIC'!F69</f>
        <v>4.8</v>
      </c>
      <c r="F214">
        <f>'Full-AIC'!G69</f>
        <v>4.8</v>
      </c>
      <c r="G214">
        <f>'Full-AIC'!H69</f>
        <v>4.8</v>
      </c>
      <c r="H214">
        <f>'Full-AIC'!I69</f>
        <v>4.7</v>
      </c>
      <c r="I214">
        <f>'Full-AIC'!J69</f>
        <v>4.7</v>
      </c>
      <c r="J214">
        <f>'Full-AIC'!K69</f>
        <v>4.7</v>
      </c>
      <c r="K214">
        <f>'Full-AIC'!L69</f>
        <v>3.2</v>
      </c>
      <c r="L214">
        <f>'Full-AIC'!M69</f>
        <v>3.2</v>
      </c>
      <c r="M214">
        <f>'Full-AIC'!N69</f>
        <v>2.1</v>
      </c>
      <c r="N214">
        <f>'Full-AIC'!O69</f>
        <v>1.85</v>
      </c>
      <c r="O214">
        <f>'Full-AIC'!P69</f>
        <v>1.85</v>
      </c>
      <c r="P214">
        <f>'Full-AIC'!Q69</f>
        <v>1.85</v>
      </c>
      <c r="AA214" t="str">
        <f t="shared" si="42"/>
        <v>% Unweighted Plan</v>
      </c>
      <c r="AB214">
        <f>SUM(B214:D214)/SUM(B212:D212)*100</f>
        <v>74.999999999999986</v>
      </c>
      <c r="AC214">
        <f>SUM(E214:G214)/SUM(E212:G212)*100</f>
        <v>95.999999999999986</v>
      </c>
      <c r="AD214">
        <f>SUM(H214:J214)/SUM(H212:J212)*100</f>
        <v>94</v>
      </c>
      <c r="AE214">
        <f>SUM(K214:M214)/SUM(K212:M212)*100</f>
        <v>56.666666666666664</v>
      </c>
      <c r="AF214">
        <f>SUM(N214:P214)/SUM(N212:P212)*100</f>
        <v>37.000000000000007</v>
      </c>
    </row>
    <row r="221" spans="1:32" x14ac:dyDescent="0.2">
      <c r="A221" s="49" t="str">
        <f>AIC!A70</f>
        <v>AIET Spatial AI Engineering</v>
      </c>
      <c r="B221" t="str">
        <f>AIC!C61</f>
        <v>APR</v>
      </c>
      <c r="C221" t="str">
        <f>AIC!D61</f>
        <v>MAY</v>
      </c>
      <c r="D221" t="str">
        <f>AIC!E61</f>
        <v>JUN</v>
      </c>
      <c r="E221" t="str">
        <f>AIC!F61</f>
        <v>JUL</v>
      </c>
      <c r="F221" t="str">
        <f>AIC!G61</f>
        <v>AUG</v>
      </c>
      <c r="G221" t="str">
        <f>AIC!H61</f>
        <v>SEP</v>
      </c>
      <c r="H221" t="str">
        <f>AIC!I61</f>
        <v>OCT</v>
      </c>
      <c r="I221" t="str">
        <f>AIC!J61</f>
        <v>NOV</v>
      </c>
      <c r="J221" t="str">
        <f>AIC!K61</f>
        <v>DEC</v>
      </c>
      <c r="K221" t="str">
        <f>AIC!L61</f>
        <v>JAN'27</v>
      </c>
      <c r="L221" t="str">
        <f>AIC!M61</f>
        <v>FEB'27</v>
      </c>
      <c r="M221" t="str">
        <f>AIC!N61</f>
        <v>MAR'27</v>
      </c>
      <c r="N221" t="str">
        <f>AIC!O61</f>
        <v>APR'27</v>
      </c>
      <c r="O221" t="str">
        <f>AIC!P61</f>
        <v>MAY'27</v>
      </c>
      <c r="P221" t="str">
        <f>AIC!Q61</f>
        <v>JUN'27</v>
      </c>
      <c r="AA221" t="str">
        <f>A221</f>
        <v>AIET Spatial AI Engineering</v>
      </c>
      <c r="AB221" t="str">
        <f>AB$1</f>
        <v>Q2</v>
      </c>
      <c r="AC221" t="str">
        <f t="shared" ref="AC221:AF221" si="43">AC$1</f>
        <v>Q3</v>
      </c>
      <c r="AD221" t="str">
        <f t="shared" si="43"/>
        <v>Q4</v>
      </c>
      <c r="AE221" t="str">
        <f t="shared" si="43"/>
        <v>Q1'27</v>
      </c>
      <c r="AF221" t="str">
        <f t="shared" si="43"/>
        <v>Q2'27</v>
      </c>
    </row>
    <row r="222" spans="1:32" x14ac:dyDescent="0.2">
      <c r="A222" t="str">
        <f>AIC!B70</f>
        <v>Staff</v>
      </c>
      <c r="B222">
        <f>AIC!C70</f>
        <v>4</v>
      </c>
      <c r="C222">
        <f>AIC!D70</f>
        <v>4</v>
      </c>
      <c r="D222">
        <f>AIC!E70</f>
        <v>4</v>
      </c>
      <c r="E222">
        <f>AIC!F70</f>
        <v>4</v>
      </c>
      <c r="F222">
        <f>AIC!G70</f>
        <v>4</v>
      </c>
      <c r="G222">
        <f>AIC!H70</f>
        <v>4</v>
      </c>
      <c r="H222">
        <f>AIC!I70</f>
        <v>4</v>
      </c>
      <c r="I222">
        <f>AIC!J70</f>
        <v>4</v>
      </c>
      <c r="J222">
        <f>AIC!K70</f>
        <v>4</v>
      </c>
      <c r="K222">
        <f>AIC!L70</f>
        <v>4</v>
      </c>
      <c r="L222">
        <f>AIC!M70</f>
        <v>4</v>
      </c>
      <c r="M222">
        <f>AIC!N70</f>
        <v>4</v>
      </c>
      <c r="N222">
        <f>AIC!O70</f>
        <v>4</v>
      </c>
      <c r="O222">
        <f>AIC!P70</f>
        <v>4</v>
      </c>
      <c r="P222">
        <f>AIC!Q70</f>
        <v>4</v>
      </c>
      <c r="AA222" t="str">
        <f>_xlfn.CONCAT("% ",A222)</f>
        <v>% Staff</v>
      </c>
      <c r="AB222">
        <f>SUM(B222:D222)/SUM(B222:D222)*100</f>
        <v>100</v>
      </c>
      <c r="AC222">
        <f>SUM(E222:G222)/SUM(E222:G222)*100</f>
        <v>100</v>
      </c>
      <c r="AD222">
        <f>SUM(H222:J222)/SUM(H222:J222)*100</f>
        <v>100</v>
      </c>
      <c r="AE222">
        <f>SUM(K222:M222)/SUM(K222:M222)*100</f>
        <v>100</v>
      </c>
      <c r="AF222">
        <f>SUM(N222:P222)/SUM(N222:P222)*100</f>
        <v>100</v>
      </c>
    </row>
    <row r="223" spans="1:32" x14ac:dyDescent="0.2">
      <c r="A223" t="str">
        <f>A3</f>
        <v>Weighted Plan</v>
      </c>
      <c r="B223">
        <f>AIC!C71</f>
        <v>3.25</v>
      </c>
      <c r="C223">
        <f>AIC!D71</f>
        <v>2.6549999999999998</v>
      </c>
      <c r="D223">
        <f>AIC!E71</f>
        <v>2.375</v>
      </c>
      <c r="E223">
        <f>AIC!F71</f>
        <v>3.35</v>
      </c>
      <c r="F223">
        <f>AIC!G71</f>
        <v>3.5</v>
      </c>
      <c r="G223">
        <f>AIC!H71</f>
        <v>2.6</v>
      </c>
      <c r="H223">
        <f>AIC!I71</f>
        <v>3</v>
      </c>
      <c r="I223">
        <f>AIC!J71</f>
        <v>3.25</v>
      </c>
      <c r="J223">
        <f>AIC!K71</f>
        <v>3.15</v>
      </c>
      <c r="K223">
        <f>AIC!L71</f>
        <v>2.4500000000000002</v>
      </c>
      <c r="L223">
        <f>AIC!M71</f>
        <v>2.4500000000000002</v>
      </c>
      <c r="M223">
        <f>AIC!N71</f>
        <v>2.4500000000000002</v>
      </c>
      <c r="N223">
        <f>AIC!O71</f>
        <v>2.0499999999999998</v>
      </c>
      <c r="O223">
        <f>AIC!P71</f>
        <v>2.0499999999999998</v>
      </c>
      <c r="P223">
        <f>AIC!Q71</f>
        <v>2.0499999999999998</v>
      </c>
      <c r="AA223" t="str">
        <f t="shared" ref="AA223:AA224" si="44">_xlfn.CONCAT("% ",A223)</f>
        <v>% Weighted Plan</v>
      </c>
      <c r="AB223">
        <f>SUM(B223:D223)/SUM(B222:D222)*100</f>
        <v>69</v>
      </c>
      <c r="AC223">
        <f>SUM(E223:G223)/SUM(E222:G222)*100</f>
        <v>78.75</v>
      </c>
      <c r="AD223">
        <f>SUM(H223:J223)/SUM(H222:J222)*100</f>
        <v>78.333333333333329</v>
      </c>
      <c r="AE223">
        <f>SUM(K223:M223)/SUM(K222:M222)*100</f>
        <v>61.250000000000007</v>
      </c>
      <c r="AF223">
        <f>SUM(N223:P223)/SUM(N222:P222)*100</f>
        <v>51.249999999999993</v>
      </c>
    </row>
    <row r="224" spans="1:32" x14ac:dyDescent="0.2">
      <c r="A224" t="str">
        <f>A4</f>
        <v>Unweighted Plan</v>
      </c>
      <c r="B224">
        <f>'Full-AIC'!C71</f>
        <v>3.25</v>
      </c>
      <c r="C224">
        <f>'Full-AIC'!D71</f>
        <v>2.6549999999999998</v>
      </c>
      <c r="D224">
        <f>'Full-AIC'!E71</f>
        <v>2.375</v>
      </c>
      <c r="E224">
        <f>'Full-AIC'!F71</f>
        <v>3.4750000000000001</v>
      </c>
      <c r="F224">
        <f>'Full-AIC'!G71</f>
        <v>3.5750000000000002</v>
      </c>
      <c r="G224">
        <f>'Full-AIC'!H71</f>
        <v>2.6749999999999998</v>
      </c>
      <c r="H224">
        <f>'Full-AIC'!I71</f>
        <v>3.0750000000000002</v>
      </c>
      <c r="I224">
        <f>'Full-AIC'!J71</f>
        <v>3.3250000000000002</v>
      </c>
      <c r="J224">
        <f>'Full-AIC'!K71</f>
        <v>3.2250000000000001</v>
      </c>
      <c r="K224">
        <f>'Full-AIC'!L71</f>
        <v>2.5249999999999999</v>
      </c>
      <c r="L224">
        <f>'Full-AIC'!M71</f>
        <v>2.5249999999999999</v>
      </c>
      <c r="M224">
        <f>'Full-AIC'!N71</f>
        <v>2.5249999999999999</v>
      </c>
      <c r="N224">
        <f>'Full-AIC'!O71</f>
        <v>2.125</v>
      </c>
      <c r="O224">
        <f>'Full-AIC'!P71</f>
        <v>2.125</v>
      </c>
      <c r="P224">
        <f>'Full-AIC'!Q71</f>
        <v>2.125</v>
      </c>
      <c r="AA224" t="str">
        <f t="shared" si="44"/>
        <v>% Unweighted Plan</v>
      </c>
      <c r="AB224">
        <f>SUM(B224:D224)/SUM(B222:D222)*100</f>
        <v>69</v>
      </c>
      <c r="AC224">
        <f>SUM(E224:G224)/SUM(E222:G222)*100</f>
        <v>81.041666666666686</v>
      </c>
      <c r="AD224">
        <f>SUM(H224:J224)/SUM(H222:J222)*100</f>
        <v>80.208333333333343</v>
      </c>
      <c r="AE224">
        <f>SUM(K224:M224)/SUM(K222:M222)*100</f>
        <v>63.125</v>
      </c>
      <c r="AF224">
        <f>SUM(N224:P224)/SUM(N222:P222)*100</f>
        <v>53.125</v>
      </c>
    </row>
    <row r="231" spans="1:32" x14ac:dyDescent="0.2">
      <c r="A231" s="49" t="str">
        <f>AIC!A72</f>
        <v>Product Innovation</v>
      </c>
      <c r="B231" t="str">
        <f>AIC!C61</f>
        <v>APR</v>
      </c>
      <c r="C231" t="str">
        <f>AIC!D61</f>
        <v>MAY</v>
      </c>
      <c r="D231" t="str">
        <f>AIC!E61</f>
        <v>JUN</v>
      </c>
      <c r="E231" t="str">
        <f>AIC!F61</f>
        <v>JUL</v>
      </c>
      <c r="F231" t="str">
        <f>AIC!G61</f>
        <v>AUG</v>
      </c>
      <c r="G231" t="str">
        <f>AIC!H61</f>
        <v>SEP</v>
      </c>
      <c r="H231" t="str">
        <f>AIC!I61</f>
        <v>OCT</v>
      </c>
      <c r="I231" t="str">
        <f>AIC!J61</f>
        <v>NOV</v>
      </c>
      <c r="J231" t="str">
        <f>AIC!K61</f>
        <v>DEC</v>
      </c>
      <c r="K231" t="str">
        <f>AIC!L61</f>
        <v>JAN'27</v>
      </c>
      <c r="L231" t="str">
        <f>AIC!M61</f>
        <v>FEB'27</v>
      </c>
      <c r="M231" t="str">
        <f>AIC!N61</f>
        <v>MAR'27</v>
      </c>
      <c r="N231" t="str">
        <f>AIC!O61</f>
        <v>APR'27</v>
      </c>
      <c r="O231" t="str">
        <f>AIC!P61</f>
        <v>MAY'27</v>
      </c>
      <c r="P231" t="str">
        <f>AIC!Q61</f>
        <v>JUN'27</v>
      </c>
      <c r="AA231" t="str">
        <f>A231</f>
        <v>Product Innovation</v>
      </c>
      <c r="AB231" t="str">
        <f>AB$1</f>
        <v>Q2</v>
      </c>
      <c r="AC231" t="str">
        <f t="shared" ref="AC231:AF231" si="45">AC$1</f>
        <v>Q3</v>
      </c>
      <c r="AD231" t="str">
        <f t="shared" si="45"/>
        <v>Q4</v>
      </c>
      <c r="AE231" t="str">
        <f t="shared" si="45"/>
        <v>Q1'27</v>
      </c>
      <c r="AF231" t="str">
        <f t="shared" si="45"/>
        <v>Q2'27</v>
      </c>
    </row>
    <row r="232" spans="1:32" x14ac:dyDescent="0.2">
      <c r="A232" t="str">
        <f>AIC!B72</f>
        <v>Staff</v>
      </c>
      <c r="B232">
        <f>AIC!C72</f>
        <v>0</v>
      </c>
      <c r="C232">
        <f>AIC!D72</f>
        <v>0</v>
      </c>
      <c r="D232">
        <f>AIC!E72</f>
        <v>0</v>
      </c>
      <c r="E232">
        <f>AIC!F72</f>
        <v>0</v>
      </c>
      <c r="F232">
        <f>AIC!G72</f>
        <v>0</v>
      </c>
      <c r="G232">
        <f>AIC!H72</f>
        <v>0</v>
      </c>
      <c r="H232">
        <f>AIC!I72</f>
        <v>0</v>
      </c>
      <c r="I232">
        <f>AIC!J72</f>
        <v>0</v>
      </c>
      <c r="J232">
        <f>AIC!K72</f>
        <v>0</v>
      </c>
      <c r="K232">
        <f>AIC!L72</f>
        <v>0</v>
      </c>
      <c r="L232">
        <f>AIC!M72</f>
        <v>0</v>
      </c>
      <c r="M232">
        <f>AIC!N72</f>
        <v>0</v>
      </c>
      <c r="N232">
        <f>AIC!O72</f>
        <v>0</v>
      </c>
      <c r="O232">
        <f>AIC!P72</f>
        <v>0</v>
      </c>
      <c r="P232">
        <f>AIC!Q72</f>
        <v>0</v>
      </c>
      <c r="AA232" t="str">
        <f>_xlfn.CONCAT("% ",A232)</f>
        <v>% Staff</v>
      </c>
      <c r="AB232">
        <v>0</v>
      </c>
      <c r="AC232">
        <v>0</v>
      </c>
      <c r="AD232">
        <v>0</v>
      </c>
      <c r="AE232">
        <v>0</v>
      </c>
      <c r="AF232">
        <v>0</v>
      </c>
    </row>
    <row r="233" spans="1:32" x14ac:dyDescent="0.2">
      <c r="A233" t="str">
        <f>A3</f>
        <v>Weighted Plan</v>
      </c>
      <c r="B233">
        <f>AIC!C73</f>
        <v>0</v>
      </c>
      <c r="C233">
        <f>AIC!D73</f>
        <v>0</v>
      </c>
      <c r="D233">
        <f>AIC!E73</f>
        <v>0</v>
      </c>
      <c r="E233">
        <f>AIC!F73</f>
        <v>0</v>
      </c>
      <c r="F233">
        <f>AIC!G73</f>
        <v>0</v>
      </c>
      <c r="G233">
        <f>AIC!H73</f>
        <v>0</v>
      </c>
      <c r="H233">
        <f>AIC!I73</f>
        <v>0</v>
      </c>
      <c r="I233">
        <f>AIC!J73</f>
        <v>0</v>
      </c>
      <c r="J233">
        <f>AIC!K73</f>
        <v>0</v>
      </c>
      <c r="K233">
        <f>AIC!L73</f>
        <v>0</v>
      </c>
      <c r="L233">
        <f>AIC!M73</f>
        <v>0</v>
      </c>
      <c r="M233">
        <f>AIC!N73</f>
        <v>0</v>
      </c>
      <c r="N233">
        <f>AIC!O73</f>
        <v>0</v>
      </c>
      <c r="O233">
        <f>AIC!P73</f>
        <v>0</v>
      </c>
      <c r="P233">
        <f>AIC!Q73</f>
        <v>0</v>
      </c>
      <c r="AA233" t="str">
        <f t="shared" ref="AA233:AA234" si="46">_xlfn.CONCAT("% ",A233)</f>
        <v>% Weighted Plan</v>
      </c>
      <c r="AB233">
        <v>0</v>
      </c>
      <c r="AC233">
        <v>0</v>
      </c>
      <c r="AD233">
        <v>0</v>
      </c>
      <c r="AE233">
        <v>0</v>
      </c>
      <c r="AF233">
        <v>0</v>
      </c>
    </row>
    <row r="234" spans="1:32" x14ac:dyDescent="0.2">
      <c r="A234" t="str">
        <f>A4</f>
        <v>Unweighted Plan</v>
      </c>
      <c r="B234" s="101">
        <f>'Full-AIC'!C73</f>
        <v>0</v>
      </c>
      <c r="C234" s="101">
        <f>'Full-AIC'!D73</f>
        <v>0</v>
      </c>
      <c r="D234" s="101">
        <f>'Full-AIC'!E73</f>
        <v>0</v>
      </c>
      <c r="E234" s="101">
        <f>'Full-AIC'!F73</f>
        <v>0</v>
      </c>
      <c r="F234" s="101">
        <f>'Full-AIC'!G73</f>
        <v>0</v>
      </c>
      <c r="G234" s="101">
        <f>'Full-AIC'!H73</f>
        <v>0</v>
      </c>
      <c r="H234" s="101">
        <f>'Full-AIC'!I73</f>
        <v>0</v>
      </c>
      <c r="I234" s="101">
        <f>'Full-AIC'!J73</f>
        <v>0</v>
      </c>
      <c r="J234" s="101">
        <f>'Full-AIC'!K73</f>
        <v>0</v>
      </c>
      <c r="K234" s="101">
        <f>'Full-AIC'!L73</f>
        <v>0</v>
      </c>
      <c r="L234" s="101">
        <f>'Full-AIC'!M73</f>
        <v>0</v>
      </c>
      <c r="M234" s="101">
        <f>'Full-AIC'!N73</f>
        <v>0</v>
      </c>
      <c r="N234" s="101">
        <f>'Full-AIC'!O73</f>
        <v>0</v>
      </c>
      <c r="O234" s="101">
        <f>'Full-AIC'!P73</f>
        <v>0</v>
      </c>
      <c r="P234" s="101">
        <f>'Full-AIC'!Q73</f>
        <v>0</v>
      </c>
      <c r="AA234" t="str">
        <f t="shared" si="46"/>
        <v>% Unweighted Plan</v>
      </c>
      <c r="AB234">
        <v>0</v>
      </c>
      <c r="AC234">
        <v>0</v>
      </c>
      <c r="AD234">
        <v>0</v>
      </c>
      <c r="AE234">
        <v>0</v>
      </c>
      <c r="AF234">
        <v>0</v>
      </c>
    </row>
    <row r="241" spans="1:32" x14ac:dyDescent="0.2">
      <c r="A241" s="102" t="str">
        <f>TDE!A2</f>
        <v>TDE</v>
      </c>
      <c r="B241" t="str">
        <f>TDE!C1</f>
        <v>APR</v>
      </c>
      <c r="C241" t="str">
        <f>TDE!D1</f>
        <v>MAY</v>
      </c>
      <c r="D241" t="str">
        <f>TDE!E1</f>
        <v>JUN</v>
      </c>
      <c r="E241" t="str">
        <f>TDE!F1</f>
        <v>JUL</v>
      </c>
      <c r="F241" t="str">
        <f>TDE!G1</f>
        <v>AUG</v>
      </c>
      <c r="G241" t="str">
        <f>TDE!H1</f>
        <v>SEP</v>
      </c>
      <c r="H241" t="str">
        <f>TDE!I1</f>
        <v>OCT</v>
      </c>
      <c r="I241" t="str">
        <f>TDE!J1</f>
        <v>NOV</v>
      </c>
      <c r="J241" t="str">
        <f>TDE!K1</f>
        <v>DEC</v>
      </c>
      <c r="K241" t="str">
        <f>TDE!L1</f>
        <v>JAN'27</v>
      </c>
      <c r="L241" t="str">
        <f>TDE!M1</f>
        <v>FEB'27</v>
      </c>
      <c r="M241" t="str">
        <f>TDE!N1</f>
        <v>MAR'27</v>
      </c>
      <c r="N241" t="str">
        <f>TDE!O1</f>
        <v>APR'27</v>
      </c>
      <c r="O241" t="str">
        <f>TDE!P1</f>
        <v>MAY'27</v>
      </c>
      <c r="P241" t="str">
        <f>TDE!Q1</f>
        <v>JUN'27</v>
      </c>
      <c r="AA241" t="str">
        <f>A241</f>
        <v>TDE</v>
      </c>
      <c r="AB241" t="str">
        <f>AB$1</f>
        <v>Q2</v>
      </c>
      <c r="AC241" t="str">
        <f t="shared" ref="AC241:AF241" si="47">AC$1</f>
        <v>Q3</v>
      </c>
      <c r="AD241" t="str">
        <f t="shared" si="47"/>
        <v>Q4</v>
      </c>
      <c r="AE241" t="str">
        <f t="shared" si="47"/>
        <v>Q1'27</v>
      </c>
      <c r="AF241" t="str">
        <f t="shared" si="47"/>
        <v>Q2'27</v>
      </c>
    </row>
    <row r="242" spans="1:32" x14ac:dyDescent="0.2">
      <c r="A242" t="str">
        <f>TDE!B2</f>
        <v>Staff</v>
      </c>
      <c r="B242">
        <f>TDE!C2</f>
        <v>16</v>
      </c>
      <c r="C242">
        <f>TDE!D2</f>
        <v>16</v>
      </c>
      <c r="D242">
        <f>TDE!E2</f>
        <v>16</v>
      </c>
      <c r="E242">
        <f>TDE!F2</f>
        <v>16</v>
      </c>
      <c r="F242">
        <f>TDE!G2</f>
        <v>16</v>
      </c>
      <c r="G242">
        <f>TDE!H2</f>
        <v>16</v>
      </c>
      <c r="H242">
        <f>TDE!I2</f>
        <v>15</v>
      </c>
      <c r="I242">
        <f>TDE!J2</f>
        <v>15</v>
      </c>
      <c r="J242">
        <f>TDE!K2</f>
        <v>15</v>
      </c>
      <c r="K242">
        <f>TDE!L2</f>
        <v>15</v>
      </c>
      <c r="L242">
        <f>TDE!M2</f>
        <v>16</v>
      </c>
      <c r="M242">
        <f>TDE!N2</f>
        <v>16</v>
      </c>
      <c r="N242">
        <f>TDE!O2</f>
        <v>16</v>
      </c>
      <c r="O242">
        <f>TDE!P2</f>
        <v>16</v>
      </c>
      <c r="P242">
        <f>TDE!Q2</f>
        <v>16</v>
      </c>
      <c r="AA242" t="str">
        <f>_xlfn.CONCAT("% ",A242)</f>
        <v>% Staff</v>
      </c>
      <c r="AB242">
        <f>SUM(B242:D242)/SUM(B242:D242)*100</f>
        <v>100</v>
      </c>
      <c r="AC242">
        <f>SUM(E242:G242)/SUM(E242:G242)*100</f>
        <v>100</v>
      </c>
      <c r="AD242">
        <f>SUM(H242:J242)/SUM(H242:J242)*100</f>
        <v>100</v>
      </c>
      <c r="AE242">
        <f>SUM(K242:M242)/SUM(K242:M242)*100</f>
        <v>100</v>
      </c>
      <c r="AF242">
        <f>SUM(N242:P242)/SUM(N242:P242)*100</f>
        <v>100</v>
      </c>
    </row>
    <row r="243" spans="1:32" x14ac:dyDescent="0.2">
      <c r="A243" t="str">
        <f>A3</f>
        <v>Weighted Plan</v>
      </c>
      <c r="B243">
        <f>TDE!C4</f>
        <v>16</v>
      </c>
      <c r="C243">
        <f>TDE!D4</f>
        <v>16</v>
      </c>
      <c r="D243">
        <f>TDE!E4</f>
        <v>16</v>
      </c>
      <c r="E243">
        <f>TDE!F4</f>
        <v>16</v>
      </c>
      <c r="F243">
        <f>TDE!G4</f>
        <v>16</v>
      </c>
      <c r="G243">
        <f>TDE!H4</f>
        <v>16</v>
      </c>
      <c r="H243">
        <f>TDE!I4</f>
        <v>15</v>
      </c>
      <c r="I243">
        <f>TDE!J4</f>
        <v>15</v>
      </c>
      <c r="J243">
        <f>TDE!K4</f>
        <v>15</v>
      </c>
      <c r="K243">
        <f>TDE!L4</f>
        <v>15</v>
      </c>
      <c r="L243">
        <f>TDE!M4</f>
        <v>16</v>
      </c>
      <c r="M243">
        <f>TDE!N4</f>
        <v>16</v>
      </c>
      <c r="N243">
        <f>TDE!O4</f>
        <v>16</v>
      </c>
      <c r="O243">
        <f>TDE!P4</f>
        <v>16</v>
      </c>
      <c r="P243">
        <f>TDE!Q4</f>
        <v>16</v>
      </c>
      <c r="AA243" t="str">
        <f t="shared" ref="AA243:AA244" si="48">_xlfn.CONCAT("% ",A243)</f>
        <v>% Weighted Plan</v>
      </c>
      <c r="AB243">
        <f>SUM(B243:D243)/SUM(B242:D242)*100</f>
        <v>100</v>
      </c>
      <c r="AC243">
        <f>SUM(E243:G243)/SUM(E242:G242)*100</f>
        <v>100</v>
      </c>
      <c r="AD243">
        <f>SUM(H243:J243)/SUM(H242:J242)*100</f>
        <v>100</v>
      </c>
      <c r="AE243">
        <f>SUM(K243:M243)/SUM(K242:M242)*100</f>
        <v>100</v>
      </c>
      <c r="AF243">
        <f>SUM(N243:P243)/SUM(N242:P242)*100</f>
        <v>100</v>
      </c>
    </row>
    <row r="244" spans="1:32" x14ac:dyDescent="0.2">
      <c r="A244" t="str">
        <f>A4</f>
        <v>Unweighted Plan</v>
      </c>
      <c r="B244">
        <f>'Full-TDE'!C4</f>
        <v>16</v>
      </c>
      <c r="C244">
        <f>'Full-TDE'!D4</f>
        <v>16</v>
      </c>
      <c r="D244">
        <f>'Full-TDE'!E4</f>
        <v>16</v>
      </c>
      <c r="E244">
        <f>'Full-TDE'!F4</f>
        <v>16</v>
      </c>
      <c r="F244">
        <f>'Full-TDE'!G4</f>
        <v>16</v>
      </c>
      <c r="G244">
        <f>'Full-TDE'!H4</f>
        <v>16</v>
      </c>
      <c r="H244">
        <f>'Full-TDE'!I4</f>
        <v>15</v>
      </c>
      <c r="I244">
        <f>'Full-TDE'!J4</f>
        <v>15</v>
      </c>
      <c r="J244">
        <f>'Full-TDE'!K4</f>
        <v>15</v>
      </c>
      <c r="K244">
        <f>'Full-TDE'!L4</f>
        <v>15</v>
      </c>
      <c r="L244">
        <f>'Full-TDE'!M4</f>
        <v>16</v>
      </c>
      <c r="M244">
        <f>'Full-TDE'!N4</f>
        <v>16</v>
      </c>
      <c r="N244">
        <f>'Full-TDE'!O4</f>
        <v>16</v>
      </c>
      <c r="O244">
        <f>'Full-TDE'!P4</f>
        <v>16</v>
      </c>
      <c r="P244">
        <f>'Full-TDE'!Q4</f>
        <v>16</v>
      </c>
      <c r="AA244" t="str">
        <f t="shared" si="48"/>
        <v>% Unweighted Plan</v>
      </c>
      <c r="AB244">
        <f>SUM(B244:D244)/SUM(B242:D242)*100</f>
        <v>100</v>
      </c>
      <c r="AC244">
        <f>SUM(E244:G244)/SUM(E242:G242)*100</f>
        <v>100</v>
      </c>
      <c r="AD244">
        <f>SUM(H244:J244)/SUM(H242:J242)*100</f>
        <v>100</v>
      </c>
      <c r="AE244">
        <f>SUM(K244:M244)/SUM(K242:M242)*100</f>
        <v>100</v>
      </c>
      <c r="AF244">
        <f>SUM(N244:P244)/SUM(N242:P242)*100</f>
        <v>100</v>
      </c>
    </row>
    <row r="251" spans="1:32" x14ac:dyDescent="0.2">
      <c r="A251" s="49" t="str">
        <f>TDE!A66</f>
        <v>Financial Management</v>
      </c>
      <c r="B251" t="str">
        <f>TDE!C61</f>
        <v>APR</v>
      </c>
      <c r="C251" t="str">
        <f>TDE!D61</f>
        <v>MAY</v>
      </c>
      <c r="D251" t="str">
        <f>TDE!E61</f>
        <v>JUN</v>
      </c>
      <c r="E251" t="str">
        <f>TDE!F61</f>
        <v>JUL</v>
      </c>
      <c r="F251" t="str">
        <f>TDE!G61</f>
        <v>AUG</v>
      </c>
      <c r="G251" t="str">
        <f>TDE!H61</f>
        <v>SEP</v>
      </c>
      <c r="H251" t="str">
        <f>TDE!I61</f>
        <v>OCT</v>
      </c>
      <c r="I251" t="str">
        <f>TDE!J61</f>
        <v>NOV</v>
      </c>
      <c r="J251" t="str">
        <f>TDE!K61</f>
        <v>DEC</v>
      </c>
      <c r="K251" t="str">
        <f>TDE!L61</f>
        <v>JAN'27</v>
      </c>
      <c r="L251" t="str">
        <f>TDE!M61</f>
        <v>FEB'27</v>
      </c>
      <c r="M251" t="str">
        <f>TDE!N61</f>
        <v>MAR'27</v>
      </c>
      <c r="N251" t="str">
        <f>TDE!O61</f>
        <v>APR'27</v>
      </c>
      <c r="O251" t="str">
        <f>TDE!P61</f>
        <v>MAY'27</v>
      </c>
      <c r="P251" t="str">
        <f>TDE!Q61</f>
        <v>JUN'27</v>
      </c>
      <c r="AA251" t="str">
        <f>A251</f>
        <v>Financial Management</v>
      </c>
      <c r="AB251" t="str">
        <f>AB$1</f>
        <v>Q2</v>
      </c>
      <c r="AC251" t="str">
        <f t="shared" ref="AC251:AF251" si="49">AC$1</f>
        <v>Q3</v>
      </c>
      <c r="AD251" t="str">
        <f t="shared" si="49"/>
        <v>Q4</v>
      </c>
      <c r="AE251" t="str">
        <f t="shared" si="49"/>
        <v>Q1'27</v>
      </c>
      <c r="AF251" t="str">
        <f t="shared" si="49"/>
        <v>Q2'27</v>
      </c>
    </row>
    <row r="252" spans="1:32" x14ac:dyDescent="0.2">
      <c r="A252" t="str">
        <f>TDE!B66</f>
        <v>Staff</v>
      </c>
      <c r="B252">
        <f>TDE!C66</f>
        <v>4</v>
      </c>
      <c r="C252">
        <f>TDE!D66</f>
        <v>4</v>
      </c>
      <c r="D252">
        <f>TDE!E66</f>
        <v>4</v>
      </c>
      <c r="E252">
        <f>TDE!F66</f>
        <v>4</v>
      </c>
      <c r="F252">
        <f>TDE!G66</f>
        <v>4</v>
      </c>
      <c r="G252">
        <f>TDE!H66</f>
        <v>4</v>
      </c>
      <c r="H252">
        <f>TDE!I66</f>
        <v>4</v>
      </c>
      <c r="I252">
        <f>TDE!J66</f>
        <v>4</v>
      </c>
      <c r="J252">
        <f>TDE!K66</f>
        <v>4</v>
      </c>
      <c r="K252">
        <f>TDE!L66</f>
        <v>4</v>
      </c>
      <c r="L252">
        <f>TDE!M66</f>
        <v>4</v>
      </c>
      <c r="M252">
        <f>TDE!N66</f>
        <v>4</v>
      </c>
      <c r="N252">
        <f>TDE!O66</f>
        <v>4</v>
      </c>
      <c r="O252">
        <f>TDE!P66</f>
        <v>4</v>
      </c>
      <c r="P252">
        <f>TDE!Q66</f>
        <v>4</v>
      </c>
      <c r="AA252" t="str">
        <f>_xlfn.CONCAT("% ",A252)</f>
        <v>% Staff</v>
      </c>
      <c r="AB252">
        <f>SUM(B252:D252)/SUM(B252:D252)*100</f>
        <v>100</v>
      </c>
      <c r="AC252">
        <f>SUM(E252:G252)/SUM(E252:G252)*100</f>
        <v>100</v>
      </c>
      <c r="AD252">
        <f>SUM(H252:J252)/SUM(H252:J252)*100</f>
        <v>100</v>
      </c>
      <c r="AE252">
        <f>SUM(K252:M252)/SUM(K252:M252)*100</f>
        <v>100</v>
      </c>
      <c r="AF252">
        <f>SUM(N252:P252)/SUM(N252:P252)*100</f>
        <v>100</v>
      </c>
    </row>
    <row r="253" spans="1:32" x14ac:dyDescent="0.2">
      <c r="A253" t="str">
        <f>A3</f>
        <v>Weighted Plan</v>
      </c>
      <c r="B253">
        <f>TDE!C67</f>
        <v>4</v>
      </c>
      <c r="C253">
        <f>TDE!D67</f>
        <v>4</v>
      </c>
      <c r="D253">
        <f>TDE!E67</f>
        <v>4</v>
      </c>
      <c r="E253">
        <f>TDE!F67</f>
        <v>4</v>
      </c>
      <c r="F253">
        <f>TDE!G67</f>
        <v>4</v>
      </c>
      <c r="G253">
        <f>TDE!H67</f>
        <v>4</v>
      </c>
      <c r="H253">
        <f>TDE!I67</f>
        <v>4</v>
      </c>
      <c r="I253">
        <f>TDE!J67</f>
        <v>4</v>
      </c>
      <c r="J253">
        <f>TDE!K67</f>
        <v>4</v>
      </c>
      <c r="K253">
        <f>TDE!L67</f>
        <v>4</v>
      </c>
      <c r="L253">
        <f>TDE!M67</f>
        <v>4</v>
      </c>
      <c r="M253">
        <f>TDE!N67</f>
        <v>4</v>
      </c>
      <c r="N253">
        <f>TDE!O67</f>
        <v>4</v>
      </c>
      <c r="O253">
        <f>TDE!P67</f>
        <v>4</v>
      </c>
      <c r="P253">
        <f>TDE!Q67</f>
        <v>4</v>
      </c>
      <c r="AA253" t="str">
        <f t="shared" ref="AA253:AA254" si="50">_xlfn.CONCAT("% ",A253)</f>
        <v>% Weighted Plan</v>
      </c>
      <c r="AB253">
        <f>SUM(B253:D253)/SUM(B252:D252)*100</f>
        <v>100</v>
      </c>
      <c r="AC253">
        <f>SUM(E253:G253)/SUM(E252:G252)*100</f>
        <v>100</v>
      </c>
      <c r="AD253">
        <f>SUM(H253:J253)/SUM(H252:J252)*100</f>
        <v>100</v>
      </c>
      <c r="AE253">
        <f>SUM(K253:M253)/SUM(K252:M252)*100</f>
        <v>100</v>
      </c>
      <c r="AF253">
        <f>SUM(N253:P253)/SUM(N252:P252)*100</f>
        <v>100</v>
      </c>
    </row>
    <row r="254" spans="1:32" x14ac:dyDescent="0.2">
      <c r="A254" t="str">
        <f>A4</f>
        <v>Unweighted Plan</v>
      </c>
      <c r="B254">
        <f>'Full-TDE'!C67</f>
        <v>4</v>
      </c>
      <c r="C254">
        <f>'Full-TDE'!D67</f>
        <v>4</v>
      </c>
      <c r="D254">
        <f>'Full-TDE'!E67</f>
        <v>4</v>
      </c>
      <c r="E254">
        <f>'Full-TDE'!F67</f>
        <v>4</v>
      </c>
      <c r="F254">
        <f>'Full-TDE'!G67</f>
        <v>4</v>
      </c>
      <c r="G254">
        <f>'Full-TDE'!H67</f>
        <v>4</v>
      </c>
      <c r="H254">
        <f>'Full-TDE'!I67</f>
        <v>4</v>
      </c>
      <c r="I254">
        <f>'Full-TDE'!J67</f>
        <v>4</v>
      </c>
      <c r="J254">
        <f>'Full-TDE'!K67</f>
        <v>4</v>
      </c>
      <c r="K254">
        <f>'Full-TDE'!L67</f>
        <v>4</v>
      </c>
      <c r="L254">
        <f>'Full-TDE'!M67</f>
        <v>4</v>
      </c>
      <c r="M254">
        <f>'Full-TDE'!N67</f>
        <v>4</v>
      </c>
      <c r="N254">
        <f>'Full-TDE'!O67</f>
        <v>4</v>
      </c>
      <c r="O254">
        <f>'Full-TDE'!P67</f>
        <v>4</v>
      </c>
      <c r="P254">
        <f>'Full-TDE'!Q67</f>
        <v>4</v>
      </c>
      <c r="AA254" t="str">
        <f t="shared" si="50"/>
        <v>% Unweighted Plan</v>
      </c>
      <c r="AB254">
        <f>SUM(B254:D254)/SUM(B252:D252)*100</f>
        <v>100</v>
      </c>
      <c r="AC254">
        <f>SUM(E254:G254)/SUM(E252:G252)*100</f>
        <v>100</v>
      </c>
      <c r="AD254">
        <f>SUM(H254:J254)/SUM(H252:J252)*100</f>
        <v>100</v>
      </c>
      <c r="AE254">
        <f>SUM(K254:M254)/SUM(K252:M252)*100</f>
        <v>100</v>
      </c>
      <c r="AF254">
        <f>SUM(N254:P254)/SUM(N252:P252)*100</f>
        <v>100</v>
      </c>
    </row>
    <row r="261" spans="1:32" x14ac:dyDescent="0.2">
      <c r="A261" s="49" t="str">
        <f>TDE!A68</f>
        <v>Resource Management</v>
      </c>
      <c r="B261" t="str">
        <f>TDE!C61</f>
        <v>APR</v>
      </c>
      <c r="C261" t="str">
        <f>TDE!D61</f>
        <v>MAY</v>
      </c>
      <c r="D261" t="str">
        <f>TDE!E61</f>
        <v>JUN</v>
      </c>
      <c r="E261" t="str">
        <f>TDE!F61</f>
        <v>JUL</v>
      </c>
      <c r="F261" t="str">
        <f>TDE!G61</f>
        <v>AUG</v>
      </c>
      <c r="G261" t="str">
        <f>TDE!H61</f>
        <v>SEP</v>
      </c>
      <c r="H261" t="str">
        <f>TDE!I61</f>
        <v>OCT</v>
      </c>
      <c r="I261" t="str">
        <f>TDE!J61</f>
        <v>NOV</v>
      </c>
      <c r="J261" t="str">
        <f>TDE!K61</f>
        <v>DEC</v>
      </c>
      <c r="K261" t="str">
        <f>TDE!L61</f>
        <v>JAN'27</v>
      </c>
      <c r="L261" t="str">
        <f>TDE!M61</f>
        <v>FEB'27</v>
      </c>
      <c r="M261" t="str">
        <f>TDE!N61</f>
        <v>MAR'27</v>
      </c>
      <c r="N261" t="str">
        <f>TDE!O61</f>
        <v>APR'27</v>
      </c>
      <c r="O261" t="str">
        <f>TDE!P61</f>
        <v>MAY'27</v>
      </c>
      <c r="P261" t="str">
        <f>TDE!Q61</f>
        <v>JUN'27</v>
      </c>
      <c r="AA261" t="str">
        <f>A261</f>
        <v>Resource Management</v>
      </c>
      <c r="AB261" t="str">
        <f>AB$1</f>
        <v>Q2</v>
      </c>
      <c r="AC261" t="str">
        <f t="shared" ref="AC261:AF261" si="51">AC$1</f>
        <v>Q3</v>
      </c>
      <c r="AD261" t="str">
        <f t="shared" si="51"/>
        <v>Q4</v>
      </c>
      <c r="AE261" t="str">
        <f t="shared" si="51"/>
        <v>Q1'27</v>
      </c>
      <c r="AF261" t="str">
        <f t="shared" si="51"/>
        <v>Q2'27</v>
      </c>
    </row>
    <row r="262" spans="1:32" x14ac:dyDescent="0.2">
      <c r="A262" t="str">
        <f>TDE!B68</f>
        <v>Staff</v>
      </c>
      <c r="B262">
        <f>TDE!C68</f>
        <v>5</v>
      </c>
      <c r="C262">
        <f>TDE!D68</f>
        <v>5</v>
      </c>
      <c r="D262">
        <f>TDE!E68</f>
        <v>5</v>
      </c>
      <c r="E262">
        <f>TDE!F68</f>
        <v>5</v>
      </c>
      <c r="F262">
        <f>TDE!G68</f>
        <v>5</v>
      </c>
      <c r="G262">
        <f>TDE!H68</f>
        <v>5</v>
      </c>
      <c r="H262">
        <f>TDE!I68</f>
        <v>5</v>
      </c>
      <c r="I262">
        <f>TDE!J68</f>
        <v>5</v>
      </c>
      <c r="J262">
        <f>TDE!K68</f>
        <v>5</v>
      </c>
      <c r="K262">
        <f>TDE!L68</f>
        <v>5</v>
      </c>
      <c r="L262">
        <f>TDE!M68</f>
        <v>5</v>
      </c>
      <c r="M262">
        <f>TDE!N68</f>
        <v>5</v>
      </c>
      <c r="N262">
        <f>TDE!O68</f>
        <v>5</v>
      </c>
      <c r="O262">
        <f>TDE!P68</f>
        <v>5</v>
      </c>
      <c r="P262">
        <f>TDE!Q68</f>
        <v>5</v>
      </c>
      <c r="AA262" t="str">
        <f>_xlfn.CONCAT("% ",A262)</f>
        <v>% Staff</v>
      </c>
      <c r="AB262">
        <f>SUM(B262:D262)/SUM(B262:D262)*100</f>
        <v>100</v>
      </c>
      <c r="AC262">
        <f>SUM(E262:G262)/SUM(E262:G262)*100</f>
        <v>100</v>
      </c>
      <c r="AD262">
        <f>SUM(H262:J262)/SUM(H262:J262)*100</f>
        <v>100</v>
      </c>
      <c r="AE262">
        <f>SUM(K262:M262)/SUM(K262:M262)*100</f>
        <v>100</v>
      </c>
      <c r="AF262">
        <f>SUM(N262:P262)/SUM(N262:P262)*100</f>
        <v>100</v>
      </c>
    </row>
    <row r="263" spans="1:32" x14ac:dyDescent="0.2">
      <c r="A263" t="str">
        <f>A3</f>
        <v>Weighted Plan</v>
      </c>
      <c r="B263">
        <f>TDE!C69</f>
        <v>5</v>
      </c>
      <c r="C263">
        <f>TDE!D69</f>
        <v>5</v>
      </c>
      <c r="D263">
        <f>TDE!E69</f>
        <v>5</v>
      </c>
      <c r="E263">
        <f>TDE!F69</f>
        <v>5</v>
      </c>
      <c r="F263">
        <f>TDE!G69</f>
        <v>5</v>
      </c>
      <c r="G263">
        <f>TDE!H69</f>
        <v>5</v>
      </c>
      <c r="H263">
        <f>TDE!I69</f>
        <v>5</v>
      </c>
      <c r="I263">
        <f>TDE!J69</f>
        <v>5</v>
      </c>
      <c r="J263">
        <f>TDE!K69</f>
        <v>5</v>
      </c>
      <c r="K263">
        <f>TDE!L69</f>
        <v>5</v>
      </c>
      <c r="L263">
        <f>TDE!M69</f>
        <v>5</v>
      </c>
      <c r="M263">
        <f>TDE!N69</f>
        <v>5</v>
      </c>
      <c r="N263">
        <f>TDE!O69</f>
        <v>5</v>
      </c>
      <c r="O263">
        <f>TDE!P69</f>
        <v>5</v>
      </c>
      <c r="P263">
        <f>TDE!Q69</f>
        <v>5</v>
      </c>
      <c r="AA263" t="str">
        <f t="shared" ref="AA263:AA264" si="52">_xlfn.CONCAT("% ",A263)</f>
        <v>% Weighted Plan</v>
      </c>
      <c r="AB263">
        <f>SUM(B263:D263)/SUM(B262:D262)*100</f>
        <v>100</v>
      </c>
      <c r="AC263">
        <f>SUM(E263:G263)/SUM(E262:G262)*100</f>
        <v>100</v>
      </c>
      <c r="AD263">
        <f>SUM(H263:J263)/SUM(H262:J262)*100</f>
        <v>100</v>
      </c>
      <c r="AE263">
        <f>SUM(K263:M263)/SUM(K262:M262)*100</f>
        <v>100</v>
      </c>
      <c r="AF263">
        <f>SUM(N263:P263)/SUM(N262:P262)*100</f>
        <v>100</v>
      </c>
    </row>
    <row r="264" spans="1:32" x14ac:dyDescent="0.2">
      <c r="A264" t="str">
        <f>A4</f>
        <v>Unweighted Plan</v>
      </c>
      <c r="B264">
        <f>'Full-TDE'!C69</f>
        <v>5</v>
      </c>
      <c r="C264">
        <f>'Full-TDE'!D69</f>
        <v>5</v>
      </c>
      <c r="D264">
        <f>'Full-TDE'!E69</f>
        <v>5</v>
      </c>
      <c r="E264">
        <f>'Full-TDE'!F69</f>
        <v>5</v>
      </c>
      <c r="F264">
        <f>'Full-TDE'!G69</f>
        <v>5</v>
      </c>
      <c r="G264">
        <f>'Full-TDE'!H69</f>
        <v>5</v>
      </c>
      <c r="H264">
        <f>'Full-TDE'!I69</f>
        <v>5</v>
      </c>
      <c r="I264">
        <f>'Full-TDE'!J69</f>
        <v>5</v>
      </c>
      <c r="J264">
        <f>'Full-TDE'!K69</f>
        <v>5</v>
      </c>
      <c r="K264">
        <f>'Full-TDE'!L69</f>
        <v>5</v>
      </c>
      <c r="L264">
        <f>'Full-TDE'!M69</f>
        <v>5</v>
      </c>
      <c r="M264">
        <f>'Full-TDE'!N69</f>
        <v>5</v>
      </c>
      <c r="N264">
        <f>'Full-TDE'!O69</f>
        <v>5</v>
      </c>
      <c r="O264">
        <f>'Full-TDE'!P69</f>
        <v>5</v>
      </c>
      <c r="P264">
        <f>'Full-TDE'!Q69</f>
        <v>5</v>
      </c>
      <c r="AA264" t="str">
        <f t="shared" si="52"/>
        <v>% Unweighted Plan</v>
      </c>
      <c r="AB264">
        <f>SUM(B264:D264)/SUM(B262:D262)*100</f>
        <v>100</v>
      </c>
      <c r="AC264">
        <f>SUM(E264:G264)/SUM(E262:G262)*100</f>
        <v>100</v>
      </c>
      <c r="AD264">
        <f>SUM(H264:J264)/SUM(H262:J262)*100</f>
        <v>100</v>
      </c>
      <c r="AE264">
        <f>SUM(K264:M264)/SUM(K262:M262)*100</f>
        <v>100</v>
      </c>
      <c r="AF264">
        <f>SUM(N264:P264)/SUM(N262:P262)*100</f>
        <v>100</v>
      </c>
    </row>
    <row r="271" spans="1:32" x14ac:dyDescent="0.2">
      <c r="A271" s="49" t="str">
        <f>TDE!A74</f>
        <v>Talent Experience &amp; Development</v>
      </c>
      <c r="B271" t="str">
        <f>TDE!C61</f>
        <v>APR</v>
      </c>
      <c r="C271" t="str">
        <f>TDE!D61</f>
        <v>MAY</v>
      </c>
      <c r="D271" t="str">
        <f>TDE!E61</f>
        <v>JUN</v>
      </c>
      <c r="E271" t="str">
        <f>TDE!F61</f>
        <v>JUL</v>
      </c>
      <c r="F271" t="str">
        <f>TDE!G61</f>
        <v>AUG</v>
      </c>
      <c r="G271" t="str">
        <f>TDE!H61</f>
        <v>SEP</v>
      </c>
      <c r="H271" t="str">
        <f>TDE!I61</f>
        <v>OCT</v>
      </c>
      <c r="I271" t="str">
        <f>TDE!J61</f>
        <v>NOV</v>
      </c>
      <c r="J271" t="str">
        <f>TDE!K61</f>
        <v>DEC</v>
      </c>
      <c r="K271" t="str">
        <f>TDE!L61</f>
        <v>JAN'27</v>
      </c>
      <c r="L271" t="str">
        <f>TDE!M61</f>
        <v>FEB'27</v>
      </c>
      <c r="M271" t="str">
        <f>TDE!N61</f>
        <v>MAR'27</v>
      </c>
      <c r="N271" t="str">
        <f>TDE!O61</f>
        <v>APR'27</v>
      </c>
      <c r="O271" t="str">
        <f>TDE!P61</f>
        <v>MAY'27</v>
      </c>
      <c r="P271" t="str">
        <f>TDE!Q61</f>
        <v>JUN'27</v>
      </c>
      <c r="AA271" t="str">
        <f>A271</f>
        <v>Talent Experience &amp; Development</v>
      </c>
      <c r="AB271" t="str">
        <f>AB$1</f>
        <v>Q2</v>
      </c>
      <c r="AC271" t="str">
        <f t="shared" ref="AC271:AF271" si="53">AC$1</f>
        <v>Q3</v>
      </c>
      <c r="AD271" t="str">
        <f t="shared" si="53"/>
        <v>Q4</v>
      </c>
      <c r="AE271" t="str">
        <f t="shared" si="53"/>
        <v>Q1'27</v>
      </c>
      <c r="AF271" t="str">
        <f t="shared" si="53"/>
        <v>Q2'27</v>
      </c>
    </row>
    <row r="272" spans="1:32" x14ac:dyDescent="0.2">
      <c r="A272" t="str">
        <f>TDE!B74</f>
        <v>Staff</v>
      </c>
      <c r="B272">
        <f>TDE!C74</f>
        <v>3</v>
      </c>
      <c r="C272">
        <f>TDE!D74</f>
        <v>3</v>
      </c>
      <c r="D272">
        <f>TDE!E74</f>
        <v>3</v>
      </c>
      <c r="E272">
        <f>TDE!F74</f>
        <v>3</v>
      </c>
      <c r="F272">
        <f>TDE!G74</f>
        <v>3</v>
      </c>
      <c r="G272">
        <f>TDE!H74</f>
        <v>3</v>
      </c>
      <c r="H272">
        <f>TDE!I74</f>
        <v>3</v>
      </c>
      <c r="I272">
        <f>TDE!J74</f>
        <v>3</v>
      </c>
      <c r="J272">
        <f>TDE!K74</f>
        <v>3</v>
      </c>
      <c r="K272">
        <f>TDE!L74</f>
        <v>3</v>
      </c>
      <c r="L272">
        <f>TDE!M74</f>
        <v>3</v>
      </c>
      <c r="M272">
        <f>TDE!N74</f>
        <v>3</v>
      </c>
      <c r="N272">
        <f>TDE!O74</f>
        <v>3</v>
      </c>
      <c r="O272">
        <f>TDE!P74</f>
        <v>3</v>
      </c>
      <c r="P272">
        <f>TDE!Q74</f>
        <v>3</v>
      </c>
      <c r="AA272" t="str">
        <f>_xlfn.CONCAT("% ",A272)</f>
        <v>% Staff</v>
      </c>
      <c r="AB272">
        <f>SUM(B272:D272)/SUM(B272:D272)*100</f>
        <v>100</v>
      </c>
      <c r="AC272">
        <f>SUM(E272:G272)/SUM(E272:G272)*100</f>
        <v>100</v>
      </c>
      <c r="AD272">
        <f>SUM(H272:J272)/SUM(H272:J272)*100</f>
        <v>100</v>
      </c>
      <c r="AE272">
        <f>SUM(K272:M272)/SUM(K272:M272)*100</f>
        <v>100</v>
      </c>
      <c r="AF272">
        <f>SUM(N272:P272)/SUM(N272:P272)*100</f>
        <v>100</v>
      </c>
    </row>
    <row r="273" spans="1:32" x14ac:dyDescent="0.2">
      <c r="A273" t="str">
        <f>A3</f>
        <v>Weighted Plan</v>
      </c>
      <c r="B273">
        <f>TDE!C75</f>
        <v>3</v>
      </c>
      <c r="C273">
        <f>TDE!D75</f>
        <v>3</v>
      </c>
      <c r="D273">
        <f>TDE!E75</f>
        <v>3</v>
      </c>
      <c r="E273">
        <f>TDE!F75</f>
        <v>3</v>
      </c>
      <c r="F273">
        <f>TDE!G75</f>
        <v>3</v>
      </c>
      <c r="G273">
        <f>TDE!H75</f>
        <v>3</v>
      </c>
      <c r="H273">
        <f>TDE!I75</f>
        <v>3</v>
      </c>
      <c r="I273">
        <f>TDE!J75</f>
        <v>3</v>
      </c>
      <c r="J273">
        <f>TDE!K75</f>
        <v>3</v>
      </c>
      <c r="K273">
        <f>TDE!L75</f>
        <v>3</v>
      </c>
      <c r="L273">
        <f>TDE!M75</f>
        <v>3</v>
      </c>
      <c r="M273">
        <f>TDE!N75</f>
        <v>3</v>
      </c>
      <c r="N273">
        <f>TDE!O75</f>
        <v>3</v>
      </c>
      <c r="O273">
        <f>TDE!P75</f>
        <v>3</v>
      </c>
      <c r="P273">
        <f>TDE!Q75</f>
        <v>3</v>
      </c>
      <c r="AA273" t="str">
        <f t="shared" ref="AA273:AA274" si="54">_xlfn.CONCAT("% ",A273)</f>
        <v>% Weighted Plan</v>
      </c>
      <c r="AB273">
        <f>SUM(B273:D273)/SUM(B272:D272)*100</f>
        <v>100</v>
      </c>
      <c r="AC273">
        <f>SUM(E273:G273)/SUM(E272:G272)*100</f>
        <v>100</v>
      </c>
      <c r="AD273">
        <f>SUM(H273:J273)/SUM(H272:J272)*100</f>
        <v>100</v>
      </c>
      <c r="AE273">
        <f>SUM(K273:M273)/SUM(K272:M272)*100</f>
        <v>100</v>
      </c>
      <c r="AF273">
        <f>SUM(N273:P273)/SUM(N272:P272)*100</f>
        <v>100</v>
      </c>
    </row>
    <row r="274" spans="1:32" x14ac:dyDescent="0.2">
      <c r="A274" t="str">
        <f>A4</f>
        <v>Unweighted Plan</v>
      </c>
      <c r="B274">
        <f>'Full-TDE'!C75</f>
        <v>3</v>
      </c>
      <c r="C274">
        <f>'Full-TDE'!D75</f>
        <v>3</v>
      </c>
      <c r="D274">
        <f>'Full-TDE'!E75</f>
        <v>3</v>
      </c>
      <c r="E274">
        <f>'Full-TDE'!F75</f>
        <v>3</v>
      </c>
      <c r="F274">
        <f>'Full-TDE'!G75</f>
        <v>3</v>
      </c>
      <c r="G274">
        <f>'Full-TDE'!H75</f>
        <v>3</v>
      </c>
      <c r="H274">
        <f>'Full-TDE'!I75</f>
        <v>3</v>
      </c>
      <c r="I274">
        <f>'Full-TDE'!J75</f>
        <v>3</v>
      </c>
      <c r="J274">
        <f>'Full-TDE'!K75</f>
        <v>3</v>
      </c>
      <c r="K274">
        <f>'Full-TDE'!L75</f>
        <v>3</v>
      </c>
      <c r="L274">
        <f>'Full-TDE'!M75</f>
        <v>3</v>
      </c>
      <c r="M274">
        <f>'Full-TDE'!N75</f>
        <v>3</v>
      </c>
      <c r="N274">
        <f>'Full-TDE'!O75</f>
        <v>3</v>
      </c>
      <c r="O274">
        <f>'Full-TDE'!P75</f>
        <v>3</v>
      </c>
      <c r="P274">
        <f>'Full-TDE'!Q75</f>
        <v>3</v>
      </c>
      <c r="AA274" t="str">
        <f t="shared" si="54"/>
        <v>% Unweighted Plan</v>
      </c>
      <c r="AB274">
        <f>SUM(B274:D274)/SUM(B272:D272)*100</f>
        <v>100</v>
      </c>
      <c r="AC274">
        <f>SUM(E274:G274)/SUM(E272:G272)*100</f>
        <v>100</v>
      </c>
      <c r="AD274">
        <f>SUM(H274:J274)/SUM(H272:J272)*100</f>
        <v>100</v>
      </c>
      <c r="AE274">
        <f>SUM(K274:M274)/SUM(K272:M272)*100</f>
        <v>100</v>
      </c>
      <c r="AF274">
        <f>SUM(N274:P274)/SUM(N272:P272)*100</f>
        <v>100</v>
      </c>
    </row>
    <row r="281" spans="1:32" x14ac:dyDescent="0.2">
      <c r="A281" s="49" t="str">
        <f>TDE!A80</f>
        <v>Center of Excellences</v>
      </c>
      <c r="B281" t="str">
        <f>TDE!C61</f>
        <v>APR</v>
      </c>
      <c r="C281" t="str">
        <f>TDE!D61</f>
        <v>MAY</v>
      </c>
      <c r="D281" t="str">
        <f>TDE!E61</f>
        <v>JUN</v>
      </c>
      <c r="E281" t="str">
        <f>TDE!F61</f>
        <v>JUL</v>
      </c>
      <c r="F281" t="str">
        <f>TDE!G61</f>
        <v>AUG</v>
      </c>
      <c r="G281" t="str">
        <f>TDE!H61</f>
        <v>SEP</v>
      </c>
      <c r="H281" t="str">
        <f>TDE!I61</f>
        <v>OCT</v>
      </c>
      <c r="I281" t="str">
        <f>TDE!J61</f>
        <v>NOV</v>
      </c>
      <c r="J281" t="str">
        <f>TDE!K61</f>
        <v>DEC</v>
      </c>
      <c r="K281" t="str">
        <f>TDE!L61</f>
        <v>JAN'27</v>
      </c>
      <c r="L281" t="str">
        <f>TDE!M61</f>
        <v>FEB'27</v>
      </c>
      <c r="M281" t="str">
        <f>TDE!N61</f>
        <v>MAR'27</v>
      </c>
      <c r="N281" t="str">
        <f>TDE!O61</f>
        <v>APR'27</v>
      </c>
      <c r="O281" t="str">
        <f>TDE!P61</f>
        <v>MAY'27</v>
      </c>
      <c r="P281" t="str">
        <f>TDE!Q61</f>
        <v>JUN'27</v>
      </c>
      <c r="AA281" t="str">
        <f>A281</f>
        <v>Center of Excellences</v>
      </c>
      <c r="AB281" t="str">
        <f>AB$1</f>
        <v>Q2</v>
      </c>
      <c r="AC281" t="str">
        <f t="shared" ref="AC281:AF281" si="55">AC$1</f>
        <v>Q3</v>
      </c>
      <c r="AD281" t="str">
        <f t="shared" si="55"/>
        <v>Q4</v>
      </c>
      <c r="AE281" t="str">
        <f t="shared" si="55"/>
        <v>Q1'27</v>
      </c>
      <c r="AF281" t="str">
        <f t="shared" si="55"/>
        <v>Q2'27</v>
      </c>
    </row>
    <row r="282" spans="1:32" x14ac:dyDescent="0.2">
      <c r="A282" t="str">
        <f>TDE!B80</f>
        <v>Staff</v>
      </c>
      <c r="B282">
        <f>TDE!C80</f>
        <v>3</v>
      </c>
      <c r="C282">
        <f>TDE!D80</f>
        <v>3</v>
      </c>
      <c r="D282">
        <f>TDE!E80</f>
        <v>3</v>
      </c>
      <c r="E282">
        <f>TDE!F80</f>
        <v>3</v>
      </c>
      <c r="F282">
        <f>TDE!G80</f>
        <v>3</v>
      </c>
      <c r="G282">
        <f>TDE!H80</f>
        <v>3</v>
      </c>
      <c r="H282">
        <f>TDE!I80</f>
        <v>2</v>
      </c>
      <c r="I282">
        <f>TDE!J80</f>
        <v>2</v>
      </c>
      <c r="J282">
        <f>TDE!K80</f>
        <v>2</v>
      </c>
      <c r="K282">
        <f>TDE!L80</f>
        <v>2</v>
      </c>
      <c r="L282">
        <f>TDE!M80</f>
        <v>3</v>
      </c>
      <c r="M282">
        <f>TDE!N80</f>
        <v>3</v>
      </c>
      <c r="N282">
        <f>TDE!O80</f>
        <v>3</v>
      </c>
      <c r="O282">
        <f>TDE!P80</f>
        <v>3</v>
      </c>
      <c r="P282">
        <f>TDE!Q80</f>
        <v>3</v>
      </c>
      <c r="AA282" t="str">
        <f>_xlfn.CONCAT("% ",A282)</f>
        <v>% Staff</v>
      </c>
      <c r="AB282">
        <f>SUM(B282:D282)/SUM(B282:D282)*100</f>
        <v>100</v>
      </c>
      <c r="AC282">
        <f>SUM(E282:G282)/SUM(E282:G282)*100</f>
        <v>100</v>
      </c>
      <c r="AD282">
        <f>SUM(H282:J282)/SUM(H282:J282)*100</f>
        <v>100</v>
      </c>
      <c r="AE282">
        <f>SUM(K282:M282)/SUM(K282:M282)*100</f>
        <v>100</v>
      </c>
      <c r="AF282">
        <f>SUM(N282:P282)/SUM(N282:P282)*100</f>
        <v>100</v>
      </c>
    </row>
    <row r="283" spans="1:32" x14ac:dyDescent="0.2">
      <c r="A283" t="str">
        <f>A3</f>
        <v>Weighted Plan</v>
      </c>
      <c r="B283">
        <f>TDE!C81</f>
        <v>3</v>
      </c>
      <c r="C283">
        <f>TDE!D81</f>
        <v>3</v>
      </c>
      <c r="D283">
        <f>TDE!E81</f>
        <v>3</v>
      </c>
      <c r="E283">
        <f>TDE!F81</f>
        <v>3</v>
      </c>
      <c r="F283">
        <f>TDE!G81</f>
        <v>3</v>
      </c>
      <c r="G283">
        <f>TDE!H81</f>
        <v>3</v>
      </c>
      <c r="H283">
        <f>TDE!I81</f>
        <v>2</v>
      </c>
      <c r="I283">
        <f>TDE!J81</f>
        <v>2</v>
      </c>
      <c r="J283">
        <f>TDE!K81</f>
        <v>2</v>
      </c>
      <c r="K283">
        <f>TDE!L81</f>
        <v>2</v>
      </c>
      <c r="L283">
        <f>TDE!M81</f>
        <v>3</v>
      </c>
      <c r="M283">
        <f>TDE!N81</f>
        <v>3</v>
      </c>
      <c r="N283">
        <f>TDE!O81</f>
        <v>3</v>
      </c>
      <c r="O283">
        <f>TDE!P81</f>
        <v>3</v>
      </c>
      <c r="P283">
        <f>TDE!Q81</f>
        <v>3</v>
      </c>
      <c r="AA283" t="str">
        <f t="shared" ref="AA283:AA284" si="56">_xlfn.CONCAT("% ",A283)</f>
        <v>% Weighted Plan</v>
      </c>
      <c r="AB283">
        <f>SUM(B283:D283)/SUM(B282:D282)*100</f>
        <v>100</v>
      </c>
      <c r="AC283">
        <f>SUM(E283:G283)/SUM(E282:G282)*100</f>
        <v>100</v>
      </c>
      <c r="AD283">
        <f>SUM(H283:J283)/SUM(H282:J282)*100</f>
        <v>100</v>
      </c>
      <c r="AE283">
        <f>SUM(K283:M283)/SUM(K282:M282)*100</f>
        <v>100</v>
      </c>
      <c r="AF283">
        <f>SUM(N283:P283)/SUM(N282:P282)*100</f>
        <v>100</v>
      </c>
    </row>
    <row r="284" spans="1:32" x14ac:dyDescent="0.2">
      <c r="A284" t="str">
        <f>A4</f>
        <v>Unweighted Plan</v>
      </c>
      <c r="B284">
        <f>'Full-TDE'!C81</f>
        <v>3</v>
      </c>
      <c r="C284">
        <f>'Full-TDE'!D81</f>
        <v>3</v>
      </c>
      <c r="D284">
        <f>'Full-TDE'!E81</f>
        <v>3</v>
      </c>
      <c r="E284">
        <f>'Full-TDE'!F81</f>
        <v>3</v>
      </c>
      <c r="F284">
        <f>'Full-TDE'!G81</f>
        <v>3</v>
      </c>
      <c r="G284">
        <f>'Full-TDE'!H81</f>
        <v>3</v>
      </c>
      <c r="H284">
        <f>'Full-TDE'!I81</f>
        <v>2</v>
      </c>
      <c r="I284">
        <f>'Full-TDE'!J81</f>
        <v>2</v>
      </c>
      <c r="J284">
        <f>'Full-TDE'!K81</f>
        <v>2</v>
      </c>
      <c r="K284">
        <f>'Full-TDE'!L81</f>
        <v>2</v>
      </c>
      <c r="L284">
        <f>'Full-TDE'!M81</f>
        <v>3</v>
      </c>
      <c r="M284">
        <f>'Full-TDE'!N81</f>
        <v>3</v>
      </c>
      <c r="N284">
        <f>'Full-TDE'!O81</f>
        <v>3</v>
      </c>
      <c r="O284">
        <f>'Full-TDE'!P81</f>
        <v>3</v>
      </c>
      <c r="P284">
        <f>'Full-TDE'!Q81</f>
        <v>3</v>
      </c>
      <c r="AA284" t="str">
        <f t="shared" si="56"/>
        <v>% Unweighted Plan</v>
      </c>
      <c r="AB284">
        <f>SUM(B284:D284)/SUM(B282:D282)*100</f>
        <v>100</v>
      </c>
      <c r="AC284">
        <f>SUM(E284:G284)/SUM(E282:G282)*100</f>
        <v>100</v>
      </c>
      <c r="AD284">
        <f>SUM(H284:J284)/SUM(H282:J282)*100</f>
        <v>100</v>
      </c>
      <c r="AE284">
        <f>SUM(K284:M284)/SUM(K282:M282)*100</f>
        <v>100</v>
      </c>
      <c r="AF284">
        <f>SUM(N284:P284)/SUM(N282:P282)*100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Summary</vt:lpstr>
      <vt:lpstr>Summary-BKUP</vt:lpstr>
      <vt:lpstr>ALL</vt:lpstr>
      <vt:lpstr>GraphAll</vt:lpstr>
      <vt:lpstr>DV</vt:lpstr>
      <vt:lpstr>GraphDV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  <vt:lpstr>Full-ALL</vt:lpstr>
      <vt:lpstr>Full-DV</vt:lpstr>
      <vt:lpstr>Full-CPS</vt:lpstr>
      <vt:lpstr>Full-PSE</vt:lpstr>
      <vt:lpstr>Full-SD</vt:lpstr>
      <vt:lpstr>Full-AIC</vt:lpstr>
      <vt:lpstr>Full-TDE</vt:lpstr>
      <vt:lpstr>Graph-Demand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Teerasoradech</cp:lastModifiedBy>
  <dcterms:created xsi:type="dcterms:W3CDTF">2026-05-07T15:51:47Z</dcterms:created>
  <dcterms:modified xsi:type="dcterms:W3CDTF">2026-07-22T02:48:32Z</dcterms:modified>
</cp:coreProperties>
</file>